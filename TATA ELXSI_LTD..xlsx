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abir Jain\Desktop\Final Finance Projects this sem\"/>
    </mc:Choice>
  </mc:AlternateContent>
  <xr:revisionPtr revIDLastSave="0" documentId="13_ncr:1_{59891BFC-017A-4008-8F02-6DAEA091F389}" xr6:coauthVersionLast="47" xr6:coauthVersionMax="47" xr10:uidLastSave="{00000000-0000-0000-0000-000000000000}"/>
  <bookViews>
    <workbookView xWindow="-96" yWindow="-96" windowWidth="17472" windowHeight="10272" xr2:uid="{00000000-000D-0000-FFFF-FFFF00000000}"/>
  </bookViews>
  <sheets>
    <sheet name="Group Details" sheetId="1" r:id="rId1"/>
    <sheet name="Part 1 Fundamental Financials" sheetId="2" r:id="rId2"/>
    <sheet name="Part 2 Price Movement Analysis" sheetId="3" r:id="rId3"/>
    <sheet name="Part 3 Portfolio Analysis" sheetId="4" r:id="rId4"/>
    <sheet name="Stock Price from 1 April 2022 t" sheetId="5" r:id="rId5"/>
    <sheet name="All References" sheetId="6" r:id="rId6"/>
  </sheets>
  <definedNames>
    <definedName name="_xlnm._FilterDatabase" localSheetId="4" hidden="1">'Stock Price from 1 April 2022 t'!$A$2:$AS$912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6" l="1"/>
  <c r="R284" i="6"/>
  <c r="AA912" i="5"/>
  <c r="T912" i="5"/>
  <c r="M912" i="5"/>
  <c r="F912" i="5"/>
  <c r="B38" i="4" s="1"/>
  <c r="AS911" i="5"/>
  <c r="H37" i="4" s="1"/>
  <c r="AH911" i="5"/>
  <c r="F37" i="4" s="1"/>
  <c r="AA911" i="5"/>
  <c r="E37" i="4" s="1"/>
  <c r="E55" i="4" s="1"/>
  <c r="AS910" i="5"/>
  <c r="AS912" i="5" s="1"/>
  <c r="H38" i="4" s="1"/>
  <c r="H109" i="4" s="1"/>
  <c r="AH910" i="5"/>
  <c r="AH912" i="5" s="1"/>
  <c r="F38" i="4" s="1"/>
  <c r="AA910" i="5"/>
  <c r="T910" i="5"/>
  <c r="M910" i="5"/>
  <c r="F910" i="5"/>
  <c r="AS909" i="5"/>
  <c r="AH909" i="5"/>
  <c r="AA909" i="5"/>
  <c r="T909" i="5"/>
  <c r="T911" i="5" s="1"/>
  <c r="D37" i="4" s="1"/>
  <c r="M909" i="5"/>
  <c r="M911" i="5" s="1"/>
  <c r="C37" i="4" s="1"/>
  <c r="C56" i="4" s="1"/>
  <c r="F909" i="5"/>
  <c r="F911" i="5" s="1"/>
  <c r="B37" i="4" s="1"/>
  <c r="AL908" i="5"/>
  <c r="AK908" i="5"/>
  <c r="AL907" i="5"/>
  <c r="AK907" i="5"/>
  <c r="AL906" i="5"/>
  <c r="AK906" i="5"/>
  <c r="AL905" i="5"/>
  <c r="AK905" i="5"/>
  <c r="AL904" i="5"/>
  <c r="AK904" i="5"/>
  <c r="AL903" i="5"/>
  <c r="AK903" i="5"/>
  <c r="AL902" i="5"/>
  <c r="AK902" i="5"/>
  <c r="AL901" i="5"/>
  <c r="AK901" i="5"/>
  <c r="AL900" i="5"/>
  <c r="AK900" i="5"/>
  <c r="AL899" i="5"/>
  <c r="AK899" i="5"/>
  <c r="AL898" i="5"/>
  <c r="AK898" i="5"/>
  <c r="AL897" i="5"/>
  <c r="AK897" i="5"/>
  <c r="AL896" i="5"/>
  <c r="AK896" i="5"/>
  <c r="AL895" i="5"/>
  <c r="AK895" i="5"/>
  <c r="AL894" i="5"/>
  <c r="AK894" i="5"/>
  <c r="AL893" i="5"/>
  <c r="AK893" i="5"/>
  <c r="AL892" i="5"/>
  <c r="AK892" i="5"/>
  <c r="AL891" i="5"/>
  <c r="AK891" i="5"/>
  <c r="AL890" i="5"/>
  <c r="AK890" i="5"/>
  <c r="AL889" i="5"/>
  <c r="AK889" i="5"/>
  <c r="AL888" i="5"/>
  <c r="AK888" i="5"/>
  <c r="AL887" i="5"/>
  <c r="AK887" i="5"/>
  <c r="AL886" i="5"/>
  <c r="AK886" i="5"/>
  <c r="AL885" i="5"/>
  <c r="AK885" i="5"/>
  <c r="AL884" i="5"/>
  <c r="AK884" i="5"/>
  <c r="AL883" i="5"/>
  <c r="AK883" i="5"/>
  <c r="AL882" i="5"/>
  <c r="AK882" i="5"/>
  <c r="AL881" i="5"/>
  <c r="AK881" i="5"/>
  <c r="AL880" i="5"/>
  <c r="AK880" i="5"/>
  <c r="AL879" i="5"/>
  <c r="AK879" i="5"/>
  <c r="AL878" i="5"/>
  <c r="AK878" i="5"/>
  <c r="AL877" i="5"/>
  <c r="AK877" i="5"/>
  <c r="AL876" i="5"/>
  <c r="AK876" i="5"/>
  <c r="AL875" i="5"/>
  <c r="AK875" i="5"/>
  <c r="AL874" i="5"/>
  <c r="AK874" i="5"/>
  <c r="AL873" i="5"/>
  <c r="AK873" i="5"/>
  <c r="AL872" i="5"/>
  <c r="AK872" i="5"/>
  <c r="AL871" i="5"/>
  <c r="AK871" i="5"/>
  <c r="AL870" i="5"/>
  <c r="AK870" i="5"/>
  <c r="AL869" i="5"/>
  <c r="AK869" i="5"/>
  <c r="AL868" i="5"/>
  <c r="AK868" i="5"/>
  <c r="AL867" i="5"/>
  <c r="AK867" i="5"/>
  <c r="AL866" i="5"/>
  <c r="AK866" i="5"/>
  <c r="AL865" i="5"/>
  <c r="AK865" i="5"/>
  <c r="AL864" i="5"/>
  <c r="AK864" i="5"/>
  <c r="AL863" i="5"/>
  <c r="AK863" i="5"/>
  <c r="AL862" i="5"/>
  <c r="AK862" i="5"/>
  <c r="AL861" i="5"/>
  <c r="AK861" i="5"/>
  <c r="AL860" i="5"/>
  <c r="AK860" i="5"/>
  <c r="AL859" i="5"/>
  <c r="AK859" i="5"/>
  <c r="AL858" i="5"/>
  <c r="AK858" i="5"/>
  <c r="AL857" i="5"/>
  <c r="AK857" i="5"/>
  <c r="AL856" i="5"/>
  <c r="AK856" i="5"/>
  <c r="AL855" i="5"/>
  <c r="AK855" i="5"/>
  <c r="AL854" i="5"/>
  <c r="AK854" i="5"/>
  <c r="AL853" i="5"/>
  <c r="AK853" i="5"/>
  <c r="AL852" i="5"/>
  <c r="AK852" i="5"/>
  <c r="AL851" i="5"/>
  <c r="AK851" i="5"/>
  <c r="AL850" i="5"/>
  <c r="AK850" i="5"/>
  <c r="AL849" i="5"/>
  <c r="AK849" i="5"/>
  <c r="AL848" i="5"/>
  <c r="AK848" i="5"/>
  <c r="AL847" i="5"/>
  <c r="AK847" i="5"/>
  <c r="AL846" i="5"/>
  <c r="AK846" i="5"/>
  <c r="AL845" i="5"/>
  <c r="AK845" i="5"/>
  <c r="AL844" i="5"/>
  <c r="AK844" i="5"/>
  <c r="AL843" i="5"/>
  <c r="AK843" i="5"/>
  <c r="AL842" i="5"/>
  <c r="AK842" i="5"/>
  <c r="AL841" i="5"/>
  <c r="AK841" i="5"/>
  <c r="AL840" i="5"/>
  <c r="AK840" i="5"/>
  <c r="AL839" i="5"/>
  <c r="AK839" i="5"/>
  <c r="AL838" i="5"/>
  <c r="AK838" i="5"/>
  <c r="AL837" i="5"/>
  <c r="AK837" i="5"/>
  <c r="AL836" i="5"/>
  <c r="AK836" i="5"/>
  <c r="AL835" i="5"/>
  <c r="AK835" i="5"/>
  <c r="AL834" i="5"/>
  <c r="AK834" i="5"/>
  <c r="AL833" i="5"/>
  <c r="AK833" i="5"/>
  <c r="AL832" i="5"/>
  <c r="AK832" i="5"/>
  <c r="AL831" i="5"/>
  <c r="AK831" i="5"/>
  <c r="AL830" i="5"/>
  <c r="AK830" i="5"/>
  <c r="AL829" i="5"/>
  <c r="AK829" i="5"/>
  <c r="AL828" i="5"/>
  <c r="AK828" i="5"/>
  <c r="AL827" i="5"/>
  <c r="AK827" i="5"/>
  <c r="AL826" i="5"/>
  <c r="AK826" i="5"/>
  <c r="AL825" i="5"/>
  <c r="AK825" i="5"/>
  <c r="AL824" i="5"/>
  <c r="AK824" i="5"/>
  <c r="AL823" i="5"/>
  <c r="AK823" i="5"/>
  <c r="AL822" i="5"/>
  <c r="AK822" i="5"/>
  <c r="AL821" i="5"/>
  <c r="AK821" i="5"/>
  <c r="AL820" i="5"/>
  <c r="AK820" i="5"/>
  <c r="AL819" i="5"/>
  <c r="AK819" i="5"/>
  <c r="AL818" i="5"/>
  <c r="AK818" i="5"/>
  <c r="AL817" i="5"/>
  <c r="AK817" i="5"/>
  <c r="AL816" i="5"/>
  <c r="AK816" i="5"/>
  <c r="AL815" i="5"/>
  <c r="AK815" i="5"/>
  <c r="AL814" i="5"/>
  <c r="AK814" i="5"/>
  <c r="AL813" i="5"/>
  <c r="AK813" i="5"/>
  <c r="AL812" i="5"/>
  <c r="AK812" i="5"/>
  <c r="AL811" i="5"/>
  <c r="AK811" i="5"/>
  <c r="AL810" i="5"/>
  <c r="AK810" i="5"/>
  <c r="AL809" i="5"/>
  <c r="AK809" i="5"/>
  <c r="AL808" i="5"/>
  <c r="AK808" i="5"/>
  <c r="AL807" i="5"/>
  <c r="AK807" i="5"/>
  <c r="AL806" i="5"/>
  <c r="AK806" i="5"/>
  <c r="AL805" i="5"/>
  <c r="AK805" i="5"/>
  <c r="AL804" i="5"/>
  <c r="AK804" i="5"/>
  <c r="AL803" i="5"/>
  <c r="AK803" i="5"/>
  <c r="AL802" i="5"/>
  <c r="AK802" i="5"/>
  <c r="AL801" i="5"/>
  <c r="AK801" i="5"/>
  <c r="AL800" i="5"/>
  <c r="AK800" i="5"/>
  <c r="AL799" i="5"/>
  <c r="AK799" i="5"/>
  <c r="AL798" i="5"/>
  <c r="AK798" i="5"/>
  <c r="AL797" i="5"/>
  <c r="AK797" i="5"/>
  <c r="AL796" i="5"/>
  <c r="AK796" i="5"/>
  <c r="AL795" i="5"/>
  <c r="AK795" i="5"/>
  <c r="AL794" i="5"/>
  <c r="AK794" i="5"/>
  <c r="AL793" i="5"/>
  <c r="AK793" i="5"/>
  <c r="AL792" i="5"/>
  <c r="AK792" i="5"/>
  <c r="AL791" i="5"/>
  <c r="AK791" i="5"/>
  <c r="AL790" i="5"/>
  <c r="AK790" i="5"/>
  <c r="AL789" i="5"/>
  <c r="AK789" i="5"/>
  <c r="AL788" i="5"/>
  <c r="AK788" i="5"/>
  <c r="AL787" i="5"/>
  <c r="AK787" i="5"/>
  <c r="AL786" i="5"/>
  <c r="AK786" i="5"/>
  <c r="AL785" i="5"/>
  <c r="AK785" i="5"/>
  <c r="AL784" i="5"/>
  <c r="AK784" i="5"/>
  <c r="AL783" i="5"/>
  <c r="AK783" i="5"/>
  <c r="AL782" i="5"/>
  <c r="AK782" i="5"/>
  <c r="AL781" i="5"/>
  <c r="AK781" i="5"/>
  <c r="AL780" i="5"/>
  <c r="AK780" i="5"/>
  <c r="AL779" i="5"/>
  <c r="AK779" i="5"/>
  <c r="AL778" i="5"/>
  <c r="AK778" i="5"/>
  <c r="AL777" i="5"/>
  <c r="AK777" i="5"/>
  <c r="AL776" i="5"/>
  <c r="AK776" i="5"/>
  <c r="AL775" i="5"/>
  <c r="AK775" i="5"/>
  <c r="AL774" i="5"/>
  <c r="AK774" i="5"/>
  <c r="AL773" i="5"/>
  <c r="AK773" i="5"/>
  <c r="AL772" i="5"/>
  <c r="AK772" i="5"/>
  <c r="AL771" i="5"/>
  <c r="AK771" i="5"/>
  <c r="AL770" i="5"/>
  <c r="AK770" i="5"/>
  <c r="AL769" i="5"/>
  <c r="AK769" i="5"/>
  <c r="AL768" i="5"/>
  <c r="AK768" i="5"/>
  <c r="AL767" i="5"/>
  <c r="AK767" i="5"/>
  <c r="AL766" i="5"/>
  <c r="AK766" i="5"/>
  <c r="AL765" i="5"/>
  <c r="AK765" i="5"/>
  <c r="AL764" i="5"/>
  <c r="AK764" i="5"/>
  <c r="AL763" i="5"/>
  <c r="AK763" i="5"/>
  <c r="AL762" i="5"/>
  <c r="AK762" i="5"/>
  <c r="AL761" i="5"/>
  <c r="AK761" i="5"/>
  <c r="AL760" i="5"/>
  <c r="AK760" i="5"/>
  <c r="AL759" i="5"/>
  <c r="AK759" i="5"/>
  <c r="AL758" i="5"/>
  <c r="AK758" i="5"/>
  <c r="AL757" i="5"/>
  <c r="AK757" i="5"/>
  <c r="AL756" i="5"/>
  <c r="AK756" i="5"/>
  <c r="AL755" i="5"/>
  <c r="AK755" i="5"/>
  <c r="AL754" i="5"/>
  <c r="AK754" i="5"/>
  <c r="AL753" i="5"/>
  <c r="AK753" i="5"/>
  <c r="AL752" i="5"/>
  <c r="AK752" i="5"/>
  <c r="AL751" i="5"/>
  <c r="AK751" i="5"/>
  <c r="AL750" i="5"/>
  <c r="AK750" i="5"/>
  <c r="AL749" i="5"/>
  <c r="AK749" i="5"/>
  <c r="AL748" i="5"/>
  <c r="AK748" i="5"/>
  <c r="AL747" i="5"/>
  <c r="AK747" i="5"/>
  <c r="AL746" i="5"/>
  <c r="AK746" i="5"/>
  <c r="AL745" i="5"/>
  <c r="AK745" i="5"/>
  <c r="AL744" i="5"/>
  <c r="AK744" i="5"/>
  <c r="AL743" i="5"/>
  <c r="AK743" i="5"/>
  <c r="AL742" i="5"/>
  <c r="AK742" i="5"/>
  <c r="AL741" i="5"/>
  <c r="AK741" i="5"/>
  <c r="AL740" i="5"/>
  <c r="AK740" i="5"/>
  <c r="AL739" i="5"/>
  <c r="AK739" i="5"/>
  <c r="AL738" i="5"/>
  <c r="AK738" i="5"/>
  <c r="AL737" i="5"/>
  <c r="AK737" i="5"/>
  <c r="AL736" i="5"/>
  <c r="AK736" i="5"/>
  <c r="AL735" i="5"/>
  <c r="AK735" i="5"/>
  <c r="AL734" i="5"/>
  <c r="AK734" i="5"/>
  <c r="AL733" i="5"/>
  <c r="AK733" i="5"/>
  <c r="AL732" i="5"/>
  <c r="AK732" i="5"/>
  <c r="AL731" i="5"/>
  <c r="AK731" i="5"/>
  <c r="AL730" i="5"/>
  <c r="AK730" i="5"/>
  <c r="AL729" i="5"/>
  <c r="AK729" i="5"/>
  <c r="AL728" i="5"/>
  <c r="AK728" i="5"/>
  <c r="AL727" i="5"/>
  <c r="AK727" i="5"/>
  <c r="AL726" i="5"/>
  <c r="AK726" i="5"/>
  <c r="AL725" i="5"/>
  <c r="AK725" i="5"/>
  <c r="AL724" i="5"/>
  <c r="AK724" i="5"/>
  <c r="AL723" i="5"/>
  <c r="AK723" i="5"/>
  <c r="AL722" i="5"/>
  <c r="AK722" i="5"/>
  <c r="AL721" i="5"/>
  <c r="AK721" i="5"/>
  <c r="AL720" i="5"/>
  <c r="AK720" i="5"/>
  <c r="AL719" i="5"/>
  <c r="AK719" i="5"/>
  <c r="AL718" i="5"/>
  <c r="AK718" i="5"/>
  <c r="AL717" i="5"/>
  <c r="AK717" i="5"/>
  <c r="AL716" i="5"/>
  <c r="AK716" i="5"/>
  <c r="AL715" i="5"/>
  <c r="AK715" i="5"/>
  <c r="AL714" i="5"/>
  <c r="AK714" i="5"/>
  <c r="AL713" i="5"/>
  <c r="AK713" i="5"/>
  <c r="AL712" i="5"/>
  <c r="AK712" i="5"/>
  <c r="AL711" i="5"/>
  <c r="AK711" i="5"/>
  <c r="AL710" i="5"/>
  <c r="AK710" i="5"/>
  <c r="AL709" i="5"/>
  <c r="AK709" i="5"/>
  <c r="AL708" i="5"/>
  <c r="AK708" i="5"/>
  <c r="AL707" i="5"/>
  <c r="AK707" i="5"/>
  <c r="AL706" i="5"/>
  <c r="AK706" i="5"/>
  <c r="AL705" i="5"/>
  <c r="AK705" i="5"/>
  <c r="AL704" i="5"/>
  <c r="AK704" i="5"/>
  <c r="AL703" i="5"/>
  <c r="AK703" i="5"/>
  <c r="AL702" i="5"/>
  <c r="AK702" i="5"/>
  <c r="AL701" i="5"/>
  <c r="AK701" i="5"/>
  <c r="AL700" i="5"/>
  <c r="AK700" i="5"/>
  <c r="AL699" i="5"/>
  <c r="AK699" i="5"/>
  <c r="AL698" i="5"/>
  <c r="AK698" i="5"/>
  <c r="AL697" i="5"/>
  <c r="AK697" i="5"/>
  <c r="AL696" i="5"/>
  <c r="AK696" i="5"/>
  <c r="AL695" i="5"/>
  <c r="AK695" i="5"/>
  <c r="AL694" i="5"/>
  <c r="AK694" i="5"/>
  <c r="AL693" i="5"/>
  <c r="AK693" i="5"/>
  <c r="AL692" i="5"/>
  <c r="AK692" i="5"/>
  <c r="AL691" i="5"/>
  <c r="AK691" i="5"/>
  <c r="AL690" i="5"/>
  <c r="AK690" i="5"/>
  <c r="AL689" i="5"/>
  <c r="AK689" i="5"/>
  <c r="AL688" i="5"/>
  <c r="AK688" i="5"/>
  <c r="AL687" i="5"/>
  <c r="AK687" i="5"/>
  <c r="AL686" i="5"/>
  <c r="AK686" i="5"/>
  <c r="AL685" i="5"/>
  <c r="AK685" i="5"/>
  <c r="AL684" i="5"/>
  <c r="AK684" i="5"/>
  <c r="AL683" i="5"/>
  <c r="AK683" i="5"/>
  <c r="AL682" i="5"/>
  <c r="AK682" i="5"/>
  <c r="AL681" i="5"/>
  <c r="AK681" i="5"/>
  <c r="AL680" i="5"/>
  <c r="AK680" i="5"/>
  <c r="AL679" i="5"/>
  <c r="AK679" i="5"/>
  <c r="AL678" i="5"/>
  <c r="AK678" i="5"/>
  <c r="AL677" i="5"/>
  <c r="AK677" i="5"/>
  <c r="AL676" i="5"/>
  <c r="AK676" i="5"/>
  <c r="AL675" i="5"/>
  <c r="AK675" i="5"/>
  <c r="AL674" i="5"/>
  <c r="AK674" i="5"/>
  <c r="AL673" i="5"/>
  <c r="AK673" i="5"/>
  <c r="AL672" i="5"/>
  <c r="AK672" i="5"/>
  <c r="AL671" i="5"/>
  <c r="AK671" i="5"/>
  <c r="AL670" i="5"/>
  <c r="AK670" i="5"/>
  <c r="AL669" i="5"/>
  <c r="AK669" i="5"/>
  <c r="AL668" i="5"/>
  <c r="AK668" i="5"/>
  <c r="AL667" i="5"/>
  <c r="AK667" i="5"/>
  <c r="AL666" i="5"/>
  <c r="AK666" i="5"/>
  <c r="AL665" i="5"/>
  <c r="AK665" i="5"/>
  <c r="AL664" i="5"/>
  <c r="AK664" i="5"/>
  <c r="AL663" i="5"/>
  <c r="AK663" i="5"/>
  <c r="AL662" i="5"/>
  <c r="AK662" i="5"/>
  <c r="AL661" i="5"/>
  <c r="AK661" i="5"/>
  <c r="AL660" i="5"/>
  <c r="AK660" i="5"/>
  <c r="AL659" i="5"/>
  <c r="AK659" i="5"/>
  <c r="AL658" i="5"/>
  <c r="AK658" i="5"/>
  <c r="AL657" i="5"/>
  <c r="AK657" i="5"/>
  <c r="AL656" i="5"/>
  <c r="AK656" i="5"/>
  <c r="AL655" i="5"/>
  <c r="AK655" i="5"/>
  <c r="AL654" i="5"/>
  <c r="AK654" i="5"/>
  <c r="AL653" i="5"/>
  <c r="AK653" i="5"/>
  <c r="AL652" i="5"/>
  <c r="AK652" i="5"/>
  <c r="AL651" i="5"/>
  <c r="AK651" i="5"/>
  <c r="AL650" i="5"/>
  <c r="AK650" i="5"/>
  <c r="AL649" i="5"/>
  <c r="AK649" i="5"/>
  <c r="AL648" i="5"/>
  <c r="AK648" i="5"/>
  <c r="AL647" i="5"/>
  <c r="AK647" i="5"/>
  <c r="AL646" i="5"/>
  <c r="AK646" i="5"/>
  <c r="AL645" i="5"/>
  <c r="AK645" i="5"/>
  <c r="AL644" i="5"/>
  <c r="AK644" i="5"/>
  <c r="AL643" i="5"/>
  <c r="AK643" i="5"/>
  <c r="AL642" i="5"/>
  <c r="AK642" i="5"/>
  <c r="AL641" i="5"/>
  <c r="AK641" i="5"/>
  <c r="AL640" i="5"/>
  <c r="AK640" i="5"/>
  <c r="AL639" i="5"/>
  <c r="AK639" i="5"/>
  <c r="AL638" i="5"/>
  <c r="AK638" i="5"/>
  <c r="AL637" i="5"/>
  <c r="AK637" i="5"/>
  <c r="AL636" i="5"/>
  <c r="AK636" i="5"/>
  <c r="AL635" i="5"/>
  <c r="AK635" i="5"/>
  <c r="AL634" i="5"/>
  <c r="AK634" i="5"/>
  <c r="AL633" i="5"/>
  <c r="AK633" i="5"/>
  <c r="AL632" i="5"/>
  <c r="AK632" i="5"/>
  <c r="AL631" i="5"/>
  <c r="AK631" i="5"/>
  <c r="AL630" i="5"/>
  <c r="AK630" i="5"/>
  <c r="AL629" i="5"/>
  <c r="AK629" i="5"/>
  <c r="AL628" i="5"/>
  <c r="AK628" i="5"/>
  <c r="AL627" i="5"/>
  <c r="AK627" i="5"/>
  <c r="AL626" i="5"/>
  <c r="AK626" i="5"/>
  <c r="AL625" i="5"/>
  <c r="AK625" i="5"/>
  <c r="AL624" i="5"/>
  <c r="AK624" i="5"/>
  <c r="AL623" i="5"/>
  <c r="AK623" i="5"/>
  <c r="AL622" i="5"/>
  <c r="AK622" i="5"/>
  <c r="AL621" i="5"/>
  <c r="AK621" i="5"/>
  <c r="AL620" i="5"/>
  <c r="AK620" i="5"/>
  <c r="AL619" i="5"/>
  <c r="AK619" i="5"/>
  <c r="AL618" i="5"/>
  <c r="AK618" i="5"/>
  <c r="AL617" i="5"/>
  <c r="AK617" i="5"/>
  <c r="AL616" i="5"/>
  <c r="AK616" i="5"/>
  <c r="AL615" i="5"/>
  <c r="AK615" i="5"/>
  <c r="AL614" i="5"/>
  <c r="AK614" i="5"/>
  <c r="AL613" i="5"/>
  <c r="AK613" i="5"/>
  <c r="AL612" i="5"/>
  <c r="AK612" i="5"/>
  <c r="AL611" i="5"/>
  <c r="AK611" i="5"/>
  <c r="AL610" i="5"/>
  <c r="AK610" i="5"/>
  <c r="AL609" i="5"/>
  <c r="AK609" i="5"/>
  <c r="AL608" i="5"/>
  <c r="AK608" i="5"/>
  <c r="AL607" i="5"/>
  <c r="AK607" i="5"/>
  <c r="AL606" i="5"/>
  <c r="AK606" i="5"/>
  <c r="AL605" i="5"/>
  <c r="AK605" i="5"/>
  <c r="AL604" i="5"/>
  <c r="AK604" i="5"/>
  <c r="AL603" i="5"/>
  <c r="AK603" i="5"/>
  <c r="AL602" i="5"/>
  <c r="AK602" i="5"/>
  <c r="AL601" i="5"/>
  <c r="AK601" i="5"/>
  <c r="AL600" i="5"/>
  <c r="AK600" i="5"/>
  <c r="AL599" i="5"/>
  <c r="AK599" i="5"/>
  <c r="AL598" i="5"/>
  <c r="AK598" i="5"/>
  <c r="AL597" i="5"/>
  <c r="AK597" i="5"/>
  <c r="AL596" i="5"/>
  <c r="AK596" i="5"/>
  <c r="AL595" i="5"/>
  <c r="AK595" i="5"/>
  <c r="AL594" i="5"/>
  <c r="AK594" i="5"/>
  <c r="AL593" i="5"/>
  <c r="AK593" i="5"/>
  <c r="AL592" i="5"/>
  <c r="AK592" i="5"/>
  <c r="AL591" i="5"/>
  <c r="AK591" i="5"/>
  <c r="AL590" i="5"/>
  <c r="AK590" i="5"/>
  <c r="AL589" i="5"/>
  <c r="AK589" i="5"/>
  <c r="AL588" i="5"/>
  <c r="AK588" i="5"/>
  <c r="AL587" i="5"/>
  <c r="AK587" i="5"/>
  <c r="AL586" i="5"/>
  <c r="AK586" i="5"/>
  <c r="AL585" i="5"/>
  <c r="AK585" i="5"/>
  <c r="AL584" i="5"/>
  <c r="AK584" i="5"/>
  <c r="AL583" i="5"/>
  <c r="AK583" i="5"/>
  <c r="AL582" i="5"/>
  <c r="AK582" i="5"/>
  <c r="AL581" i="5"/>
  <c r="AK581" i="5"/>
  <c r="AL580" i="5"/>
  <c r="AK580" i="5"/>
  <c r="AL579" i="5"/>
  <c r="AK579" i="5"/>
  <c r="AL578" i="5"/>
  <c r="AK578" i="5"/>
  <c r="AL577" i="5"/>
  <c r="AK577" i="5"/>
  <c r="AL576" i="5"/>
  <c r="AK576" i="5"/>
  <c r="AL575" i="5"/>
  <c r="AK575" i="5"/>
  <c r="AL574" i="5"/>
  <c r="AK574" i="5"/>
  <c r="AL573" i="5"/>
  <c r="AK573" i="5"/>
  <c r="AL572" i="5"/>
  <c r="AK572" i="5"/>
  <c r="AL571" i="5"/>
  <c r="AK571" i="5"/>
  <c r="AL570" i="5"/>
  <c r="AK570" i="5"/>
  <c r="AL569" i="5"/>
  <c r="AK569" i="5"/>
  <c r="AL568" i="5"/>
  <c r="AK568" i="5"/>
  <c r="AL567" i="5"/>
  <c r="AK567" i="5"/>
  <c r="AL566" i="5"/>
  <c r="AK566" i="5"/>
  <c r="AL565" i="5"/>
  <c r="AK565" i="5"/>
  <c r="AL564" i="5"/>
  <c r="AK564" i="5"/>
  <c r="AL563" i="5"/>
  <c r="AK563" i="5"/>
  <c r="AL562" i="5"/>
  <c r="AK562" i="5"/>
  <c r="AL561" i="5"/>
  <c r="AK561" i="5"/>
  <c r="AL560" i="5"/>
  <c r="AK560" i="5"/>
  <c r="AL559" i="5"/>
  <c r="AK559" i="5"/>
  <c r="AL558" i="5"/>
  <c r="AK558" i="5"/>
  <c r="AL557" i="5"/>
  <c r="AK557" i="5"/>
  <c r="AL556" i="5"/>
  <c r="AK556" i="5"/>
  <c r="AL555" i="5"/>
  <c r="AK555" i="5"/>
  <c r="AL554" i="5"/>
  <c r="AK554" i="5"/>
  <c r="AL553" i="5"/>
  <c r="AK553" i="5"/>
  <c r="AL552" i="5"/>
  <c r="AK552" i="5"/>
  <c r="AL551" i="5"/>
  <c r="AK551" i="5"/>
  <c r="AL550" i="5"/>
  <c r="AK550" i="5"/>
  <c r="AL549" i="5"/>
  <c r="AK549" i="5"/>
  <c r="AL548" i="5"/>
  <c r="AK548" i="5"/>
  <c r="AL547" i="5"/>
  <c r="AK547" i="5"/>
  <c r="AL546" i="5"/>
  <c r="AK546" i="5"/>
  <c r="AL545" i="5"/>
  <c r="AK545" i="5"/>
  <c r="AL544" i="5"/>
  <c r="AK544" i="5"/>
  <c r="AL543" i="5"/>
  <c r="AK543" i="5"/>
  <c r="AL542" i="5"/>
  <c r="AK542" i="5"/>
  <c r="AL541" i="5"/>
  <c r="AK541" i="5"/>
  <c r="AL540" i="5"/>
  <c r="AK540" i="5"/>
  <c r="AL539" i="5"/>
  <c r="AK539" i="5"/>
  <c r="AL538" i="5"/>
  <c r="AK538" i="5"/>
  <c r="AL537" i="5"/>
  <c r="AK537" i="5"/>
  <c r="AL536" i="5"/>
  <c r="AK536" i="5"/>
  <c r="AL535" i="5"/>
  <c r="AK535" i="5"/>
  <c r="AL534" i="5"/>
  <c r="AK534" i="5"/>
  <c r="AL533" i="5"/>
  <c r="AK533" i="5"/>
  <c r="AL532" i="5"/>
  <c r="AK532" i="5"/>
  <c r="AL531" i="5"/>
  <c r="AK531" i="5"/>
  <c r="AL530" i="5"/>
  <c r="AK530" i="5"/>
  <c r="AL529" i="5"/>
  <c r="AK529" i="5"/>
  <c r="AL528" i="5"/>
  <c r="AK528" i="5"/>
  <c r="AL527" i="5"/>
  <c r="AK527" i="5"/>
  <c r="AL526" i="5"/>
  <c r="AK526" i="5"/>
  <c r="AL525" i="5"/>
  <c r="AK525" i="5"/>
  <c r="AL524" i="5"/>
  <c r="AK524" i="5"/>
  <c r="AL523" i="5"/>
  <c r="AK523" i="5"/>
  <c r="AL522" i="5"/>
  <c r="AK522" i="5"/>
  <c r="AL521" i="5"/>
  <c r="AK521" i="5"/>
  <c r="AL520" i="5"/>
  <c r="AK520" i="5"/>
  <c r="AL519" i="5"/>
  <c r="AK519" i="5"/>
  <c r="AL518" i="5"/>
  <c r="AK518" i="5"/>
  <c r="AL517" i="5"/>
  <c r="AK517" i="5"/>
  <c r="AL516" i="5"/>
  <c r="AK516" i="5"/>
  <c r="AL515" i="5"/>
  <c r="AK515" i="5"/>
  <c r="AL514" i="5"/>
  <c r="AK514" i="5"/>
  <c r="AL513" i="5"/>
  <c r="AK513" i="5"/>
  <c r="AL512" i="5"/>
  <c r="AK512" i="5"/>
  <c r="AL511" i="5"/>
  <c r="AK511" i="5"/>
  <c r="AL510" i="5"/>
  <c r="AK510" i="5"/>
  <c r="AL509" i="5"/>
  <c r="AK509" i="5"/>
  <c r="AL508" i="5"/>
  <c r="AK508" i="5"/>
  <c r="AL507" i="5"/>
  <c r="AK507" i="5"/>
  <c r="AL506" i="5"/>
  <c r="AK506" i="5"/>
  <c r="AL505" i="5"/>
  <c r="AK505" i="5"/>
  <c r="AL504" i="5"/>
  <c r="AK504" i="5"/>
  <c r="AL503" i="5"/>
  <c r="AK503" i="5"/>
  <c r="AL502" i="5"/>
  <c r="AK502" i="5"/>
  <c r="AL501" i="5"/>
  <c r="AK501" i="5"/>
  <c r="AL500" i="5"/>
  <c r="AK500" i="5"/>
  <c r="AL499" i="5"/>
  <c r="AK499" i="5"/>
  <c r="AL498" i="5"/>
  <c r="AK498" i="5"/>
  <c r="AL497" i="5"/>
  <c r="AK497" i="5"/>
  <c r="AL496" i="5"/>
  <c r="AK496" i="5"/>
  <c r="AL495" i="5"/>
  <c r="AK495" i="5"/>
  <c r="AL494" i="5"/>
  <c r="AK494" i="5"/>
  <c r="AL493" i="5"/>
  <c r="AK493" i="5"/>
  <c r="AL492" i="5"/>
  <c r="AK492" i="5"/>
  <c r="AL491" i="5"/>
  <c r="AK491" i="5"/>
  <c r="AL490" i="5"/>
  <c r="AK490" i="5"/>
  <c r="AL489" i="5"/>
  <c r="AK489" i="5"/>
  <c r="AL488" i="5"/>
  <c r="AK488" i="5"/>
  <c r="AL487" i="5"/>
  <c r="AK487" i="5"/>
  <c r="AL486" i="5"/>
  <c r="AK486" i="5"/>
  <c r="AL485" i="5"/>
  <c r="AK485" i="5"/>
  <c r="AL484" i="5"/>
  <c r="AK484" i="5"/>
  <c r="AL483" i="5"/>
  <c r="AK483" i="5"/>
  <c r="AL482" i="5"/>
  <c r="AK482" i="5"/>
  <c r="AL481" i="5"/>
  <c r="AK481" i="5"/>
  <c r="AL480" i="5"/>
  <c r="AK480" i="5"/>
  <c r="AL479" i="5"/>
  <c r="AK479" i="5"/>
  <c r="AL478" i="5"/>
  <c r="AK478" i="5"/>
  <c r="AL477" i="5"/>
  <c r="AK477" i="5"/>
  <c r="AL476" i="5"/>
  <c r="AK476" i="5"/>
  <c r="AL475" i="5"/>
  <c r="AK475" i="5"/>
  <c r="AL474" i="5"/>
  <c r="AK474" i="5"/>
  <c r="AL473" i="5"/>
  <c r="AK473" i="5"/>
  <c r="AL472" i="5"/>
  <c r="AK472" i="5"/>
  <c r="AL471" i="5"/>
  <c r="AK471" i="5"/>
  <c r="AL470" i="5"/>
  <c r="AK470" i="5"/>
  <c r="AL469" i="5"/>
  <c r="AK469" i="5"/>
  <c r="AL468" i="5"/>
  <c r="AK468" i="5"/>
  <c r="AL467" i="5"/>
  <c r="AK467" i="5"/>
  <c r="AL466" i="5"/>
  <c r="AK466" i="5"/>
  <c r="AL465" i="5"/>
  <c r="AK465" i="5"/>
  <c r="AL464" i="5"/>
  <c r="AK464" i="5"/>
  <c r="AL463" i="5"/>
  <c r="AK463" i="5"/>
  <c r="AL462" i="5"/>
  <c r="AK462" i="5"/>
  <c r="AL461" i="5"/>
  <c r="AK461" i="5"/>
  <c r="AL460" i="5"/>
  <c r="AK460" i="5"/>
  <c r="AL459" i="5"/>
  <c r="AK459" i="5"/>
  <c r="AL458" i="5"/>
  <c r="AK458" i="5"/>
  <c r="AL457" i="5"/>
  <c r="AK457" i="5"/>
  <c r="AL456" i="5"/>
  <c r="AK456" i="5"/>
  <c r="AL455" i="5"/>
  <c r="AK455" i="5"/>
  <c r="AL454" i="5"/>
  <c r="AK454" i="5"/>
  <c r="AL453" i="5"/>
  <c r="AK453" i="5"/>
  <c r="AL452" i="5"/>
  <c r="AK452" i="5"/>
  <c r="AL451" i="5"/>
  <c r="AK451" i="5"/>
  <c r="AL450" i="5"/>
  <c r="AK450" i="5"/>
  <c r="AL449" i="5"/>
  <c r="AK449" i="5"/>
  <c r="AL448" i="5"/>
  <c r="AK448" i="5"/>
  <c r="AL447" i="5"/>
  <c r="AK447" i="5"/>
  <c r="AL446" i="5"/>
  <c r="AK446" i="5"/>
  <c r="AL445" i="5"/>
  <c r="AK445" i="5"/>
  <c r="AL444" i="5"/>
  <c r="AK444" i="5"/>
  <c r="AL443" i="5"/>
  <c r="AK443" i="5"/>
  <c r="AL442" i="5"/>
  <c r="AK442" i="5"/>
  <c r="AL441" i="5"/>
  <c r="AK441" i="5"/>
  <c r="AL440" i="5"/>
  <c r="AK440" i="5"/>
  <c r="AL439" i="5"/>
  <c r="AK439" i="5"/>
  <c r="AL438" i="5"/>
  <c r="AK438" i="5"/>
  <c r="AL437" i="5"/>
  <c r="AK437" i="5"/>
  <c r="AL436" i="5"/>
  <c r="AK436" i="5"/>
  <c r="AL435" i="5"/>
  <c r="AK435" i="5"/>
  <c r="AL434" i="5"/>
  <c r="AK434" i="5"/>
  <c r="AL433" i="5"/>
  <c r="AK433" i="5"/>
  <c r="AL432" i="5"/>
  <c r="AK432" i="5"/>
  <c r="AL431" i="5"/>
  <c r="AK431" i="5"/>
  <c r="AL430" i="5"/>
  <c r="AK430" i="5"/>
  <c r="AL429" i="5"/>
  <c r="AK429" i="5"/>
  <c r="AL428" i="5"/>
  <c r="AK428" i="5"/>
  <c r="AL427" i="5"/>
  <c r="AK427" i="5"/>
  <c r="AL426" i="5"/>
  <c r="AK426" i="5"/>
  <c r="AL425" i="5"/>
  <c r="AK425" i="5"/>
  <c r="AL424" i="5"/>
  <c r="AK424" i="5"/>
  <c r="AL423" i="5"/>
  <c r="AK423" i="5"/>
  <c r="AL422" i="5"/>
  <c r="AK422" i="5"/>
  <c r="AL421" i="5"/>
  <c r="AK421" i="5"/>
  <c r="AL420" i="5"/>
  <c r="AK420" i="5"/>
  <c r="AL419" i="5"/>
  <c r="AK419" i="5"/>
  <c r="AL418" i="5"/>
  <c r="AK418" i="5"/>
  <c r="AL417" i="5"/>
  <c r="AK417" i="5"/>
  <c r="AL416" i="5"/>
  <c r="AK416" i="5"/>
  <c r="AL415" i="5"/>
  <c r="AK415" i="5"/>
  <c r="AL414" i="5"/>
  <c r="AK414" i="5"/>
  <c r="AL413" i="5"/>
  <c r="AK413" i="5"/>
  <c r="AL412" i="5"/>
  <c r="AK412" i="5"/>
  <c r="AL411" i="5"/>
  <c r="AK411" i="5"/>
  <c r="AL410" i="5"/>
  <c r="AK410" i="5"/>
  <c r="AL409" i="5"/>
  <c r="AK409" i="5"/>
  <c r="AL408" i="5"/>
  <c r="AK408" i="5"/>
  <c r="AL407" i="5"/>
  <c r="AK407" i="5"/>
  <c r="AL406" i="5"/>
  <c r="AK406" i="5"/>
  <c r="AL405" i="5"/>
  <c r="AK405" i="5"/>
  <c r="AL404" i="5"/>
  <c r="AK404" i="5"/>
  <c r="AL403" i="5"/>
  <c r="AK403" i="5"/>
  <c r="AL402" i="5"/>
  <c r="AK402" i="5"/>
  <c r="AL401" i="5"/>
  <c r="AK401" i="5"/>
  <c r="AL400" i="5"/>
  <c r="AK400" i="5"/>
  <c r="AL399" i="5"/>
  <c r="AK399" i="5"/>
  <c r="AL398" i="5"/>
  <c r="AK398" i="5"/>
  <c r="AL397" i="5"/>
  <c r="AK397" i="5"/>
  <c r="AL396" i="5"/>
  <c r="AK396" i="5"/>
  <c r="AL395" i="5"/>
  <c r="AK395" i="5"/>
  <c r="AL394" i="5"/>
  <c r="AK394" i="5"/>
  <c r="AL393" i="5"/>
  <c r="AK393" i="5"/>
  <c r="AL392" i="5"/>
  <c r="AK392" i="5"/>
  <c r="AL391" i="5"/>
  <c r="AK391" i="5"/>
  <c r="AL390" i="5"/>
  <c r="AK390" i="5"/>
  <c r="AL389" i="5"/>
  <c r="AK389" i="5"/>
  <c r="AL388" i="5"/>
  <c r="AK388" i="5"/>
  <c r="AL387" i="5"/>
  <c r="AK387" i="5"/>
  <c r="AL386" i="5"/>
  <c r="AK386" i="5"/>
  <c r="AL385" i="5"/>
  <c r="AK385" i="5"/>
  <c r="AL384" i="5"/>
  <c r="AK384" i="5"/>
  <c r="AL383" i="5"/>
  <c r="AK383" i="5"/>
  <c r="AL382" i="5"/>
  <c r="AK382" i="5"/>
  <c r="AL381" i="5"/>
  <c r="AK381" i="5"/>
  <c r="AL380" i="5"/>
  <c r="AK380" i="5"/>
  <c r="AL379" i="5"/>
  <c r="AK379" i="5"/>
  <c r="AL378" i="5"/>
  <c r="AK378" i="5"/>
  <c r="AL377" i="5"/>
  <c r="AK377" i="5"/>
  <c r="AL376" i="5"/>
  <c r="AK376" i="5"/>
  <c r="AL375" i="5"/>
  <c r="AK375" i="5"/>
  <c r="AL374" i="5"/>
  <c r="AK374" i="5"/>
  <c r="AL373" i="5"/>
  <c r="AK373" i="5"/>
  <c r="AL372" i="5"/>
  <c r="AK372" i="5"/>
  <c r="AL371" i="5"/>
  <c r="AK371" i="5"/>
  <c r="AL370" i="5"/>
  <c r="AK370" i="5"/>
  <c r="AL369" i="5"/>
  <c r="AK369" i="5"/>
  <c r="AL368" i="5"/>
  <c r="AK368" i="5"/>
  <c r="AL367" i="5"/>
  <c r="AK367" i="5"/>
  <c r="AL366" i="5"/>
  <c r="AK366" i="5"/>
  <c r="AL365" i="5"/>
  <c r="AK365" i="5"/>
  <c r="AL364" i="5"/>
  <c r="AK364" i="5"/>
  <c r="AL363" i="5"/>
  <c r="AK363" i="5"/>
  <c r="AL362" i="5"/>
  <c r="AK362" i="5"/>
  <c r="AL361" i="5"/>
  <c r="AK361" i="5"/>
  <c r="AL360" i="5"/>
  <c r="AK360" i="5"/>
  <c r="AL359" i="5"/>
  <c r="AK359" i="5"/>
  <c r="AL358" i="5"/>
  <c r="AK358" i="5"/>
  <c r="AL357" i="5"/>
  <c r="AK357" i="5"/>
  <c r="AL356" i="5"/>
  <c r="AK356" i="5"/>
  <c r="AL355" i="5"/>
  <c r="AK355" i="5"/>
  <c r="AL354" i="5"/>
  <c r="AK354" i="5"/>
  <c r="AL353" i="5"/>
  <c r="AK353" i="5"/>
  <c r="AL352" i="5"/>
  <c r="AK352" i="5"/>
  <c r="AL351" i="5"/>
  <c r="AK351" i="5"/>
  <c r="AL350" i="5"/>
  <c r="AK350" i="5"/>
  <c r="AL349" i="5"/>
  <c r="AK349" i="5"/>
  <c r="AL348" i="5"/>
  <c r="AK348" i="5"/>
  <c r="AL347" i="5"/>
  <c r="AK347" i="5"/>
  <c r="AL346" i="5"/>
  <c r="AK346" i="5"/>
  <c r="AL345" i="5"/>
  <c r="AK345" i="5"/>
  <c r="AL344" i="5"/>
  <c r="AK344" i="5"/>
  <c r="AL343" i="5"/>
  <c r="AK343" i="5"/>
  <c r="AL342" i="5"/>
  <c r="AK342" i="5"/>
  <c r="AL341" i="5"/>
  <c r="AK341" i="5"/>
  <c r="AL340" i="5"/>
  <c r="AK340" i="5"/>
  <c r="AL339" i="5"/>
  <c r="AK339" i="5"/>
  <c r="AL338" i="5"/>
  <c r="AK338" i="5"/>
  <c r="AL337" i="5"/>
  <c r="AK337" i="5"/>
  <c r="AL336" i="5"/>
  <c r="AK336" i="5"/>
  <c r="AL335" i="5"/>
  <c r="AK335" i="5"/>
  <c r="AL334" i="5"/>
  <c r="AK334" i="5"/>
  <c r="AL333" i="5"/>
  <c r="AK333" i="5"/>
  <c r="AL332" i="5"/>
  <c r="AK332" i="5"/>
  <c r="AL331" i="5"/>
  <c r="AK331" i="5"/>
  <c r="AL330" i="5"/>
  <c r="AK330" i="5"/>
  <c r="AL329" i="5"/>
  <c r="AK329" i="5"/>
  <c r="AL328" i="5"/>
  <c r="AK328" i="5"/>
  <c r="AL327" i="5"/>
  <c r="AK327" i="5"/>
  <c r="AL326" i="5"/>
  <c r="AK326" i="5"/>
  <c r="AL325" i="5"/>
  <c r="AK325" i="5"/>
  <c r="AL324" i="5"/>
  <c r="AK324" i="5"/>
  <c r="AL323" i="5"/>
  <c r="AK323" i="5"/>
  <c r="AL322" i="5"/>
  <c r="AK322" i="5"/>
  <c r="AL321" i="5"/>
  <c r="AK321" i="5"/>
  <c r="AL320" i="5"/>
  <c r="AK320" i="5"/>
  <c r="AL319" i="5"/>
  <c r="AK319" i="5"/>
  <c r="AL318" i="5"/>
  <c r="AK318" i="5"/>
  <c r="AL317" i="5"/>
  <c r="AK317" i="5"/>
  <c r="AL316" i="5"/>
  <c r="AK316" i="5"/>
  <c r="AL315" i="5"/>
  <c r="AK315" i="5"/>
  <c r="AL314" i="5"/>
  <c r="AK314" i="5"/>
  <c r="AL313" i="5"/>
  <c r="AK313" i="5"/>
  <c r="AL312" i="5"/>
  <c r="AK312" i="5"/>
  <c r="AL311" i="5"/>
  <c r="AK311" i="5"/>
  <c r="AL310" i="5"/>
  <c r="AK310" i="5"/>
  <c r="AL309" i="5"/>
  <c r="AK309" i="5"/>
  <c r="AL308" i="5"/>
  <c r="AK308" i="5"/>
  <c r="AL307" i="5"/>
  <c r="AK307" i="5"/>
  <c r="AL306" i="5"/>
  <c r="AK306" i="5"/>
  <c r="AL305" i="5"/>
  <c r="AK305" i="5"/>
  <c r="AL304" i="5"/>
  <c r="AK304" i="5"/>
  <c r="AL303" i="5"/>
  <c r="AK303" i="5"/>
  <c r="AL302" i="5"/>
  <c r="AK302" i="5"/>
  <c r="AL301" i="5"/>
  <c r="AK301" i="5"/>
  <c r="AL300" i="5"/>
  <c r="AK300" i="5"/>
  <c r="AL299" i="5"/>
  <c r="AK299" i="5"/>
  <c r="AL298" i="5"/>
  <c r="AK298" i="5"/>
  <c r="AL297" i="5"/>
  <c r="AK297" i="5"/>
  <c r="AL296" i="5"/>
  <c r="AK296" i="5"/>
  <c r="AL295" i="5"/>
  <c r="AK295" i="5"/>
  <c r="AL294" i="5"/>
  <c r="AK294" i="5"/>
  <c r="AL293" i="5"/>
  <c r="AK293" i="5"/>
  <c r="AL292" i="5"/>
  <c r="AK292" i="5"/>
  <c r="AL291" i="5"/>
  <c r="AK291" i="5"/>
  <c r="AL290" i="5"/>
  <c r="AK290" i="5"/>
  <c r="AL289" i="5"/>
  <c r="AK289" i="5"/>
  <c r="AL288" i="5"/>
  <c r="AK288" i="5"/>
  <c r="AL287" i="5"/>
  <c r="AK287" i="5"/>
  <c r="AL286" i="5"/>
  <c r="AK286" i="5"/>
  <c r="AL285" i="5"/>
  <c r="AK285" i="5"/>
  <c r="AL284" i="5"/>
  <c r="AK284" i="5"/>
  <c r="AL283" i="5"/>
  <c r="AK283" i="5"/>
  <c r="AL282" i="5"/>
  <c r="AK282" i="5"/>
  <c r="AL281" i="5"/>
  <c r="AK281" i="5"/>
  <c r="AL280" i="5"/>
  <c r="AK280" i="5"/>
  <c r="AL279" i="5"/>
  <c r="AK279" i="5"/>
  <c r="AL278" i="5"/>
  <c r="AK278" i="5"/>
  <c r="AL277" i="5"/>
  <c r="AK277" i="5"/>
  <c r="AL276" i="5"/>
  <c r="AK276" i="5"/>
  <c r="AL275" i="5"/>
  <c r="AK275" i="5"/>
  <c r="AL274" i="5"/>
  <c r="AK274" i="5"/>
  <c r="AL273" i="5"/>
  <c r="AK273" i="5"/>
  <c r="AL272" i="5"/>
  <c r="AK272" i="5"/>
  <c r="AL271" i="5"/>
  <c r="AK271" i="5"/>
  <c r="AL270" i="5"/>
  <c r="AK270" i="5"/>
  <c r="AL269" i="5"/>
  <c r="AK269" i="5"/>
  <c r="AL268" i="5"/>
  <c r="AK268" i="5"/>
  <c r="AL267" i="5"/>
  <c r="AK267" i="5"/>
  <c r="AL266" i="5"/>
  <c r="AK266" i="5"/>
  <c r="AL265" i="5"/>
  <c r="AK265" i="5"/>
  <c r="AL264" i="5"/>
  <c r="AK264" i="5"/>
  <c r="AL263" i="5"/>
  <c r="AK263" i="5"/>
  <c r="AL262" i="5"/>
  <c r="AK262" i="5"/>
  <c r="AL261" i="5"/>
  <c r="AK261" i="5"/>
  <c r="AL260" i="5"/>
  <c r="AK260" i="5"/>
  <c r="AL259" i="5"/>
  <c r="AK259" i="5"/>
  <c r="AL258" i="5"/>
  <c r="AK258" i="5"/>
  <c r="AL257" i="5"/>
  <c r="AK257" i="5"/>
  <c r="AL256" i="5"/>
  <c r="AK256" i="5"/>
  <c r="AL255" i="5"/>
  <c r="AK255" i="5"/>
  <c r="AL254" i="5"/>
  <c r="AK254" i="5"/>
  <c r="AL253" i="5"/>
  <c r="AK253" i="5"/>
  <c r="AL252" i="5"/>
  <c r="AK252" i="5"/>
  <c r="AL251" i="5"/>
  <c r="AK251" i="5"/>
  <c r="AL250" i="5"/>
  <c r="AK250" i="5"/>
  <c r="AL249" i="5"/>
  <c r="AK249" i="5"/>
  <c r="AL248" i="5"/>
  <c r="AK248" i="5"/>
  <c r="AL247" i="5"/>
  <c r="AK247" i="5"/>
  <c r="AL246" i="5"/>
  <c r="AK246" i="5"/>
  <c r="AL245" i="5"/>
  <c r="AK245" i="5"/>
  <c r="AL244" i="5"/>
  <c r="AK244" i="5"/>
  <c r="AL243" i="5"/>
  <c r="AK243" i="5"/>
  <c r="AL242" i="5"/>
  <c r="AK242" i="5"/>
  <c r="AL241" i="5"/>
  <c r="AK241" i="5"/>
  <c r="AL240" i="5"/>
  <c r="AK240" i="5"/>
  <c r="AL239" i="5"/>
  <c r="AK239" i="5"/>
  <c r="AL238" i="5"/>
  <c r="AK238" i="5"/>
  <c r="AL237" i="5"/>
  <c r="AK237" i="5"/>
  <c r="AL236" i="5"/>
  <c r="AK236" i="5"/>
  <c r="AL235" i="5"/>
  <c r="AK235" i="5"/>
  <c r="AL234" i="5"/>
  <c r="AK234" i="5"/>
  <c r="AL233" i="5"/>
  <c r="AK233" i="5"/>
  <c r="AL232" i="5"/>
  <c r="AK232" i="5"/>
  <c r="AL231" i="5"/>
  <c r="AK231" i="5"/>
  <c r="AL230" i="5"/>
  <c r="AK230" i="5"/>
  <c r="AL229" i="5"/>
  <c r="AK229" i="5"/>
  <c r="AL228" i="5"/>
  <c r="AK228" i="5"/>
  <c r="AL227" i="5"/>
  <c r="AK227" i="5"/>
  <c r="AL226" i="5"/>
  <c r="AK226" i="5"/>
  <c r="AL225" i="5"/>
  <c r="AK225" i="5"/>
  <c r="AL224" i="5"/>
  <c r="AK224" i="5"/>
  <c r="AL223" i="5"/>
  <c r="AK223" i="5"/>
  <c r="AL222" i="5"/>
  <c r="AK222" i="5"/>
  <c r="AL221" i="5"/>
  <c r="AK221" i="5"/>
  <c r="AL220" i="5"/>
  <c r="AK220" i="5"/>
  <c r="AL219" i="5"/>
  <c r="AK219" i="5"/>
  <c r="AL218" i="5"/>
  <c r="AK218" i="5"/>
  <c r="AL217" i="5"/>
  <c r="AK217" i="5"/>
  <c r="AL216" i="5"/>
  <c r="AK216" i="5"/>
  <c r="AL215" i="5"/>
  <c r="AK215" i="5"/>
  <c r="AL214" i="5"/>
  <c r="AK214" i="5"/>
  <c r="AL213" i="5"/>
  <c r="AK213" i="5"/>
  <c r="AL212" i="5"/>
  <c r="AK212" i="5"/>
  <c r="AL211" i="5"/>
  <c r="AK211" i="5"/>
  <c r="AL210" i="5"/>
  <c r="AK210" i="5"/>
  <c r="AL209" i="5"/>
  <c r="AK209" i="5"/>
  <c r="AL208" i="5"/>
  <c r="AK208" i="5"/>
  <c r="AL207" i="5"/>
  <c r="AK207" i="5"/>
  <c r="AL206" i="5"/>
  <c r="AK206" i="5"/>
  <c r="AL205" i="5"/>
  <c r="AK205" i="5"/>
  <c r="AL204" i="5"/>
  <c r="AK204" i="5"/>
  <c r="AL203" i="5"/>
  <c r="AK203" i="5"/>
  <c r="AL202" i="5"/>
  <c r="AK202" i="5"/>
  <c r="AL201" i="5"/>
  <c r="AK201" i="5"/>
  <c r="AL200" i="5"/>
  <c r="AK200" i="5"/>
  <c r="AL199" i="5"/>
  <c r="AK199" i="5"/>
  <c r="AL198" i="5"/>
  <c r="AK198" i="5"/>
  <c r="AL197" i="5"/>
  <c r="AK197" i="5"/>
  <c r="AL196" i="5"/>
  <c r="AK196" i="5"/>
  <c r="AL195" i="5"/>
  <c r="AK195" i="5"/>
  <c r="AL194" i="5"/>
  <c r="AK194" i="5"/>
  <c r="AL193" i="5"/>
  <c r="AK193" i="5"/>
  <c r="AL192" i="5"/>
  <c r="AK192" i="5"/>
  <c r="AL191" i="5"/>
  <c r="AK191" i="5"/>
  <c r="AL190" i="5"/>
  <c r="AK190" i="5"/>
  <c r="AL189" i="5"/>
  <c r="AK189" i="5"/>
  <c r="AL188" i="5"/>
  <c r="AK188" i="5"/>
  <c r="AL187" i="5"/>
  <c r="AK187" i="5"/>
  <c r="AL186" i="5"/>
  <c r="AK186" i="5"/>
  <c r="AL185" i="5"/>
  <c r="AK185" i="5"/>
  <c r="AL184" i="5"/>
  <c r="AK184" i="5"/>
  <c r="AL183" i="5"/>
  <c r="AK183" i="5"/>
  <c r="AL182" i="5"/>
  <c r="AK182" i="5"/>
  <c r="AL181" i="5"/>
  <c r="AK181" i="5"/>
  <c r="AL180" i="5"/>
  <c r="AK180" i="5"/>
  <c r="AL179" i="5"/>
  <c r="AK179" i="5"/>
  <c r="AL178" i="5"/>
  <c r="AK178" i="5"/>
  <c r="AL177" i="5"/>
  <c r="AK177" i="5"/>
  <c r="AL176" i="5"/>
  <c r="AK176" i="5"/>
  <c r="AL175" i="5"/>
  <c r="AK175" i="5"/>
  <c r="AL174" i="5"/>
  <c r="AK174" i="5"/>
  <c r="AL173" i="5"/>
  <c r="AK173" i="5"/>
  <c r="AL172" i="5"/>
  <c r="AK172" i="5"/>
  <c r="AL171" i="5"/>
  <c r="AK171" i="5"/>
  <c r="AL170" i="5"/>
  <c r="AK170" i="5"/>
  <c r="AL169" i="5"/>
  <c r="AK169" i="5"/>
  <c r="AL168" i="5"/>
  <c r="AK168" i="5"/>
  <c r="AL167" i="5"/>
  <c r="AK167" i="5"/>
  <c r="AL166" i="5"/>
  <c r="AK166" i="5"/>
  <c r="AL165" i="5"/>
  <c r="AK165" i="5"/>
  <c r="AL164" i="5"/>
  <c r="AK164" i="5"/>
  <c r="AL163" i="5"/>
  <c r="AK163" i="5"/>
  <c r="AL162" i="5"/>
  <c r="AK162" i="5"/>
  <c r="AL161" i="5"/>
  <c r="AK161" i="5"/>
  <c r="AL160" i="5"/>
  <c r="AK160" i="5"/>
  <c r="AL159" i="5"/>
  <c r="AK159" i="5"/>
  <c r="AL158" i="5"/>
  <c r="AK158" i="5"/>
  <c r="AL157" i="5"/>
  <c r="AK157" i="5"/>
  <c r="AL156" i="5"/>
  <c r="AK156" i="5"/>
  <c r="AL155" i="5"/>
  <c r="AK155" i="5"/>
  <c r="AL154" i="5"/>
  <c r="AK154" i="5"/>
  <c r="AL153" i="5"/>
  <c r="AK153" i="5"/>
  <c r="AL152" i="5"/>
  <c r="AK152" i="5"/>
  <c r="AL151" i="5"/>
  <c r="AK151" i="5"/>
  <c r="AL150" i="5"/>
  <c r="AK150" i="5"/>
  <c r="AL149" i="5"/>
  <c r="AK149" i="5"/>
  <c r="AL148" i="5"/>
  <c r="AK148" i="5"/>
  <c r="AL147" i="5"/>
  <c r="AK147" i="5"/>
  <c r="AL146" i="5"/>
  <c r="AK146" i="5"/>
  <c r="AL145" i="5"/>
  <c r="AK145" i="5"/>
  <c r="AL144" i="5"/>
  <c r="AK144" i="5"/>
  <c r="AL143" i="5"/>
  <c r="AK143" i="5"/>
  <c r="AL142" i="5"/>
  <c r="AK142" i="5"/>
  <c r="AL141" i="5"/>
  <c r="AK141" i="5"/>
  <c r="AL140" i="5"/>
  <c r="AK140" i="5"/>
  <c r="AL139" i="5"/>
  <c r="AK139" i="5"/>
  <c r="AL138" i="5"/>
  <c r="AK138" i="5"/>
  <c r="AL137" i="5"/>
  <c r="AK137" i="5"/>
  <c r="AL136" i="5"/>
  <c r="AK136" i="5"/>
  <c r="AL135" i="5"/>
  <c r="AK135" i="5"/>
  <c r="AL134" i="5"/>
  <c r="AK134" i="5"/>
  <c r="AL133" i="5"/>
  <c r="AK133" i="5"/>
  <c r="AL132" i="5"/>
  <c r="AK132" i="5"/>
  <c r="AL131" i="5"/>
  <c r="AK131" i="5"/>
  <c r="AL130" i="5"/>
  <c r="AK130" i="5"/>
  <c r="AL129" i="5"/>
  <c r="AK129" i="5"/>
  <c r="AL128" i="5"/>
  <c r="AK128" i="5"/>
  <c r="AL127" i="5"/>
  <c r="AK127" i="5"/>
  <c r="AL126" i="5"/>
  <c r="AK126" i="5"/>
  <c r="AL125" i="5"/>
  <c r="AK125" i="5"/>
  <c r="AL124" i="5"/>
  <c r="AK124" i="5"/>
  <c r="AL123" i="5"/>
  <c r="AK123" i="5"/>
  <c r="AL122" i="5"/>
  <c r="AK122" i="5"/>
  <c r="AL121" i="5"/>
  <c r="AK121" i="5"/>
  <c r="AL120" i="5"/>
  <c r="AK120" i="5"/>
  <c r="AL119" i="5"/>
  <c r="AK119" i="5"/>
  <c r="AL118" i="5"/>
  <c r="AK118" i="5"/>
  <c r="AL117" i="5"/>
  <c r="AK117" i="5"/>
  <c r="AL116" i="5"/>
  <c r="AK116" i="5"/>
  <c r="AL115" i="5"/>
  <c r="AK115" i="5"/>
  <c r="AL114" i="5"/>
  <c r="AK114" i="5"/>
  <c r="AL113" i="5"/>
  <c r="AK113" i="5"/>
  <c r="AL112" i="5"/>
  <c r="AK112" i="5"/>
  <c r="AL111" i="5"/>
  <c r="AK111" i="5"/>
  <c r="AL110" i="5"/>
  <c r="AK110" i="5"/>
  <c r="AL109" i="5"/>
  <c r="AK109" i="5"/>
  <c r="AL108" i="5"/>
  <c r="AK108" i="5"/>
  <c r="AL107" i="5"/>
  <c r="AK107" i="5"/>
  <c r="AL106" i="5"/>
  <c r="AK106" i="5"/>
  <c r="AL105" i="5"/>
  <c r="AK105" i="5"/>
  <c r="AL104" i="5"/>
  <c r="AK104" i="5"/>
  <c r="AL103" i="5"/>
  <c r="AK103" i="5"/>
  <c r="AL102" i="5"/>
  <c r="AK102" i="5"/>
  <c r="AL101" i="5"/>
  <c r="AK101" i="5"/>
  <c r="AL100" i="5"/>
  <c r="AK100" i="5"/>
  <c r="AL99" i="5"/>
  <c r="AK99" i="5"/>
  <c r="AL98" i="5"/>
  <c r="AK98" i="5"/>
  <c r="AL97" i="5"/>
  <c r="AK97" i="5"/>
  <c r="AL96" i="5"/>
  <c r="AK96" i="5"/>
  <c r="AL95" i="5"/>
  <c r="AK95" i="5"/>
  <c r="AL94" i="5"/>
  <c r="AK94" i="5"/>
  <c r="AL93" i="5"/>
  <c r="AK93" i="5"/>
  <c r="AL92" i="5"/>
  <c r="AK92" i="5"/>
  <c r="AL91" i="5"/>
  <c r="AK91" i="5"/>
  <c r="AL90" i="5"/>
  <c r="AK90" i="5"/>
  <c r="AL89" i="5"/>
  <c r="AK89" i="5"/>
  <c r="AL88" i="5"/>
  <c r="AK88" i="5"/>
  <c r="AL87" i="5"/>
  <c r="AK87" i="5"/>
  <c r="AL86" i="5"/>
  <c r="AK86" i="5"/>
  <c r="AL85" i="5"/>
  <c r="AK85" i="5"/>
  <c r="AL84" i="5"/>
  <c r="AK84" i="5"/>
  <c r="AL83" i="5"/>
  <c r="AK83" i="5"/>
  <c r="AL82" i="5"/>
  <c r="AK82" i="5"/>
  <c r="AL81" i="5"/>
  <c r="AK81" i="5"/>
  <c r="AL80" i="5"/>
  <c r="AK80" i="5"/>
  <c r="AL79" i="5"/>
  <c r="AK79" i="5"/>
  <c r="AL78" i="5"/>
  <c r="AK78" i="5"/>
  <c r="AL77" i="5"/>
  <c r="AK77" i="5"/>
  <c r="AL76" i="5"/>
  <c r="AK76" i="5"/>
  <c r="AL75" i="5"/>
  <c r="AK75" i="5"/>
  <c r="AL74" i="5"/>
  <c r="AK74" i="5"/>
  <c r="AL73" i="5"/>
  <c r="AK73" i="5"/>
  <c r="AL72" i="5"/>
  <c r="AK72" i="5"/>
  <c r="AL71" i="5"/>
  <c r="AK71" i="5"/>
  <c r="AL70" i="5"/>
  <c r="AK70" i="5"/>
  <c r="AL69" i="5"/>
  <c r="AK69" i="5"/>
  <c r="AL68" i="5"/>
  <c r="AK68" i="5"/>
  <c r="AL67" i="5"/>
  <c r="AK67" i="5"/>
  <c r="AL66" i="5"/>
  <c r="AK66" i="5"/>
  <c r="AL65" i="5"/>
  <c r="AK65" i="5"/>
  <c r="AL64" i="5"/>
  <c r="AK64" i="5"/>
  <c r="AL63" i="5"/>
  <c r="AK63" i="5"/>
  <c r="AL62" i="5"/>
  <c r="AK62" i="5"/>
  <c r="AL61" i="5"/>
  <c r="AK61" i="5"/>
  <c r="AL60" i="5"/>
  <c r="AK60" i="5"/>
  <c r="AL59" i="5"/>
  <c r="AK59" i="5"/>
  <c r="AL58" i="5"/>
  <c r="AK58" i="5"/>
  <c r="AL57" i="5"/>
  <c r="AK57" i="5"/>
  <c r="AL56" i="5"/>
  <c r="AK56" i="5"/>
  <c r="AL55" i="5"/>
  <c r="AK55" i="5"/>
  <c r="AL54" i="5"/>
  <c r="AK54" i="5"/>
  <c r="AL53" i="5"/>
  <c r="AK53" i="5"/>
  <c r="AL52" i="5"/>
  <c r="AK52" i="5"/>
  <c r="AL51" i="5"/>
  <c r="AK51" i="5"/>
  <c r="AL50" i="5"/>
  <c r="AK50" i="5"/>
  <c r="AL49" i="5"/>
  <c r="AK49" i="5"/>
  <c r="AL48" i="5"/>
  <c r="AK48" i="5"/>
  <c r="AL47" i="5"/>
  <c r="AK47" i="5"/>
  <c r="AL46" i="5"/>
  <c r="AK46" i="5"/>
  <c r="AL45" i="5"/>
  <c r="AK45" i="5"/>
  <c r="AL44" i="5"/>
  <c r="AK44" i="5"/>
  <c r="AL43" i="5"/>
  <c r="AK43" i="5"/>
  <c r="AL42" i="5"/>
  <c r="AK42" i="5"/>
  <c r="AL41" i="5"/>
  <c r="AK41" i="5"/>
  <c r="AL40" i="5"/>
  <c r="AK40" i="5"/>
  <c r="AL39" i="5"/>
  <c r="AK39" i="5"/>
  <c r="AL38" i="5"/>
  <c r="AK38" i="5"/>
  <c r="AL37" i="5"/>
  <c r="AK37" i="5"/>
  <c r="AL36" i="5"/>
  <c r="AK36" i="5"/>
  <c r="AL35" i="5"/>
  <c r="AK35" i="5"/>
  <c r="AL34" i="5"/>
  <c r="AK34" i="5"/>
  <c r="AL33" i="5"/>
  <c r="AK33" i="5"/>
  <c r="AL32" i="5"/>
  <c r="AK32" i="5"/>
  <c r="AL31" i="5"/>
  <c r="AK31" i="5"/>
  <c r="AL30" i="5"/>
  <c r="AK30" i="5"/>
  <c r="AL29" i="5"/>
  <c r="AK29" i="5"/>
  <c r="AL28" i="5"/>
  <c r="AK28" i="5"/>
  <c r="AL27" i="5"/>
  <c r="AK27" i="5"/>
  <c r="AL26" i="5"/>
  <c r="AK26" i="5"/>
  <c r="AL25" i="5"/>
  <c r="AK25" i="5"/>
  <c r="AL24" i="5"/>
  <c r="AK24" i="5"/>
  <c r="AL23" i="5"/>
  <c r="AK23" i="5"/>
  <c r="AL22" i="5"/>
  <c r="AK22" i="5"/>
  <c r="AL21" i="5"/>
  <c r="AK21" i="5"/>
  <c r="AL20" i="5"/>
  <c r="AK20" i="5"/>
  <c r="AL19" i="5"/>
  <c r="AK19" i="5"/>
  <c r="AL18" i="5"/>
  <c r="AK18" i="5"/>
  <c r="AL17" i="5"/>
  <c r="AK17" i="5"/>
  <c r="AL16" i="5"/>
  <c r="AK16" i="5"/>
  <c r="AL15" i="5"/>
  <c r="AK15" i="5"/>
  <c r="AL14" i="5"/>
  <c r="AK14" i="5"/>
  <c r="AL13" i="5"/>
  <c r="AK13" i="5"/>
  <c r="AL12" i="5"/>
  <c r="AK12" i="5"/>
  <c r="AL11" i="5"/>
  <c r="AK11" i="5"/>
  <c r="AL10" i="5"/>
  <c r="AK10" i="5"/>
  <c r="AL9" i="5"/>
  <c r="AK9" i="5"/>
  <c r="AL8" i="5"/>
  <c r="AK8" i="5"/>
  <c r="AL7" i="5"/>
  <c r="AK7" i="5"/>
  <c r="AL6" i="5"/>
  <c r="AK6" i="5"/>
  <c r="G121" i="4"/>
  <c r="G107" i="4"/>
  <c r="E101" i="4"/>
  <c r="D101" i="4"/>
  <c r="C99" i="4"/>
  <c r="B99" i="4"/>
  <c r="E98" i="4"/>
  <c r="D98" i="4"/>
  <c r="C98" i="4"/>
  <c r="B98" i="4"/>
  <c r="F95" i="4"/>
  <c r="E95" i="4"/>
  <c r="D95" i="4"/>
  <c r="C95" i="4"/>
  <c r="B95" i="4"/>
  <c r="F94" i="4"/>
  <c r="E94" i="4"/>
  <c r="D94" i="4"/>
  <c r="C94" i="4"/>
  <c r="B94" i="4"/>
  <c r="F93" i="4"/>
  <c r="E93" i="4"/>
  <c r="D93" i="4"/>
  <c r="C93" i="4"/>
  <c r="B93" i="4"/>
  <c r="F92" i="4"/>
  <c r="E92" i="4"/>
  <c r="D92" i="4"/>
  <c r="C92" i="4"/>
  <c r="B92" i="4"/>
  <c r="F91" i="4"/>
  <c r="E91" i="4"/>
  <c r="D91" i="4"/>
  <c r="C91" i="4"/>
  <c r="B91" i="4"/>
  <c r="F84" i="4"/>
  <c r="H74" i="4"/>
  <c r="H64" i="4"/>
  <c r="H63" i="4"/>
  <c r="H62" i="4"/>
  <c r="H61" i="4"/>
  <c r="H60" i="4"/>
  <c r="D55" i="4"/>
  <c r="H47" i="4"/>
  <c r="F47" i="4"/>
  <c r="E47" i="4"/>
  <c r="D47" i="4"/>
  <c r="C47" i="4"/>
  <c r="B47" i="4"/>
  <c r="H46" i="4"/>
  <c r="F46" i="4"/>
  <c r="E46" i="4"/>
  <c r="D46" i="4"/>
  <c r="C46" i="4"/>
  <c r="B46" i="4"/>
  <c r="H45" i="4"/>
  <c r="F45" i="4"/>
  <c r="E45" i="4"/>
  <c r="D45" i="4"/>
  <c r="C45" i="4"/>
  <c r="B45" i="4"/>
  <c r="H44" i="4"/>
  <c r="F44" i="4"/>
  <c r="E44" i="4"/>
  <c r="D44" i="4"/>
  <c r="C44" i="4"/>
  <c r="B44" i="4"/>
  <c r="H43" i="4"/>
  <c r="F43" i="4"/>
  <c r="E43" i="4"/>
  <c r="D43" i="4"/>
  <c r="C43" i="4"/>
  <c r="B43" i="4"/>
  <c r="H42" i="4"/>
  <c r="H67" i="4" s="1"/>
  <c r="F42" i="4"/>
  <c r="E42" i="4"/>
  <c r="D42" i="4"/>
  <c r="C42" i="4"/>
  <c r="B42" i="4"/>
  <c r="H41" i="4"/>
  <c r="H66" i="4" s="1"/>
  <c r="F41" i="4"/>
  <c r="E41" i="4"/>
  <c r="D41" i="4"/>
  <c r="C41" i="4"/>
  <c r="B41" i="4"/>
  <c r="H40" i="4"/>
  <c r="H65" i="4" s="1"/>
  <c r="F40" i="4"/>
  <c r="E40" i="4"/>
  <c r="D40" i="4"/>
  <c r="C40" i="4"/>
  <c r="B40" i="4"/>
  <c r="H39" i="4"/>
  <c r="F39" i="4"/>
  <c r="E39" i="4"/>
  <c r="D39" i="4"/>
  <c r="C39" i="4"/>
  <c r="B39" i="4"/>
  <c r="E38" i="4"/>
  <c r="D38" i="4"/>
  <c r="C38" i="4"/>
  <c r="H34" i="4"/>
  <c r="H33" i="4"/>
  <c r="H32" i="4"/>
  <c r="H31" i="4"/>
  <c r="B26" i="4"/>
  <c r="B25" i="4"/>
  <c r="B22" i="4"/>
  <c r="B9" i="4"/>
  <c r="B10" i="4" s="1"/>
  <c r="G7" i="4"/>
  <c r="F8" i="4" s="1"/>
  <c r="F9" i="4" s="1"/>
  <c r="F10" i="4" s="1"/>
  <c r="B6" i="3"/>
  <c r="C99" i="2"/>
  <c r="B99" i="2"/>
  <c r="D91" i="2"/>
  <c r="D90" i="2"/>
  <c r="C85" i="2"/>
  <c r="B85" i="2"/>
  <c r="C84" i="2"/>
  <c r="B84" i="2"/>
  <c r="C83" i="2"/>
  <c r="B83" i="2"/>
  <c r="C79" i="2"/>
  <c r="C80" i="2" s="1"/>
  <c r="C16" i="2" s="1"/>
  <c r="B79" i="2"/>
  <c r="B80" i="2" s="1"/>
  <c r="B16" i="2" s="1"/>
  <c r="C74" i="2"/>
  <c r="B74" i="2"/>
  <c r="B98" i="2" s="1"/>
  <c r="C73" i="2"/>
  <c r="B73" i="2"/>
  <c r="C65" i="2"/>
  <c r="B65" i="2"/>
  <c r="C64" i="2"/>
  <c r="B64" i="2"/>
  <c r="C61" i="2"/>
  <c r="B61" i="2"/>
  <c r="C60" i="2"/>
  <c r="B60" i="2"/>
  <c r="C59" i="2"/>
  <c r="B59" i="2"/>
  <c r="C57" i="2"/>
  <c r="B57" i="2"/>
  <c r="C54" i="2"/>
  <c r="B54" i="2"/>
  <c r="C53" i="2"/>
  <c r="C70" i="2" s="1"/>
  <c r="C24" i="2" s="1"/>
  <c r="B53" i="2"/>
  <c r="C46" i="2"/>
  <c r="B46" i="2"/>
  <c r="C44" i="2"/>
  <c r="B44" i="2"/>
  <c r="C43" i="2"/>
  <c r="B43" i="2"/>
  <c r="C40" i="2"/>
  <c r="C41" i="2" s="1"/>
  <c r="C50" i="2" s="1"/>
  <c r="C17" i="2" s="1"/>
  <c r="B40" i="2"/>
  <c r="B41" i="2" s="1"/>
  <c r="B50" i="2" s="1"/>
  <c r="B17" i="2" s="1"/>
  <c r="C38" i="2"/>
  <c r="B38" i="2"/>
  <c r="C37" i="2"/>
  <c r="C48" i="2" s="1"/>
  <c r="C13" i="2" s="1"/>
  <c r="B37" i="2"/>
  <c r="B48" i="2" s="1"/>
  <c r="B13" i="2" s="1"/>
  <c r="C36" i="2"/>
  <c r="B36" i="2"/>
  <c r="B75" i="2" l="1"/>
  <c r="B91" i="2" s="1"/>
  <c r="C75" i="2"/>
  <c r="C22" i="2" s="1"/>
  <c r="B70" i="2"/>
  <c r="B24" i="2" s="1"/>
  <c r="C96" i="2"/>
  <c r="C55" i="2"/>
  <c r="C56" i="2" s="1"/>
  <c r="C25" i="2" s="1"/>
  <c r="B96" i="2"/>
  <c r="B55" i="2"/>
  <c r="B56" i="2" s="1"/>
  <c r="B25" i="2" s="1"/>
  <c r="B45" i="2"/>
  <c r="C45" i="2"/>
  <c r="B47" i="2"/>
  <c r="F25" i="4"/>
  <c r="F26" i="4"/>
  <c r="F33" i="4" s="1"/>
  <c r="F22" i="4"/>
  <c r="F27" i="4"/>
  <c r="F23" i="4"/>
  <c r="F24" i="4"/>
  <c r="F32" i="4" s="1"/>
  <c r="F28" i="4"/>
  <c r="F99" i="4"/>
  <c r="F100" i="4"/>
  <c r="F101" i="4"/>
  <c r="F102" i="4"/>
  <c r="E102" i="4"/>
  <c r="F21" i="4"/>
  <c r="F57" i="4"/>
  <c r="F56" i="4"/>
  <c r="B33" i="4"/>
  <c r="B100" i="4"/>
  <c r="F98" i="4"/>
  <c r="H98" i="4" s="1" a="1"/>
  <c r="B102" i="4"/>
  <c r="B101" i="4"/>
  <c r="B23" i="4"/>
  <c r="B27" i="4"/>
  <c r="B24" i="4"/>
  <c r="B21" i="4"/>
  <c r="B28" i="4"/>
  <c r="F55" i="4"/>
  <c r="B87" i="2"/>
  <c r="B20" i="2" s="1"/>
  <c r="B92" i="2"/>
  <c r="B86" i="2"/>
  <c r="B18" i="2" s="1"/>
  <c r="C47" i="2"/>
  <c r="C49" i="2" s="1"/>
  <c r="C15" i="2" s="1"/>
  <c r="D102" i="4"/>
  <c r="D100" i="4"/>
  <c r="D99" i="4"/>
  <c r="D57" i="4"/>
  <c r="D56" i="4"/>
  <c r="AK909" i="5"/>
  <c r="AK911" i="5" s="1"/>
  <c r="G108" i="4" s="1"/>
  <c r="C92" i="2"/>
  <c r="C86" i="2"/>
  <c r="C18" i="2" s="1"/>
  <c r="AL909" i="5"/>
  <c r="AL911" i="5" s="1"/>
  <c r="AL910" i="5"/>
  <c r="AL912" i="5" s="1"/>
  <c r="G123" i="4" s="1"/>
  <c r="B68" i="2"/>
  <c r="B23" i="2" s="1"/>
  <c r="B62" i="2"/>
  <c r="E57" i="4"/>
  <c r="E56" i="4"/>
  <c r="B58" i="2"/>
  <c r="C87" i="2"/>
  <c r="C20" i="2" s="1"/>
  <c r="H108" i="4"/>
  <c r="H57" i="4"/>
  <c r="F85" i="4"/>
  <c r="H56" i="4"/>
  <c r="B55" i="4"/>
  <c r="B56" i="4"/>
  <c r="B57" i="4"/>
  <c r="B69" i="2"/>
  <c r="B76" i="2"/>
  <c r="B21" i="2" s="1"/>
  <c r="B31" i="4"/>
  <c r="E99" i="4"/>
  <c r="E100" i="4"/>
  <c r="H55" i="4"/>
  <c r="H111" i="4" s="1"/>
  <c r="C68" i="2"/>
  <c r="C23" i="2" s="1"/>
  <c r="C62" i="2"/>
  <c r="C58" i="2"/>
  <c r="E8" i="4"/>
  <c r="E9" i="4" s="1"/>
  <c r="E10" i="4" s="1"/>
  <c r="D8" i="4"/>
  <c r="D9" i="4" s="1"/>
  <c r="D10" i="4" s="1"/>
  <c r="C8" i="4"/>
  <c r="C76" i="2"/>
  <c r="C21" i="2" s="1"/>
  <c r="AK910" i="5"/>
  <c r="AK912" i="5" s="1"/>
  <c r="G109" i="4" s="1"/>
  <c r="C57" i="4"/>
  <c r="C55" i="4"/>
  <c r="C69" i="2"/>
  <c r="C100" i="4"/>
  <c r="C102" i="4"/>
  <c r="C101" i="4"/>
  <c r="C91" i="2" l="1"/>
  <c r="B22" i="2"/>
  <c r="H101" i="4"/>
  <c r="H98" i="4"/>
  <c r="L100" i="4"/>
  <c r="L102" i="4"/>
  <c r="I99" i="4"/>
  <c r="K102" i="4"/>
  <c r="H99" i="4"/>
  <c r="J102" i="4"/>
  <c r="L98" i="4"/>
  <c r="K100" i="4"/>
  <c r="J100" i="4"/>
  <c r="L99" i="4"/>
  <c r="K98" i="4"/>
  <c r="J98" i="4"/>
  <c r="I100" i="4"/>
  <c r="H100" i="4"/>
  <c r="J99" i="4"/>
  <c r="K99" i="4"/>
  <c r="J101" i="4"/>
  <c r="I101" i="4"/>
  <c r="I98" i="4"/>
  <c r="I102" i="4"/>
  <c r="H102" i="4"/>
  <c r="L101" i="4"/>
  <c r="K101" i="4"/>
  <c r="B32" i="4"/>
  <c r="AJ905" i="5"/>
  <c r="AJ889" i="5"/>
  <c r="AJ873" i="5"/>
  <c r="AJ857" i="5"/>
  <c r="AJ841" i="5"/>
  <c r="AJ825" i="5"/>
  <c r="AJ809" i="5"/>
  <c r="AJ793" i="5"/>
  <c r="AJ777" i="5"/>
  <c r="AJ761" i="5"/>
  <c r="AJ745" i="5"/>
  <c r="AJ729" i="5"/>
  <c r="AJ713" i="5"/>
  <c r="AJ697" i="5"/>
  <c r="AJ681" i="5"/>
  <c r="AJ665" i="5"/>
  <c r="AJ649" i="5"/>
  <c r="AJ633" i="5"/>
  <c r="AJ617" i="5"/>
  <c r="AJ601" i="5"/>
  <c r="AJ585" i="5"/>
  <c r="AJ569" i="5"/>
  <c r="AJ553" i="5"/>
  <c r="AJ537" i="5"/>
  <c r="AJ521" i="5"/>
  <c r="AJ505" i="5"/>
  <c r="AJ489" i="5"/>
  <c r="AJ473" i="5"/>
  <c r="AJ457" i="5"/>
  <c r="AJ441" i="5"/>
  <c r="AJ425" i="5"/>
  <c r="AJ409" i="5"/>
  <c r="AJ393" i="5"/>
  <c r="AJ377" i="5"/>
  <c r="AJ361" i="5"/>
  <c r="AJ345" i="5"/>
  <c r="AJ329" i="5"/>
  <c r="AJ313" i="5"/>
  <c r="AJ297" i="5"/>
  <c r="AJ281" i="5"/>
  <c r="AJ265" i="5"/>
  <c r="AJ249" i="5"/>
  <c r="AJ233" i="5"/>
  <c r="AJ217" i="5"/>
  <c r="AJ201" i="5"/>
  <c r="AJ185" i="5"/>
  <c r="AJ169" i="5"/>
  <c r="AJ153" i="5"/>
  <c r="AJ137" i="5"/>
  <c r="AJ121" i="5"/>
  <c r="AJ105" i="5"/>
  <c r="AJ89" i="5"/>
  <c r="AJ73" i="5"/>
  <c r="AJ57" i="5"/>
  <c r="AJ41" i="5"/>
  <c r="AJ25" i="5"/>
  <c r="AJ9" i="5"/>
  <c r="AJ894" i="5"/>
  <c r="AJ878" i="5"/>
  <c r="AJ862" i="5"/>
  <c r="AJ846" i="5"/>
  <c r="AJ830" i="5"/>
  <c r="AJ814" i="5"/>
  <c r="AJ798" i="5"/>
  <c r="AJ782" i="5"/>
  <c r="AJ766" i="5"/>
  <c r="AJ750" i="5"/>
  <c r="AJ734" i="5"/>
  <c r="AJ718" i="5"/>
  <c r="AJ702" i="5"/>
  <c r="AJ686" i="5"/>
  <c r="AJ670" i="5"/>
  <c r="AJ654" i="5"/>
  <c r="AJ638" i="5"/>
  <c r="AJ622" i="5"/>
  <c r="AJ606" i="5"/>
  <c r="AJ590" i="5"/>
  <c r="AJ574" i="5"/>
  <c r="AJ558" i="5"/>
  <c r="AJ542" i="5"/>
  <c r="AJ526" i="5"/>
  <c r="AJ510" i="5"/>
  <c r="AJ494" i="5"/>
  <c r="AJ478" i="5"/>
  <c r="AJ462" i="5"/>
  <c r="AJ446" i="5"/>
  <c r="AJ430" i="5"/>
  <c r="AJ414" i="5"/>
  <c r="AJ398" i="5"/>
  <c r="AJ382" i="5"/>
  <c r="AJ366" i="5"/>
  <c r="AJ350" i="5"/>
  <c r="AJ334" i="5"/>
  <c r="AJ318" i="5"/>
  <c r="AJ302" i="5"/>
  <c r="AJ286" i="5"/>
  <c r="AJ270" i="5"/>
  <c r="AJ254" i="5"/>
  <c r="AJ238" i="5"/>
  <c r="AJ222" i="5"/>
  <c r="AJ206" i="5"/>
  <c r="AJ190" i="5"/>
  <c r="AJ174" i="5"/>
  <c r="AJ158" i="5"/>
  <c r="AJ142" i="5"/>
  <c r="AJ126" i="5"/>
  <c r="AJ110" i="5"/>
  <c r="AJ94" i="5"/>
  <c r="AJ78" i="5"/>
  <c r="AJ62" i="5"/>
  <c r="AJ46" i="5"/>
  <c r="AJ30" i="5"/>
  <c r="AJ14" i="5"/>
  <c r="AJ899" i="5"/>
  <c r="AJ883" i="5"/>
  <c r="AJ867" i="5"/>
  <c r="AJ851" i="5"/>
  <c r="AJ835" i="5"/>
  <c r="AJ819" i="5"/>
  <c r="AJ803" i="5"/>
  <c r="AJ787" i="5"/>
  <c r="AJ771" i="5"/>
  <c r="AJ755" i="5"/>
  <c r="AJ739" i="5"/>
  <c r="AJ723" i="5"/>
  <c r="AJ707" i="5"/>
  <c r="AJ691" i="5"/>
  <c r="AJ675" i="5"/>
  <c r="AJ659" i="5"/>
  <c r="AJ643" i="5"/>
  <c r="AJ627" i="5"/>
  <c r="AJ611" i="5"/>
  <c r="AJ595" i="5"/>
  <c r="AJ579" i="5"/>
  <c r="AJ563" i="5"/>
  <c r="AJ547" i="5"/>
  <c r="AJ531" i="5"/>
  <c r="AJ515" i="5"/>
  <c r="AJ499" i="5"/>
  <c r="AJ483" i="5"/>
  <c r="AJ467" i="5"/>
  <c r="AJ451" i="5"/>
  <c r="AJ435" i="5"/>
  <c r="AJ419" i="5"/>
  <c r="AJ403" i="5"/>
  <c r="AJ387" i="5"/>
  <c r="AJ371" i="5"/>
  <c r="AJ355" i="5"/>
  <c r="AJ339" i="5"/>
  <c r="AJ323" i="5"/>
  <c r="AJ307" i="5"/>
  <c r="AJ291" i="5"/>
  <c r="AJ275" i="5"/>
  <c r="AJ259" i="5"/>
  <c r="AJ243" i="5"/>
  <c r="AJ227" i="5"/>
  <c r="AJ211" i="5"/>
  <c r="AJ903" i="5"/>
  <c r="AJ886" i="5"/>
  <c r="AJ869" i="5"/>
  <c r="AJ852" i="5"/>
  <c r="AJ829" i="5"/>
  <c r="AJ812" i="5"/>
  <c r="AJ795" i="5"/>
  <c r="AJ778" i="5"/>
  <c r="AJ738" i="5"/>
  <c r="AJ721" i="5"/>
  <c r="AJ704" i="5"/>
  <c r="AJ687" i="5"/>
  <c r="AJ664" i="5"/>
  <c r="AJ647" i="5"/>
  <c r="AJ630" i="5"/>
  <c r="AJ613" i="5"/>
  <c r="AJ596" i="5"/>
  <c r="AJ573" i="5"/>
  <c r="AJ556" i="5"/>
  <c r="AJ539" i="5"/>
  <c r="AJ522" i="5"/>
  <c r="AJ482" i="5"/>
  <c r="AJ465" i="5"/>
  <c r="AJ448" i="5"/>
  <c r="AJ431" i="5"/>
  <c r="AJ408" i="5"/>
  <c r="AJ391" i="5"/>
  <c r="AJ374" i="5"/>
  <c r="AJ357" i="5"/>
  <c r="AJ340" i="5"/>
  <c r="AJ317" i="5"/>
  <c r="AJ300" i="5"/>
  <c r="AJ283" i="5"/>
  <c r="AJ266" i="5"/>
  <c r="AJ226" i="5"/>
  <c r="AJ209" i="5"/>
  <c r="AJ181" i="5"/>
  <c r="AJ170" i="5"/>
  <c r="AJ159" i="5"/>
  <c r="AJ131" i="5"/>
  <c r="AJ897" i="5"/>
  <c r="AJ880" i="5"/>
  <c r="AJ863" i="5"/>
  <c r="AJ840" i="5"/>
  <c r="AJ823" i="5"/>
  <c r="AJ806" i="5"/>
  <c r="AJ789" i="5"/>
  <c r="AJ772" i="5"/>
  <c r="AJ749" i="5"/>
  <c r="AJ732" i="5"/>
  <c r="AJ715" i="5"/>
  <c r="AJ698" i="5"/>
  <c r="AJ658" i="5"/>
  <c r="AJ641" i="5"/>
  <c r="AJ624" i="5"/>
  <c r="AJ607" i="5"/>
  <c r="AJ584" i="5"/>
  <c r="AJ567" i="5"/>
  <c r="AJ550" i="5"/>
  <c r="AJ533" i="5"/>
  <c r="AJ516" i="5"/>
  <c r="AJ493" i="5"/>
  <c r="AJ476" i="5"/>
  <c r="AJ459" i="5"/>
  <c r="AJ442" i="5"/>
  <c r="AJ402" i="5"/>
  <c r="AJ385" i="5"/>
  <c r="AJ368" i="5"/>
  <c r="AJ351" i="5"/>
  <c r="AJ328" i="5"/>
  <c r="AJ311" i="5"/>
  <c r="AJ294" i="5"/>
  <c r="AJ277" i="5"/>
  <c r="AJ260" i="5"/>
  <c r="AJ237" i="5"/>
  <c r="AJ220" i="5"/>
  <c r="AJ203" i="5"/>
  <c r="AJ192" i="5"/>
  <c r="AJ164" i="5"/>
  <c r="AJ136" i="5"/>
  <c r="AJ125" i="5"/>
  <c r="AJ114" i="5"/>
  <c r="AJ86" i="5"/>
  <c r="AJ75" i="5"/>
  <c r="AJ64" i="5"/>
  <c r="AJ36" i="5"/>
  <c r="AJ8" i="5"/>
  <c r="AJ856" i="5"/>
  <c r="AJ839" i="5"/>
  <c r="AJ822" i="5"/>
  <c r="AJ714" i="5"/>
  <c r="AJ674" i="5"/>
  <c r="AJ657" i="5"/>
  <c r="AJ640" i="5"/>
  <c r="AJ600" i="5"/>
  <c r="AJ583" i="5"/>
  <c r="AJ566" i="5"/>
  <c r="AJ549" i="5"/>
  <c r="AJ532" i="5"/>
  <c r="AJ492" i="5"/>
  <c r="AJ475" i="5"/>
  <c r="AJ401" i="5"/>
  <c r="AJ384" i="5"/>
  <c r="AJ908" i="5"/>
  <c r="AJ891" i="5"/>
  <c r="AJ874" i="5"/>
  <c r="AJ834" i="5"/>
  <c r="AJ817" i="5"/>
  <c r="AJ800" i="5"/>
  <c r="AJ783" i="5"/>
  <c r="AJ760" i="5"/>
  <c r="AJ743" i="5"/>
  <c r="AJ726" i="5"/>
  <c r="AJ709" i="5"/>
  <c r="AJ692" i="5"/>
  <c r="AJ669" i="5"/>
  <c r="AJ652" i="5"/>
  <c r="AJ635" i="5"/>
  <c r="AJ618" i="5"/>
  <c r="AJ578" i="5"/>
  <c r="AJ561" i="5"/>
  <c r="AJ544" i="5"/>
  <c r="AJ527" i="5"/>
  <c r="AJ504" i="5"/>
  <c r="AJ487" i="5"/>
  <c r="AJ470" i="5"/>
  <c r="AJ453" i="5"/>
  <c r="AJ436" i="5"/>
  <c r="AJ413" i="5"/>
  <c r="AJ396" i="5"/>
  <c r="AJ379" i="5"/>
  <c r="AJ362" i="5"/>
  <c r="AJ322" i="5"/>
  <c r="AJ305" i="5"/>
  <c r="AJ288" i="5"/>
  <c r="AJ271" i="5"/>
  <c r="AJ248" i="5"/>
  <c r="AJ231" i="5"/>
  <c r="AJ214" i="5"/>
  <c r="AJ197" i="5"/>
  <c r="AJ186" i="5"/>
  <c r="AJ175" i="5"/>
  <c r="AJ147" i="5"/>
  <c r="AJ119" i="5"/>
  <c r="AJ108" i="5"/>
  <c r="AJ97" i="5"/>
  <c r="AJ69" i="5"/>
  <c r="AJ58" i="5"/>
  <c r="AJ47" i="5"/>
  <c r="AJ19" i="5"/>
  <c r="AJ896" i="5"/>
  <c r="AJ879" i="5"/>
  <c r="AJ805" i="5"/>
  <c r="AJ788" i="5"/>
  <c r="AJ765" i="5"/>
  <c r="AJ748" i="5"/>
  <c r="AJ731" i="5"/>
  <c r="AJ623" i="5"/>
  <c r="AJ458" i="5"/>
  <c r="AJ902" i="5"/>
  <c r="AJ885" i="5"/>
  <c r="AJ868" i="5"/>
  <c r="AJ845" i="5"/>
  <c r="AJ828" i="5"/>
  <c r="AJ811" i="5"/>
  <c r="AJ794" i="5"/>
  <c r="AJ754" i="5"/>
  <c r="AJ737" i="5"/>
  <c r="AJ720" i="5"/>
  <c r="AJ703" i="5"/>
  <c r="AJ680" i="5"/>
  <c r="AJ663" i="5"/>
  <c r="AJ646" i="5"/>
  <c r="AJ629" i="5"/>
  <c r="AJ612" i="5"/>
  <c r="AJ589" i="5"/>
  <c r="AJ572" i="5"/>
  <c r="AJ555" i="5"/>
  <c r="AJ538" i="5"/>
  <c r="AJ498" i="5"/>
  <c r="AJ481" i="5"/>
  <c r="AJ464" i="5"/>
  <c r="AJ447" i="5"/>
  <c r="AJ424" i="5"/>
  <c r="AJ407" i="5"/>
  <c r="AJ390" i="5"/>
  <c r="AJ373" i="5"/>
  <c r="AJ356" i="5"/>
  <c r="AJ333" i="5"/>
  <c r="AJ316" i="5"/>
  <c r="AJ299" i="5"/>
  <c r="AJ282" i="5"/>
  <c r="AJ242" i="5"/>
  <c r="AJ225" i="5"/>
  <c r="AJ208" i="5"/>
  <c r="AJ180" i="5"/>
  <c r="AJ152" i="5"/>
  <c r="AJ141" i="5"/>
  <c r="AJ130" i="5"/>
  <c r="AJ102" i="5"/>
  <c r="AJ91" i="5"/>
  <c r="AJ80" i="5"/>
  <c r="AJ52" i="5"/>
  <c r="AJ24" i="5"/>
  <c r="AJ13" i="5"/>
  <c r="AJ509" i="5"/>
  <c r="AJ418" i="5"/>
  <c r="AJ875" i="5"/>
  <c r="AJ850" i="5"/>
  <c r="AJ844" i="5"/>
  <c r="AJ744" i="5"/>
  <c r="AJ725" i="5"/>
  <c r="AJ712" i="5"/>
  <c r="AJ706" i="5"/>
  <c r="AJ644" i="5"/>
  <c r="AJ625" i="5"/>
  <c r="AJ400" i="5"/>
  <c r="AJ394" i="5"/>
  <c r="AJ381" i="5"/>
  <c r="AJ375" i="5"/>
  <c r="AJ344" i="5"/>
  <c r="AJ338" i="5"/>
  <c r="AJ332" i="5"/>
  <c r="AJ326" i="5"/>
  <c r="AJ320" i="5"/>
  <c r="AJ295" i="5"/>
  <c r="AJ289" i="5"/>
  <c r="AJ264" i="5"/>
  <c r="AJ258" i="5"/>
  <c r="AJ179" i="5"/>
  <c r="AJ173" i="5"/>
  <c r="AJ167" i="5"/>
  <c r="AJ66" i="5"/>
  <c r="AJ60" i="5"/>
  <c r="AJ54" i="5"/>
  <c r="AJ31" i="5"/>
  <c r="AJ7" i="5"/>
  <c r="AJ892" i="5"/>
  <c r="AJ779" i="5"/>
  <c r="AJ411" i="5"/>
  <c r="AJ860" i="5"/>
  <c r="AJ685" i="5"/>
  <c r="AJ673" i="5"/>
  <c r="AJ648" i="5"/>
  <c r="AJ616" i="5"/>
  <c r="AJ541" i="5"/>
  <c r="AJ342" i="5"/>
  <c r="AJ330" i="5"/>
  <c r="AJ256" i="5"/>
  <c r="AJ207" i="5"/>
  <c r="AJ189" i="5"/>
  <c r="AJ171" i="5"/>
  <c r="AJ129" i="5"/>
  <c r="AJ117" i="5"/>
  <c r="AJ872" i="5"/>
  <c r="AJ816" i="5"/>
  <c r="AJ591" i="5"/>
  <c r="AJ534" i="5"/>
  <c r="AJ497" i="5"/>
  <c r="AJ434" i="5"/>
  <c r="AJ298" i="5"/>
  <c r="AJ292" i="5"/>
  <c r="AJ63" i="5"/>
  <c r="AJ900" i="5"/>
  <c r="AJ881" i="5"/>
  <c r="AJ656" i="5"/>
  <c r="AJ650" i="5"/>
  <c r="AJ637" i="5"/>
  <c r="AJ631" i="5"/>
  <c r="AJ581" i="5"/>
  <c r="AJ575" i="5"/>
  <c r="AJ562" i="5"/>
  <c r="AJ543" i="5"/>
  <c r="AJ530" i="5"/>
  <c r="AJ524" i="5"/>
  <c r="AJ518" i="5"/>
  <c r="AJ512" i="5"/>
  <c r="AJ506" i="5"/>
  <c r="AJ500" i="5"/>
  <c r="AJ443" i="5"/>
  <c r="AJ437" i="5"/>
  <c r="AJ406" i="5"/>
  <c r="AJ301" i="5"/>
  <c r="AJ276" i="5"/>
  <c r="AJ252" i="5"/>
  <c r="AJ246" i="5"/>
  <c r="AJ240" i="5"/>
  <c r="AJ234" i="5"/>
  <c r="AJ228" i="5"/>
  <c r="AJ191" i="5"/>
  <c r="AJ161" i="5"/>
  <c r="AJ155" i="5"/>
  <c r="AJ149" i="5"/>
  <c r="AJ113" i="5"/>
  <c r="AJ107" i="5"/>
  <c r="AJ101" i="5"/>
  <c r="AJ48" i="5"/>
  <c r="AJ42" i="5"/>
  <c r="AJ529" i="5"/>
  <c r="AJ386" i="5"/>
  <c r="AJ306" i="5"/>
  <c r="AJ251" i="5"/>
  <c r="AJ154" i="5"/>
  <c r="AJ100" i="5"/>
  <c r="AJ785" i="5"/>
  <c r="AJ773" i="5"/>
  <c r="AJ661" i="5"/>
  <c r="AJ642" i="5"/>
  <c r="AJ604" i="5"/>
  <c r="AJ598" i="5"/>
  <c r="AJ592" i="5"/>
  <c r="AJ554" i="5"/>
  <c r="AJ535" i="5"/>
  <c r="AJ429" i="5"/>
  <c r="AJ417" i="5"/>
  <c r="AJ354" i="5"/>
  <c r="AJ287" i="5"/>
  <c r="AJ76" i="5"/>
  <c r="AJ23" i="5"/>
  <c r="AJ904" i="5"/>
  <c r="AJ735" i="5"/>
  <c r="AJ485" i="5"/>
  <c r="AJ466" i="5"/>
  <c r="AJ404" i="5"/>
  <c r="AJ250" i="5"/>
  <c r="AJ244" i="5"/>
  <c r="AJ213" i="5"/>
  <c r="AJ111" i="5"/>
  <c r="AJ99" i="5"/>
  <c r="C9" i="4"/>
  <c r="AJ784" i="5"/>
  <c r="AJ747" i="5"/>
  <c r="AJ741" i="5"/>
  <c r="AJ728" i="5"/>
  <c r="AJ722" i="5"/>
  <c r="AJ660" i="5"/>
  <c r="AJ628" i="5"/>
  <c r="AJ609" i="5"/>
  <c r="AJ603" i="5"/>
  <c r="AJ597" i="5"/>
  <c r="AJ503" i="5"/>
  <c r="AJ440" i="5"/>
  <c r="AJ428" i="5"/>
  <c r="AJ422" i="5"/>
  <c r="AJ416" i="5"/>
  <c r="AJ410" i="5"/>
  <c r="AJ397" i="5"/>
  <c r="AJ378" i="5"/>
  <c r="AJ353" i="5"/>
  <c r="AJ347" i="5"/>
  <c r="AJ200" i="5"/>
  <c r="AJ81" i="5"/>
  <c r="AJ51" i="5"/>
  <c r="AJ45" i="5"/>
  <c r="AJ28" i="5"/>
  <c r="AJ22" i="5"/>
  <c r="AJ884" i="5"/>
  <c r="AJ865" i="5"/>
  <c r="AJ859" i="5"/>
  <c r="AJ853" i="5"/>
  <c r="AJ847" i="5"/>
  <c r="AJ790" i="5"/>
  <c r="AJ759" i="5"/>
  <c r="AJ753" i="5"/>
  <c r="AJ696" i="5"/>
  <c r="AJ690" i="5"/>
  <c r="AJ684" i="5"/>
  <c r="AJ678" i="5"/>
  <c r="AJ672" i="5"/>
  <c r="AJ666" i="5"/>
  <c r="AJ653" i="5"/>
  <c r="AJ634" i="5"/>
  <c r="AJ621" i="5"/>
  <c r="AJ615" i="5"/>
  <c r="AJ565" i="5"/>
  <c r="AJ546" i="5"/>
  <c r="AJ540" i="5"/>
  <c r="AJ906" i="5"/>
  <c r="AJ893" i="5"/>
  <c r="AJ887" i="5"/>
  <c r="AJ837" i="5"/>
  <c r="AJ831" i="5"/>
  <c r="AJ818" i="5"/>
  <c r="AJ799" i="5"/>
  <c r="AJ786" i="5"/>
  <c r="AJ780" i="5"/>
  <c r="AJ774" i="5"/>
  <c r="AJ768" i="5"/>
  <c r="AJ762" i="5"/>
  <c r="AJ756" i="5"/>
  <c r="AJ699" i="5"/>
  <c r="AJ693" i="5"/>
  <c r="AJ662" i="5"/>
  <c r="AJ605" i="5"/>
  <c r="AJ599" i="5"/>
  <c r="AJ593" i="5"/>
  <c r="AJ587" i="5"/>
  <c r="AJ568" i="5"/>
  <c r="AJ536" i="5"/>
  <c r="AJ474" i="5"/>
  <c r="AJ468" i="5"/>
  <c r="AJ455" i="5"/>
  <c r="AJ449" i="5"/>
  <c r="AJ412" i="5"/>
  <c r="AJ349" i="5"/>
  <c r="AJ221" i="5"/>
  <c r="AJ215" i="5"/>
  <c r="AJ143" i="5"/>
  <c r="AJ95" i="5"/>
  <c r="AJ83" i="5"/>
  <c r="AJ77" i="5"/>
  <c r="AJ71" i="5"/>
  <c r="AJ245" i="5"/>
  <c r="AJ106" i="5"/>
  <c r="AJ219" i="5"/>
  <c r="AJ87" i="5"/>
  <c r="AJ861" i="5"/>
  <c r="AJ855" i="5"/>
  <c r="AJ849" i="5"/>
  <c r="AJ843" i="5"/>
  <c r="AJ824" i="5"/>
  <c r="AJ792" i="5"/>
  <c r="AJ730" i="5"/>
  <c r="AJ724" i="5"/>
  <c r="AJ711" i="5"/>
  <c r="AJ705" i="5"/>
  <c r="AJ668" i="5"/>
  <c r="AJ480" i="5"/>
  <c r="AJ461" i="5"/>
  <c r="AJ399" i="5"/>
  <c r="AJ380" i="5"/>
  <c r="AJ343" i="5"/>
  <c r="AJ337" i="5"/>
  <c r="AJ331" i="5"/>
  <c r="AJ325" i="5"/>
  <c r="AJ319" i="5"/>
  <c r="AJ269" i="5"/>
  <c r="AJ263" i="5"/>
  <c r="AJ257" i="5"/>
  <c r="AJ202" i="5"/>
  <c r="AJ196" i="5"/>
  <c r="AJ184" i="5"/>
  <c r="AJ178" i="5"/>
  <c r="AJ172" i="5"/>
  <c r="AJ166" i="5"/>
  <c r="AJ124" i="5"/>
  <c r="AJ118" i="5"/>
  <c r="AJ65" i="5"/>
  <c r="AJ59" i="5"/>
  <c r="AJ53" i="5"/>
  <c r="AJ18" i="5"/>
  <c r="AJ12" i="5"/>
  <c r="AJ6" i="5"/>
  <c r="AJ736" i="5"/>
  <c r="AJ717" i="5"/>
  <c r="AJ636" i="5"/>
  <c r="AJ580" i="5"/>
  <c r="AJ523" i="5"/>
  <c r="AJ312" i="5"/>
  <c r="AJ160" i="5"/>
  <c r="AJ112" i="5"/>
  <c r="AJ88" i="5"/>
  <c r="AJ460" i="5"/>
  <c r="AJ262" i="5"/>
  <c r="AJ232" i="5"/>
  <c r="AJ183" i="5"/>
  <c r="AJ165" i="5"/>
  <c r="AJ135" i="5"/>
  <c r="AJ40" i="5"/>
  <c r="AJ17" i="5"/>
  <c r="AJ528" i="5"/>
  <c r="AJ655" i="5"/>
  <c r="AJ548" i="5"/>
  <c r="AJ517" i="5"/>
  <c r="AJ511" i="5"/>
  <c r="AJ486" i="5"/>
  <c r="AJ405" i="5"/>
  <c r="AJ367" i="5"/>
  <c r="AJ239" i="5"/>
  <c r="AJ148" i="5"/>
  <c r="AJ35" i="5"/>
  <c r="AJ836" i="5"/>
  <c r="AJ804" i="5"/>
  <c r="AJ767" i="5"/>
  <c r="AJ742" i="5"/>
  <c r="AJ610" i="5"/>
  <c r="AJ586" i="5"/>
  <c r="AJ454" i="5"/>
  <c r="AJ423" i="5"/>
  <c r="AJ392" i="5"/>
  <c r="AJ348" i="5"/>
  <c r="AJ293" i="5"/>
  <c r="AJ82" i="5"/>
  <c r="AJ70" i="5"/>
  <c r="AJ29" i="5"/>
  <c r="AJ898" i="5"/>
  <c r="AJ866" i="5"/>
  <c r="AJ854" i="5"/>
  <c r="AJ848" i="5"/>
  <c r="AJ842" i="5"/>
  <c r="AJ810" i="5"/>
  <c r="AJ791" i="5"/>
  <c r="AJ710" i="5"/>
  <c r="AJ679" i="5"/>
  <c r="AJ667" i="5"/>
  <c r="AJ560" i="5"/>
  <c r="AJ479" i="5"/>
  <c r="AJ360" i="5"/>
  <c r="AJ336" i="5"/>
  <c r="AJ324" i="5"/>
  <c r="AJ280" i="5"/>
  <c r="AJ274" i="5"/>
  <c r="AJ268" i="5"/>
  <c r="AJ195" i="5"/>
  <c r="AJ177" i="5"/>
  <c r="AJ123" i="5"/>
  <c r="AJ11" i="5"/>
  <c r="AJ797" i="5"/>
  <c r="AJ716" i="5"/>
  <c r="AJ491" i="5"/>
  <c r="AJ472" i="5"/>
  <c r="AJ372" i="5"/>
  <c r="AJ93" i="5"/>
  <c r="AJ34" i="5"/>
  <c r="AJ882" i="5"/>
  <c r="AJ796" i="5"/>
  <c r="AJ746" i="5"/>
  <c r="AJ701" i="5"/>
  <c r="AJ614" i="5"/>
  <c r="AJ577" i="5"/>
  <c r="AJ519" i="5"/>
  <c r="AJ477" i="5"/>
  <c r="AJ376" i="5"/>
  <c r="AJ369" i="5"/>
  <c r="AJ341" i="5"/>
  <c r="AJ284" i="5"/>
  <c r="AJ241" i="5"/>
  <c r="AJ193" i="5"/>
  <c r="AJ157" i="5"/>
  <c r="AJ144" i="5"/>
  <c r="AJ502" i="5"/>
  <c r="AJ445" i="5"/>
  <c r="AJ309" i="5"/>
  <c r="AJ38" i="5"/>
  <c r="AJ438" i="5"/>
  <c r="AJ352" i="5"/>
  <c r="AJ44" i="5"/>
  <c r="AJ826" i="5"/>
  <c r="AJ557" i="5"/>
  <c r="AJ235" i="5"/>
  <c r="AJ708" i="5"/>
  <c r="AJ694" i="5"/>
  <c r="AJ570" i="5"/>
  <c r="AJ484" i="5"/>
  <c r="AJ427" i="5"/>
  <c r="AJ383" i="5"/>
  <c r="AJ255" i="5"/>
  <c r="AJ199" i="5"/>
  <c r="AJ150" i="5"/>
  <c r="AJ103" i="5"/>
  <c r="AJ96" i="5"/>
  <c r="AJ68" i="5"/>
  <c r="AJ61" i="5"/>
  <c r="AJ27" i="5"/>
  <c r="AJ156" i="5"/>
  <c r="AJ426" i="5"/>
  <c r="AJ261" i="5"/>
  <c r="AJ198" i="5"/>
  <c r="AJ39" i="5"/>
  <c r="AJ26" i="5"/>
  <c r="G8" i="4"/>
  <c r="AJ801" i="5"/>
  <c r="AJ751" i="5"/>
  <c r="AJ626" i="5"/>
  <c r="AJ619" i="5"/>
  <c r="AJ582" i="5"/>
  <c r="AJ496" i="5"/>
  <c r="AJ439" i="5"/>
  <c r="AJ296" i="5"/>
  <c r="AJ162" i="5"/>
  <c r="AJ122" i="5"/>
  <c r="AJ807" i="5"/>
  <c r="AJ452" i="5"/>
  <c r="AJ267" i="5"/>
  <c r="AJ224" i="5"/>
  <c r="AJ168" i="5"/>
  <c r="AJ871" i="5"/>
  <c r="AJ864" i="5"/>
  <c r="AJ820" i="5"/>
  <c r="AJ813" i="5"/>
  <c r="AJ763" i="5"/>
  <c r="AJ727" i="5"/>
  <c r="AJ639" i="5"/>
  <c r="AJ559" i="5"/>
  <c r="AJ552" i="5"/>
  <c r="AJ545" i="5"/>
  <c r="AJ508" i="5"/>
  <c r="AJ365" i="5"/>
  <c r="AJ273" i="5"/>
  <c r="AJ230" i="5"/>
  <c r="AJ182" i="5"/>
  <c r="AJ140" i="5"/>
  <c r="AJ10" i="5"/>
  <c r="AJ683" i="5"/>
  <c r="AJ602" i="5"/>
  <c r="AJ444" i="5"/>
  <c r="AJ308" i="5"/>
  <c r="AJ216" i="5"/>
  <c r="AJ120" i="5"/>
  <c r="AJ92" i="5"/>
  <c r="AJ50" i="5"/>
  <c r="AJ594" i="5"/>
  <c r="AJ514" i="5"/>
  <c r="AJ358" i="5"/>
  <c r="AJ321" i="5"/>
  <c r="AJ279" i="5"/>
  <c r="AJ236" i="5"/>
  <c r="AJ188" i="5"/>
  <c r="AJ43" i="5"/>
  <c r="AJ689" i="5"/>
  <c r="AJ645" i="5"/>
  <c r="AJ551" i="5"/>
  <c r="AJ507" i="5"/>
  <c r="AJ139" i="5"/>
  <c r="AJ832" i="5"/>
  <c r="AJ775" i="5"/>
  <c r="AJ740" i="5"/>
  <c r="AJ682" i="5"/>
  <c r="AJ608" i="5"/>
  <c r="AJ471" i="5"/>
  <c r="AJ49" i="5"/>
  <c r="AJ695" i="5"/>
  <c r="AJ564" i="5"/>
  <c r="AJ327" i="5"/>
  <c r="AJ132" i="5"/>
  <c r="AJ802" i="5"/>
  <c r="AJ752" i="5"/>
  <c r="AJ620" i="5"/>
  <c r="AJ525" i="5"/>
  <c r="AJ469" i="5"/>
  <c r="AJ420" i="5"/>
  <c r="AJ290" i="5"/>
  <c r="AJ163" i="5"/>
  <c r="AJ20" i="5"/>
  <c r="AJ671" i="5"/>
  <c r="AJ432" i="5"/>
  <c r="AJ388" i="5"/>
  <c r="AJ303" i="5"/>
  <c r="AJ253" i="5"/>
  <c r="AJ204" i="5"/>
  <c r="AJ176" i="5"/>
  <c r="AJ32" i="5"/>
  <c r="AJ827" i="5"/>
  <c r="AJ770" i="5"/>
  <c r="AJ677" i="5"/>
  <c r="AJ632" i="5"/>
  <c r="AJ588" i="5"/>
  <c r="AJ495" i="5"/>
  <c r="AJ488" i="5"/>
  <c r="AJ359" i="5"/>
  <c r="AJ315" i="5"/>
  <c r="AJ210" i="5"/>
  <c r="AJ134" i="5"/>
  <c r="AJ79" i="5"/>
  <c r="AJ72" i="5"/>
  <c r="AJ501" i="5"/>
  <c r="AJ877" i="5"/>
  <c r="AJ314" i="5"/>
  <c r="AJ870" i="5"/>
  <c r="AJ450" i="5"/>
  <c r="AJ98" i="5"/>
  <c r="AJ335" i="5"/>
  <c r="AJ285" i="5"/>
  <c r="AJ194" i="5"/>
  <c r="AJ84" i="5"/>
  <c r="AJ876" i="5"/>
  <c r="AJ571" i="5"/>
  <c r="AJ187" i="5"/>
  <c r="AJ104" i="5"/>
  <c r="AJ838" i="5"/>
  <c r="AJ781" i="5"/>
  <c r="AJ688" i="5"/>
  <c r="AJ895" i="5"/>
  <c r="AJ888" i="5"/>
  <c r="AJ700" i="5"/>
  <c r="AJ576" i="5"/>
  <c r="AJ490" i="5"/>
  <c r="AJ433" i="5"/>
  <c r="AJ389" i="5"/>
  <c r="AJ304" i="5"/>
  <c r="AJ247" i="5"/>
  <c r="AJ212" i="5"/>
  <c r="AJ205" i="5"/>
  <c r="AJ116" i="5"/>
  <c r="AJ109" i="5"/>
  <c r="AJ74" i="5"/>
  <c r="AJ33" i="5"/>
  <c r="AJ815" i="5"/>
  <c r="AJ808" i="5"/>
  <c r="AJ758" i="5"/>
  <c r="AJ310" i="5"/>
  <c r="AJ67" i="5"/>
  <c r="AJ346" i="5"/>
  <c r="AJ218" i="5"/>
  <c r="AJ901" i="5"/>
  <c r="AJ858" i="5"/>
  <c r="AJ821" i="5"/>
  <c r="AJ764" i="5"/>
  <c r="AJ395" i="5"/>
  <c r="AJ115" i="5"/>
  <c r="AJ757" i="5"/>
  <c r="AJ128" i="5"/>
  <c r="AJ907" i="5"/>
  <c r="AJ833" i="5"/>
  <c r="AJ776" i="5"/>
  <c r="AJ719" i="5"/>
  <c r="AJ223" i="5"/>
  <c r="AJ146" i="5"/>
  <c r="AJ127" i="5"/>
  <c r="AJ85" i="5"/>
  <c r="AJ37" i="5"/>
  <c r="AJ769" i="5"/>
  <c r="AJ676" i="5"/>
  <c r="AJ133" i="5"/>
  <c r="AJ16" i="5"/>
  <c r="AJ733" i="5"/>
  <c r="AJ364" i="5"/>
  <c r="AJ272" i="5"/>
  <c r="AJ229" i="5"/>
  <c r="AJ56" i="5"/>
  <c r="AJ520" i="5"/>
  <c r="AJ415" i="5"/>
  <c r="AJ370" i="5"/>
  <c r="AJ145" i="5"/>
  <c r="AJ890" i="5"/>
  <c r="AJ513" i="5"/>
  <c r="AJ456" i="5"/>
  <c r="AJ278" i="5"/>
  <c r="AJ151" i="5"/>
  <c r="AJ15" i="5"/>
  <c r="AJ651" i="5"/>
  <c r="AJ463" i="5"/>
  <c r="AJ90" i="5"/>
  <c r="AJ138" i="5"/>
  <c r="AJ21" i="5"/>
  <c r="AJ421" i="5"/>
  <c r="AJ55" i="5"/>
  <c r="AJ363" i="5"/>
  <c r="F31" i="4"/>
  <c r="E28" i="4"/>
  <c r="E24" i="4"/>
  <c r="E22" i="4"/>
  <c r="E27" i="4"/>
  <c r="E23" i="4"/>
  <c r="E26" i="4"/>
  <c r="E21" i="4"/>
  <c r="E25" i="4"/>
  <c r="C66" i="2"/>
  <c r="C67" i="2"/>
  <c r="C14" i="2" s="1"/>
  <c r="C63" i="2"/>
  <c r="C100" i="2" s="1"/>
  <c r="C101" i="2" s="1"/>
  <c r="C102" i="2" s="1"/>
  <c r="C28" i="2" s="1"/>
  <c r="B26" i="2"/>
  <c r="B90" i="2"/>
  <c r="B93" i="2" s="1"/>
  <c r="B27" i="2" s="1"/>
  <c r="D28" i="4"/>
  <c r="D27" i="4"/>
  <c r="D24" i="4"/>
  <c r="D21" i="4"/>
  <c r="D23" i="4"/>
  <c r="D26" i="4"/>
  <c r="D22" i="4"/>
  <c r="D31" i="4" s="1"/>
  <c r="D25" i="4"/>
  <c r="F34" i="4"/>
  <c r="F74" i="4"/>
  <c r="B67" i="2"/>
  <c r="B14" i="2" s="1"/>
  <c r="B66" i="2"/>
  <c r="B63" i="2"/>
  <c r="B100" i="2" s="1"/>
  <c r="B101" i="2" s="1"/>
  <c r="B102" i="2" s="1"/>
  <c r="B28" i="2" s="1"/>
  <c r="B74" i="4"/>
  <c r="B34" i="4"/>
  <c r="G111" i="4"/>
  <c r="C90" i="2"/>
  <c r="C93" i="2" s="1"/>
  <c r="C27" i="2" s="1"/>
  <c r="C26" i="2"/>
  <c r="B49" i="2"/>
  <c r="B15" i="2" s="1"/>
  <c r="E34" i="4" l="1"/>
  <c r="E74" i="4"/>
  <c r="G49" i="4"/>
  <c r="G44" i="4"/>
  <c r="G40" i="4"/>
  <c r="G42" i="4"/>
  <c r="G46" i="4"/>
  <c r="D34" i="4"/>
  <c r="D74" i="4"/>
  <c r="AJ910" i="5"/>
  <c r="AJ912" i="5" s="1"/>
  <c r="G38" i="4" s="1"/>
  <c r="G43" i="4"/>
  <c r="G47" i="4"/>
  <c r="AJ909" i="5"/>
  <c r="AJ911" i="5" s="1"/>
  <c r="G37" i="4" s="1"/>
  <c r="G39" i="4"/>
  <c r="G48" i="4"/>
  <c r="E32" i="4"/>
  <c r="D32" i="4"/>
  <c r="C10" i="4"/>
  <c r="G9" i="4"/>
  <c r="E31" i="4"/>
  <c r="G41" i="4"/>
  <c r="G50" i="4"/>
  <c r="G45" i="4"/>
  <c r="E33" i="4"/>
  <c r="D33" i="4"/>
  <c r="G63" i="4" l="1"/>
  <c r="G57" i="4"/>
  <c r="G56" i="4"/>
  <c r="G55" i="4"/>
  <c r="G51" i="4"/>
  <c r="G71" i="4" s="1"/>
  <c r="G68" i="4"/>
  <c r="G64" i="4"/>
  <c r="G60" i="4"/>
  <c r="G66" i="4"/>
  <c r="G70" i="4"/>
  <c r="G62" i="4"/>
  <c r="G65" i="4"/>
  <c r="G69" i="4"/>
  <c r="G61" i="4"/>
  <c r="C23" i="4"/>
  <c r="G23" i="4" s="1"/>
  <c r="C27" i="4"/>
  <c r="G27" i="4" s="1"/>
  <c r="C24" i="4"/>
  <c r="C21" i="4"/>
  <c r="G21" i="4" s="1"/>
  <c r="C26" i="4"/>
  <c r="C28" i="4"/>
  <c r="C25" i="4"/>
  <c r="G25" i="4" s="1"/>
  <c r="C22" i="4"/>
  <c r="G10" i="4"/>
  <c r="G67" i="4" l="1"/>
  <c r="C31" i="4"/>
  <c r="G22" i="4"/>
  <c r="G31" i="4" s="1"/>
  <c r="C74" i="4"/>
  <c r="C34" i="4"/>
  <c r="G28" i="4"/>
  <c r="C33" i="4"/>
  <c r="G26" i="4"/>
  <c r="G33" i="4" s="1"/>
  <c r="C32" i="4"/>
  <c r="G24" i="4"/>
  <c r="G32" i="4" s="1"/>
  <c r="G34" i="4" l="1"/>
  <c r="G74" i="4"/>
</calcChain>
</file>

<file path=xl/sharedStrings.xml><?xml version="1.0" encoding="utf-8"?>
<sst xmlns="http://schemas.openxmlformats.org/spreadsheetml/2006/main" count="963" uniqueCount="800">
  <si>
    <t>SAPM Assignment</t>
  </si>
  <si>
    <t>Group Details</t>
  </si>
  <si>
    <t>Name</t>
  </si>
  <si>
    <t>ID</t>
  </si>
  <si>
    <t>Kabir Jain</t>
  </si>
  <si>
    <t>2023A7PS0542P</t>
  </si>
  <si>
    <t>Rishi Somani</t>
  </si>
  <si>
    <t>2023A1PS0212P</t>
  </si>
  <si>
    <t>Aditi Sharma</t>
  </si>
  <si>
    <t>2023A1PS0184P</t>
  </si>
  <si>
    <t>Naman Sagtani</t>
  </si>
  <si>
    <t>2023A5PS1183P</t>
  </si>
  <si>
    <t>Company Selected</t>
  </si>
  <si>
    <t>Tata Elxsi Ltd.</t>
  </si>
  <si>
    <t xml:space="preserve">Reason for selection </t>
  </si>
  <si>
    <t>Tata Elxsi was selected for this project because it is a mid-cap IT company with a unique position in the design and engineering services sector, serving global automotive, healthcare, and technology clients with cutting-edge solutions. Its strong financials, consistent dividend growth, and market leadership within the Tata Group make it an excellent benchmark for studying successful, innovation-driven mid-cap companies in India.</t>
  </si>
  <si>
    <t>Part 1: Fundamental Financials</t>
  </si>
  <si>
    <t>Industry Classification</t>
  </si>
  <si>
    <t>IT Services / ER&amp;D / Software development services, system integration &amp; support</t>
  </si>
  <si>
    <t>Age of Firm</t>
  </si>
  <si>
    <t>Incorporated in 1989; Operating for 35 years</t>
  </si>
  <si>
    <t>NIC Code</t>
  </si>
  <si>
    <t>62013 (Software Development), 62020 (System Integration)</t>
  </si>
  <si>
    <t>Market Position</t>
  </si>
  <si>
    <t>Leading global design and technology services provider</t>
  </si>
  <si>
    <t>Summary of all required ratios</t>
  </si>
  <si>
    <t>Ratio</t>
  </si>
  <si>
    <t>FY 2024-25</t>
  </si>
  <si>
    <t>FY 2023-24</t>
  </si>
  <si>
    <t>Typical IT/ER&amp;D Industry Average</t>
  </si>
  <si>
    <t>Better / Worse vs Industry</t>
  </si>
  <si>
    <t>Brief Interpretation</t>
  </si>
  <si>
    <t>P/E Ratio</t>
  </si>
  <si>
    <t>~25–30</t>
  </si>
  <si>
    <t>Worse (more expensive)</t>
  </si>
  <si>
    <t>Trades at a richer multiple than most IT/ER&amp;D peers, implying high expectations baked into price.</t>
  </si>
  <si>
    <t>EBITDA / Total Assets</t>
  </si>
  <si>
    <t>~18–22%</t>
  </si>
  <si>
    <t>Better</t>
  </si>
  <si>
    <t>Enterprise value per unit of EBITDA is significantly above sector norms, indicating premium valuation.</t>
  </si>
  <si>
    <t>EV / EBITDA</t>
  </si>
  <si>
    <t>~16–20</t>
  </si>
  <si>
    <t>Pays a slightly lower yield than many large IT peers despite high payout per share, because price is high.</t>
  </si>
  <si>
    <t>Intangible Assets / Total Assets</t>
  </si>
  <si>
    <t>Asset productivity is far superior; the firm converts its asset base into operating profits very efficiently.</t>
  </si>
  <si>
    <t>Dividend Yield</t>
  </si>
  <si>
    <t>~1.2–1.5%</t>
  </si>
  <si>
    <t>Worse (lower yield)</t>
  </si>
  <si>
    <t>Keeps more of each rupee of revenue as profit than the typical IT/ER&amp;D company.</t>
  </si>
  <si>
    <t>Total Liabilities / Total Assets</t>
  </si>
  <si>
    <t>~16–18%</t>
  </si>
  <si>
    <t>Overall return on assets is well above sector average, signalling strong operating efficiency.</t>
  </si>
  <si>
    <t>Source of funding for the company's projects and funding (financing) patterns</t>
  </si>
  <si>
    <t>In FY 2024–25, the same internal‑funding, low‑debt pattern continued and strengthened. Around 80% of total assets (₹3,58,572 lakhs) were financed by equity (₹2,85,997 lakhs), with liabilities at ~20% and long‑term lease liabilities reduced to ₹13,931 lakhs, again with no material term‑debt. Operating cash flow (~₹81,198 lakhs) easily covered a much lower capex (~₹1,634 lakhs), while financing cash outflows (~₹49,859 lakhs) were mainly higher dividends and lease repayments, confirming that projects are financed out of retained earnings and cash flows rather than external borrowing.</t>
  </si>
  <si>
    <t>In FY 2023–24, Tata Elxsi’s projects were funded mainly by equity and internal cash flows, with very low external leverage. About 79% of total assets (₹3,18,698 lakhs) were financed by equity (₹2,50,566 lakhs), while liabilities were ~21% and consisted largely of lease and operating liabilities rather than term loans. Net cash from operations (~₹70,123 lakhs) was more than enough to fund capex (~₹8,302 lakhs), and financing cash outflows (~₹42,783 lakhs) were dominated by dividends and lease repayments, indicating no need for fresh debt</t>
  </si>
  <si>
    <t>Shareholder returns are materially higher than industry, even with low leverage.</t>
  </si>
  <si>
    <t>Long-term Debt / Total Assets(%)</t>
  </si>
  <si>
    <t>~13–16%</t>
  </si>
  <si>
    <t>Uses less debt than the average IT firm, giving a very comfortable balance sheet.</t>
  </si>
  <si>
    <t>Annual Capex / Total Assets</t>
  </si>
  <si>
    <t>~17–20%</t>
  </si>
  <si>
    <t>Negligible structural gearing; financial risk from debt is low.</t>
  </si>
  <si>
    <t>Total Asset Turnover</t>
  </si>
  <si>
    <t>~30–40%</t>
  </si>
  <si>
    <t>Better (more conservative)</t>
  </si>
  <si>
    <t>Capital intensity is low; growth is more people/IP-driven than asset-heavy, similar to peers.</t>
  </si>
  <si>
    <t>Return on Assets (ROA)</t>
  </si>
  <si>
    <t>~5–10%</t>
  </si>
  <si>
    <t>Better (less debt)</t>
  </si>
  <si>
    <t>Much smaller booked intangibles; IP is not aggressively capitalised on the balance sheet.</t>
  </si>
  <si>
    <t>Growth Rate in Sales (%)</t>
  </si>
  <si>
    <t>~1–2%</t>
  </si>
  <si>
    <t>Neutral–slightly lower</t>
  </si>
  <si>
    <t>Growth has moderated vs both its own history and many peers after sector-wide slowdown.</t>
  </si>
  <si>
    <t>Gross Profit Margins</t>
  </si>
  <si>
    <t>Different mix</t>
  </si>
  <si>
    <t>Very high value‑added nature of services; strong pricing power.</t>
  </si>
  <si>
    <t>Net Profit Margin</t>
  </si>
  <si>
    <t xml:space="preserve">~8–12% </t>
  </si>
  <si>
    <t>Worse (slower)</t>
  </si>
  <si>
    <t>Converts earnings to cash well, supporting dividends and optionality for growth.</t>
  </si>
  <si>
    <t>ROE (DuPont Analysis)</t>
  </si>
  <si>
    <t>~85–90%</t>
  </si>
  <si>
    <t>Free Cash Flows (FCF)( Lakhs)</t>
  </si>
  <si>
    <t>absolute, firm‑specific</t>
  </si>
  <si>
    <t>Better qualitatively</t>
  </si>
  <si>
    <t>Calculation of all the ratios</t>
  </si>
  <si>
    <t>Financial Metrics</t>
  </si>
  <si>
    <t>FY 2022-23</t>
  </si>
  <si>
    <t>Source</t>
  </si>
  <si>
    <t>VALUATION RATIOS</t>
  </si>
  <si>
    <t>Net Profit (₹ Lakhs)</t>
  </si>
  <si>
    <t>Income Statement</t>
  </si>
  <si>
    <t>EPS - Basic (₹)</t>
  </si>
  <si>
    <t>EPS - Diluted (₹)</t>
  </si>
  <si>
    <t>Total Shares Outstanding</t>
  </si>
  <si>
    <t>Equity Share Capital in Annual Report</t>
  </si>
  <si>
    <t>Dividends Paid(Lakhs)</t>
  </si>
  <si>
    <t>Dividends Paid from Financing Cash Flow Statement</t>
  </si>
  <si>
    <t>DPS</t>
  </si>
  <si>
    <t>Dividend Paid/Number of Share Outstanding</t>
  </si>
  <si>
    <t>Adjusted Closing Price of Stock at the end of Fiscal Year</t>
  </si>
  <si>
    <t>yfinance.com</t>
  </si>
  <si>
    <t>Long-term Debt</t>
  </si>
  <si>
    <t>Balance Sheet</t>
  </si>
  <si>
    <t>Short Term Debt</t>
  </si>
  <si>
    <t>Total Debt</t>
  </si>
  <si>
    <t>Long Term Debt+ Short Term Debt</t>
  </si>
  <si>
    <t>Market Cap(Lakhs)</t>
  </si>
  <si>
    <t>Price*Outstanding Share</t>
  </si>
  <si>
    <t>Enterprise Value (₹ Lakhs)</t>
  </si>
  <si>
    <t>Market Cap+Total Debt(Long Term+Short Term)-Cash &amp; Cash Equivalent</t>
  </si>
  <si>
    <t>Adjusted Closing Price at last trading day of fiscal year /Earnings Per Share</t>
  </si>
  <si>
    <t>Enterprise Value/EBITDA</t>
  </si>
  <si>
    <t>Enterprise Value/Earnings Before Intrest Tax Depriciation and Amortisation</t>
  </si>
  <si>
    <t>Dividend Yield(%)</t>
  </si>
  <si>
    <t>Dividend Per Share/Initial Price</t>
  </si>
  <si>
    <t>PROFITABILITY RATIOS</t>
  </si>
  <si>
    <t>Revenue from Operations</t>
  </si>
  <si>
    <t>Cost of Goods Consumed</t>
  </si>
  <si>
    <t>Gross Profit</t>
  </si>
  <si>
    <t>Revnue-Cost of Goods Sold</t>
  </si>
  <si>
    <t>Gross Profit Margin (in %)</t>
  </si>
  <si>
    <t>Gross Profit/Revenue*100</t>
  </si>
  <si>
    <t>Net Profit</t>
  </si>
  <si>
    <t>Net Profit Margin (%)</t>
  </si>
  <si>
    <t>Net Profit*100/Revenue</t>
  </si>
  <si>
    <t>Taxes</t>
  </si>
  <si>
    <t>Finance Cost</t>
  </si>
  <si>
    <t>Depriciation and Amortisation</t>
  </si>
  <si>
    <t xml:space="preserve">EBITDA </t>
  </si>
  <si>
    <t>Net Profit+Taxes+Finance Costs+Depriciation</t>
  </si>
  <si>
    <t>EBIT</t>
  </si>
  <si>
    <t>EBITDA-DA</t>
  </si>
  <si>
    <t>Total Assets</t>
  </si>
  <si>
    <t>Total Equity</t>
  </si>
  <si>
    <t>EBITDA Margin (%)</t>
  </si>
  <si>
    <t>EBITDA/Revenue*100</t>
  </si>
  <si>
    <t>EBITDA / Total Assets (%)</t>
  </si>
  <si>
    <t>EBITDA/Total Assets*100</t>
  </si>
  <si>
    <t>Return on Asset(ROA)(%)</t>
  </si>
  <si>
    <t>Net Profit/Total Assets</t>
  </si>
  <si>
    <t>Return on Equity(ROE)(%)</t>
  </si>
  <si>
    <t>Net Profit/Total Equity</t>
  </si>
  <si>
    <t>Growth Rate in Sales(%)</t>
  </si>
  <si>
    <t>(Revenue of current year-Revenue of previous year)/Revenue of Previous year*100</t>
  </si>
  <si>
    <t>ASSET EFFICIENCY</t>
  </si>
  <si>
    <t>Current Assets</t>
  </si>
  <si>
    <t>Capex(Lakhs)</t>
  </si>
  <si>
    <t>Acquistions of PPE &amp; Intangible Assets from Investing Cash Flow Statement</t>
  </si>
  <si>
    <t>Asset Turnover Ratio</t>
  </si>
  <si>
    <t>Total Assets/Revenue from Operations</t>
  </si>
  <si>
    <t>Capex/Total Assets(%)</t>
  </si>
  <si>
    <t>Capex/Total Assets*100</t>
  </si>
  <si>
    <t>INTANGIBLE COMPOSITION</t>
  </si>
  <si>
    <t>Intangible Assets</t>
  </si>
  <si>
    <t>Intangible assets/Total assets(%)</t>
  </si>
  <si>
    <t>Intangible Assets/Total Assets*100</t>
  </si>
  <si>
    <t>LEVERAGE &amp; SOLVENCY</t>
  </si>
  <si>
    <t>Total Liabilities</t>
  </si>
  <si>
    <t>Current Liabilities+Non-Current Liabilities</t>
  </si>
  <si>
    <t>Cash and Cash Equivalent</t>
  </si>
  <si>
    <t>Current Liabilities</t>
  </si>
  <si>
    <t>Total Liabilities/Total Assets(%)</t>
  </si>
  <si>
    <t>Total Liabilities/Total Assets*100</t>
  </si>
  <si>
    <t>Long-term Debt/Total Assets(%)</t>
  </si>
  <si>
    <t>Long-Term Debt/Total Assets*100</t>
  </si>
  <si>
    <t>DUPONT ANALYSIS</t>
  </si>
  <si>
    <t>Net Profit Margin(%)</t>
  </si>
  <si>
    <t>Asset Turnover</t>
  </si>
  <si>
    <t>Financial Leverage</t>
  </si>
  <si>
    <t>Total Assets/Total Equity</t>
  </si>
  <si>
    <t>ROE (NPM × AT × FL)(%)</t>
  </si>
  <si>
    <t>Net Profit Margin*Asset Turnover*Financial Leverage</t>
  </si>
  <si>
    <t>Free Cash Flow Analysis</t>
  </si>
  <si>
    <t>Net changes in Operating Working Capital(Lakhs)</t>
  </si>
  <si>
    <t>Current Assets-Current Liabilities</t>
  </si>
  <si>
    <t>Tax Rate(%)</t>
  </si>
  <si>
    <t>Income Tax Expense Notes in Annual Report</t>
  </si>
  <si>
    <t>Depriciation and Amortization(Lakhs)</t>
  </si>
  <si>
    <t>EBIT(Lakhs)</t>
  </si>
  <si>
    <t>NOPAT(Lakhs)</t>
  </si>
  <si>
    <t>EBIT(1-Tax(%)/100)</t>
  </si>
  <si>
    <t>Free Cash Flow to Firm</t>
  </si>
  <si>
    <t>NOPAT+Depriciation-Capex-NOWC</t>
  </si>
  <si>
    <t>Part 2: Price Movement Analysis</t>
  </si>
  <si>
    <t>Lifetime High</t>
  </si>
  <si>
    <t>Lifetime Low</t>
  </si>
  <si>
    <t>Current price’s</t>
  </si>
  <si>
    <t>Current price’s % discount (premium) to lifetime high</t>
  </si>
  <si>
    <t>The average volume of shares traded daily over the past 52 weeks</t>
  </si>
  <si>
    <t>Weekly historical returns over the past one year :-</t>
  </si>
  <si>
    <t>Week end date</t>
  </si>
  <si>
    <t>Weekly close (₹)</t>
  </si>
  <si>
    <t>Weekly return (%)</t>
  </si>
  <si>
    <t>–</t>
  </si>
  <si>
    <t>Dividend payment history over the past two years – which types of dividends are paid</t>
  </si>
  <si>
    <t>FY 2023–24:</t>
  </si>
  <si>
    <t>Final dividend of ₹70 per share (700% on ₹10 face value), declared in April 2024 and paid after the June 2024 record/ex‑date; this is classified as a final cash dividend.</t>
  </si>
  <si>
    <t>FY 2024–25:</t>
  </si>
  <si>
    <t>Final dividend of ₹75 per share (750%), recommended by the board in April 2025 and made effective with a June 11, 2025 record date; again, this is a normal final cash dividend.</t>
  </si>
  <si>
    <t>Stock split history (past two years)</t>
  </si>
  <si>
    <t>None</t>
  </si>
  <si>
    <t>No stock split has been carried out in FY 2023‑24 or FY 2024‑25; the face value has remained ₹10 and share‑count changes are negligible, driven by ESOP allotments rather than splits.</t>
  </si>
  <si>
    <t>Share repurchase (past two years)</t>
  </si>
  <si>
    <t>There is no buyback announcement or execution for Tata Elxsi in the last two financial years in the corporate‑actions or investor‑relations sections. Share count has slightly increased, not decreased, due to ESOPs, which confirms there was no repurchase programme</t>
  </si>
  <si>
    <t>Mergers and acquisition, any other significant corporate action</t>
  </si>
  <si>
    <t>No major mergers or acquisitions in the last two years; growth has been organic, driven by large strategic contracts and partnerships across automotive (software‑defined vehicles), media and healthcare.</t>
  </si>
  <si>
    <t>Market reaction to earnings (last 4 quarters, FY24 or FY25)</t>
  </si>
  <si>
    <t>Quarter (FY)</t>
  </si>
  <si>
    <t>Result date</t>
  </si>
  <si>
    <t>Key earnings highlight (revenue / profit)</t>
  </si>
  <si>
    <t>Dividend / guidance highlight</t>
  </si>
  <si>
    <t>Market reaction around results (1–3 days)</t>
  </si>
  <si>
    <t>Interpretation</t>
  </si>
  <si>
    <t>Q4 FY25</t>
  </si>
  <si>
    <t>17 Apr 2025 , stock move noted 21 Apr 2025</t>
  </si>
  <si>
    <t>Revenue about ₹908 crore, down ~3% QoQ and roughly flat YoY; PAT down ~13% QoQ to ~₹172 crore, margins compressed vs prior quarter.</t>
  </si>
  <si>
    <t>Board recommended final dividend of ₹75 per share (750% of face value) for FY25.</t>
  </si>
  <si>
    <t>Intraday, share price jumped roughly 5–5.5% after results and dividend announcement, but subsequent days saw only limited net upside as concerns on margin pressure remained.</t>
  </si>
  <si>
    <t>Positive knee‑jerk reaction to high dividend and stable full‑year numbers, but overall sentiment cautious due to declining QoQ profit and margin compression.</t>
  </si>
  <si>
    <t>Q3 FY25</t>
  </si>
  <si>
    <t>Revenue around ₹939 crore; operating profit and PBT at a five‑quarter low, with margins under pressure vs earlier quarters.</t>
  </si>
  <si>
    <t>No new dividend; management commentary focused on deal wins and investments in digital/AI to drive future growth.</t>
  </si>
  <si>
    <t>Stock fell on or shortly after results (reports mention the share sinking ~5–7% intraday as weaker profitability surprised the market).</t>
  </si>
  <si>
    <t>Clearly negative reaction: investors punished deteriorating profitability despite steady topline and pipeline commentary.</t>
  </si>
  <si>
    <t>Q2 FY25</t>
  </si>
  <si>
    <t>Q2 revenue broadly stable with low single‑digit growth YoY, but transportation and media segments soft, leading to slower overall growth and some margin slippage.</t>
  </si>
  <si>
    <t>No interim dividend; commentary stressed cost discipline and medium‑term deal pipeline.</t>
  </si>
  <si>
    <t>Price response muted to mildly negative over the 1–3 day window, with the stock drifting lower as numbers were seen as “in line to slightly weak”.</t>
  </si>
  <si>
    <t>Market reaction was neutral‑to‑negative: results were not bad but not strong enough to reverse the ongoing de‑rating.</t>
  </si>
  <si>
    <t>Q1 FY25</t>
  </si>
  <si>
    <t>Revenue and PAT up modestly YoY but flat to slightly down QoQ; continued headwinds in key export verticals.</t>
  </si>
  <si>
    <t>No dividend; management reiterated focus on large deals and diversification.</t>
  </si>
  <si>
    <t>Stock showed small negative to flat movement after results, with no sustained rally, reflecting already rich multiples and cautious outlook.</t>
  </si>
  <si>
    <t>Reaction broadly muted: earnings did not trigger buying interest, reinforcing the narrative of valuation compression despite okay fundamentals.</t>
  </si>
  <si>
    <t>Part 3: Portfolio Analysis</t>
  </si>
  <si>
    <t>Portfolio Construction</t>
  </si>
  <si>
    <t>Portfolio Size: 1 Crore</t>
  </si>
  <si>
    <t>Bench Mark Index</t>
  </si>
  <si>
    <t>Stock Name</t>
  </si>
  <si>
    <t>Tata Elxsi</t>
  </si>
  <si>
    <t>Reliance Industries</t>
  </si>
  <si>
    <t>HDFC Bank</t>
  </si>
  <si>
    <t>Infosys</t>
  </si>
  <si>
    <t>Trent Ltd.</t>
  </si>
  <si>
    <t>Overall Portfolio Performance Summary</t>
  </si>
  <si>
    <t>NIFTY 50 Index</t>
  </si>
  <si>
    <t>Inference</t>
  </si>
  <si>
    <t>Extra Information</t>
  </si>
  <si>
    <t>Sector</t>
  </si>
  <si>
    <t>IT + Design + ER&amp;D</t>
  </si>
  <si>
    <t>Conglomerate (Energy + Retail + Telecom)</t>
  </si>
  <si>
    <t>BFSI</t>
  </si>
  <si>
    <t>IT &amp; Services</t>
  </si>
  <si>
    <t>Retail</t>
  </si>
  <si>
    <t>Multi-Sector Portfolio (IT + Energy + BFSI + IT Services + Retail)</t>
  </si>
  <si>
    <t>Broad Market Index – Represents top 50 Indian companies across 14 sectors</t>
  </si>
  <si>
    <t>The portfolio is intentionally diversified across IT, Conglomerates, BFSI, IT Services, and Retail. This cross-sector allocation helps reduce unsystematic risk and ensures that no single industry dominates portfolio volatility.</t>
  </si>
  <si>
    <t>Notes</t>
  </si>
  <si>
    <t>High growth, high volatility</t>
  </si>
  <si>
    <t>Low-risk anchor, stable returns</t>
  </si>
  <si>
    <t>Low volatility, steady compounder</t>
  </si>
  <si>
    <t>Stable large-cap IT</t>
  </si>
  <si>
    <t>High growth potential but higher valuation</t>
  </si>
  <si>
    <t>Represents the combined outcome of all five selected stocks and gives a consolidated summary of the portfolio’s overall performance.</t>
  </si>
  <si>
    <t>Chosen as benchmark because it aligns with the portfolio’s sector composition and contains large-cap stocks similar to Reliance, HDFC Bank, Infosys</t>
  </si>
  <si>
    <t>Market Cap(crores)</t>
  </si>
  <si>
    <t>Market capitalization estimates a company's value by extrapolating what the market thinks it is worth for publicly traded companies and multiplying the share price by the number of available shares.</t>
  </si>
  <si>
    <t>Weight(%)</t>
  </si>
  <si>
    <t>The 30% allocation to Tata Elxsi reflects its role as the primary stock. Remaining weights are value-weighted across four stable large-cap companies, improving diversification while maintaining exposure to high-growth sectors.</t>
  </si>
  <si>
    <t>Amount Invested in each stock as on 1 April 2022</t>
  </si>
  <si>
    <t>By allocating capital based on initial weights on 1 April 2022 and avoiding rebalancing, the analysis captures the true impact of market movements on long-term portfolio behavior, as instructed.</t>
  </si>
  <si>
    <t>Number of Shares Purchased on 1 April 2022</t>
  </si>
  <si>
    <t>Amount Invested/Adjusted Closing Price at 1 April 2022. Since portfolio need not to be rebalanced, it will remain constant throughout the time.</t>
  </si>
  <si>
    <t>Number of shares= Amount invested/Adjusted Closing Price of that stock</t>
  </si>
  <si>
    <t>Value of Portfolio on different dates</t>
  </si>
  <si>
    <t>Adjusted Closing Price as on 1 April 2022</t>
  </si>
  <si>
    <t>Adjusted closing prices correctly incorporate splits/dividends and therefore provide an accurate basis for calculating returns, ensuring that performance is not overstated or understated due to corporate actions.</t>
  </si>
  <si>
    <t>Adjusted Closing Price as on 30 December 2022</t>
  </si>
  <si>
    <t>Adjusted Closing Price as on 2 January 2023</t>
  </si>
  <si>
    <t>Adjusted Closing Price as on 29 December 2023</t>
  </si>
  <si>
    <t>Adjusted Closing Price as on 1 January 2024</t>
  </si>
  <si>
    <t>Adjusted Closing Price as on 31 December 2024</t>
  </si>
  <si>
    <t>Adjusted Closing Price as on 1 January 2025</t>
  </si>
  <si>
    <t>Adjusted Closing Price as on 28 November 2025</t>
  </si>
  <si>
    <t>Value at 1 April 2022</t>
  </si>
  <si>
    <t>Initial values are computed based on number of shares purchased. This establishes the portfolio’s cost base and is essential for accurate return measurement.</t>
  </si>
  <si>
    <t>Value=Adjusted market price*Number of stocks in portfolio</t>
  </si>
  <si>
    <t>Value at 30 December 2022</t>
  </si>
  <si>
    <t>Changes in portfolio value over each semi-annual period reflect both stock-specific performance and broader market conditions. The portfolio shows periods of recovery and drawdown, consistent with overall market volatility over 2022–2025. The large fluctuations in Tata Elxsi and Trent Ltd. significantly influence total portfolio movement due to their higher volatility and growth orientation. HDFC Bank and Reliance provide stability, moderating extreme downside periods.</t>
  </si>
  <si>
    <t>Value at 2 January 2023</t>
  </si>
  <si>
    <t>Value at 29 December 2023</t>
  </si>
  <si>
    <t>Value at 1 January 2024</t>
  </si>
  <si>
    <t>Value at 31 December 2024</t>
  </si>
  <si>
    <t>Value at 1 January 2025</t>
  </si>
  <si>
    <t>Value at 28 November 2025</t>
  </si>
  <si>
    <t>Returns calculated on basis of different dates</t>
  </si>
  <si>
    <t>Return from 1 April 2022 to 30 December 2022 (%)</t>
  </si>
  <si>
    <t>In the period from April 2022 to December 2022, the portfolio delivered negative returns. This was mainly due to underperformance of Tata Elxsi, Infosys, and the tech sector, as global IT spending faced a slowdown and high-growth stocks saw major corrections, even though the overall Nifty 50 index posted a slightly positive return thanks to broader sector strength</t>
  </si>
  <si>
    <t>Answer for Part(a). Analysing Portfolio Performance for each year individually on basis of starting and ending price</t>
  </si>
  <si>
    <t>Return from 2 January  2023 to 29 December 2023 (%)</t>
  </si>
  <si>
    <t>In 2023, the portfolio return was positive but did not outperform the Nifty 50 index. The summary table shows a portfolio return of 16.52%, while the Nifty 50 delivered a higher return of approximately 19.42% during the same period. This means the portfolio underperformed the benchmark in that year, despite positive contributions from stocks such as Reliance Industries and Trent Ltd.</t>
  </si>
  <si>
    <t>Return from 1 January 2024 to 31 December 2024(%)</t>
  </si>
  <si>
    <t>In 2024, the portfolio posted a small negative return, underperforming the Nifty 50, which remained positive. The drag was again due to IT stocks such as Tata Elxsi and Infosys struggling with weak global demand and higher valuations, and Trent Ltd facing valuation corrections after strong prior years, whereas the Nifty index benefited from broad-based gains in financial, energy, and core sector stocks</t>
  </si>
  <si>
    <t>Return from 1 January 2025 to 28 November 2025(%)</t>
  </si>
  <si>
    <t>By 2025 year-to-date (till late November), the portfolio generated modest positive returns but lagged behind the Nifty 50, which continued to rise on the back of strong corporate earnings, index heavyweights like Reliance Industries, and broad market optimism. Some concentrated holdings in the portfolio did not keep pace with market leaders despite positive news flow and continued operational growth in large caps.</t>
  </si>
  <si>
    <t>Returns and Volatilty on the basis of stock price data from 1 April 2022 to 28 November 2025</t>
  </si>
  <si>
    <t>Average Annualized Return over 3 years(%)</t>
  </si>
  <si>
    <t>The portfolio’s annualized return is about 3.01%, which is clearly below the Nifty 50’s 12.57%, indicating that over 1 April 2022–28 November 2025 the five‑stock allocation has generated positive but substantially lower growth than the broad market index. This gap arises because large negative or low returns from Tata Elxsi, Infosys and Trent have diluted the strong performance from Reliance Industries and HDFC Bank during this period.</t>
  </si>
  <si>
    <t>Calculation is done in Stock Price from 1 April 2022 to 28 November 2025 Sheet in the end.</t>
  </si>
  <si>
    <t>Average Annualized Standard Deviation over 3 years(%)</t>
  </si>
  <si>
    <t>Portfolio volatility is around 16.72%, moderately higher than the Nifty 50’s 12.92%, showing that the portfolio took more risk than the index while delivering lower return. The higher risk is consistent with exposure to volatile IT and retail stocks such as Tata Elxsi, Infosys and Trent, whose prices have swung sharply with changes in global tech demand and domestic consumption themes.</t>
  </si>
  <si>
    <t>Average Annualised Return from 1 April 2022 to 30 December 2022(%)</t>
  </si>
  <si>
    <t>The portfolio delivered a negative annualized return (−12.7%) in 2022, whereas Nifty 50 was slightly positive (about 4.6%), indicating clear underperformance in the first year. Losses stem largely from weak performance of Tata Elxsi and Infosys during the global tech correction, which outweighed relatively better resilience in Reliance and HDFC Bank.</t>
  </si>
  <si>
    <t>Average Annualised Return from 2 January  2023 to 29 December 2023 (%)</t>
  </si>
  <si>
    <t>In 2023 the portfolio rebounded to a strong positive annualized return (20.6%) but still slightly lagged Nifty 50’s ~21.2%, meaning stock selection almost but not fully matched the broad market rally. Gains were driven by Reliance, HDFC Bank and especially Trent, which benefited from India’s consumption recovery, while Tata Elxsi’s volatility kept overall returns from surpassing the index.​​</t>
  </si>
  <si>
    <t>Average Annualised Return from 1 January 2024 to 31 December 2024(%)</t>
  </si>
  <si>
    <t>For 2024 the portfolio return turned marginally negative (−0.83%) even as Nifty 50 remained comfortably positive (~10.2%), again signaling underperformance. This reflects another weak phase for IT and high‑beta retail names, with Infosys and Trent showing large swings that offset more stable contributions from Reliance and HDFC Bank.</t>
  </si>
  <si>
    <t>Average Annualised Return from 1 January 2025 to 28 November 2025(%)</t>
  </si>
  <si>
    <t>Year‑to‑date 2025, the portfolio has a modest positive annualized return (3.67%) but trails Nifty 50’s 11.15%, so the benchmark continues to outperform sharply. The gap suggests that recent index gains have been driven by broad‑based strength in large‑cap sectors that the five‑stock portfolio does not fully capture, while concentrated positions remain more volatile and less rewarded.</t>
  </si>
  <si>
    <t>Annualised Volatility from 1 April 2022 to 30 December 2022(%)</t>
  </si>
  <si>
    <t>Year‑wise, volatility patterns show that 2022 was the most turbulent period, with all stocks exhibiting their highest annualized volatility, in line with post‑COVID policy tightening and tech sector corrections, while 2023 and 2024 see a gradual normalization of risk for most names and for Nifty 50. However, even in the quieter years the portfolio’s volatility remains above the index, which suggests that diversification across only five correlated stocks is not sufficient to bring risk down to market levels.</t>
  </si>
  <si>
    <t>Annualised Volatility from 2 January 2023 to 29 December 2023(%)</t>
  </si>
  <si>
    <t>Annualised Volatility from 1 January 2023 to 29 December 2024(%)</t>
  </si>
  <si>
    <t>Annualised Volatility from 1 January 2025 to 28 November 2025(%)</t>
  </si>
  <si>
    <t>Beta for overall 3 years</t>
  </si>
  <si>
    <t>With a beta of about 0.78, the portfolio is less sensitive to broad market movements than the index, meaning it tends to move less than Nifty 50 during large up or down days. This muted market sensitivity reflects balancing between relatively defensive heavyweights like Reliance Industries and HDFC Bank and more cyclical names in IT and retail</t>
  </si>
  <si>
    <t>Beta= Covariance/Variance</t>
  </si>
  <si>
    <t>Beta for 1 April 2022 to 30 December 2022</t>
  </si>
  <si>
    <t>The beta values by sub‑period (around 0.58–0.88 versus Nifty’s 1) indicate that the portfolio’s sensitivity to market movements has increased over time: beta is lowest in 2022 and rises toward 0.88 in 2025 year‑to‑date. This means the portfolio behaves more like the index in recent periods, but still with higher standalone volatility, implying that stock‑specific noise and sector concentration continue to play a larger role than in a diversified benchmark.​</t>
  </si>
  <si>
    <t>Beta for 2 January 2023 to 29 December 2023</t>
  </si>
  <si>
    <t>Beta for 1 January 2024 to 31 December 2024</t>
  </si>
  <si>
    <t>Beta for 1 January 2025 to 28 November 2025</t>
  </si>
  <si>
    <t>Risk Free Rate(%)</t>
  </si>
  <si>
    <t>10-year Treasury Bill Rate on government bond</t>
  </si>
  <si>
    <t>Portfolio Ratio's Analysis over 3 years</t>
  </si>
  <si>
    <t>Sharpe Ratio from 1 April 2022 to 28 November 2025</t>
  </si>
  <si>
    <t>The portfolio Sharpe ratio is slightly negative (around −0.21), whereas Nifty 50’s Sharpe ratio is positive, implying that after adjusting for the 6.5% risk‑free rate, the portfolio has not been adequately compensated for the volatility taken. In practical terms, taking the same risk through the index would have produced a better excess return per unit of total risk than this concentrated set of stocks</t>
  </si>
  <si>
    <t>Answer for Part (a). Evaluation of portfolio using metrics like sharpe ratio, Treynor ratio, etc. Formulas Used for Sharpe Ratio=(Annual Return-Risk free rate)/Annual Volatilty, Treynor Ratio=(Annual Return-Risk free Rate/Beta), Janesen's alpha=Annual Return-(Risk free rate+Beta*(Risk Premium))</t>
  </si>
  <si>
    <t>Treynor Ratio from 1 April 2022 to 28 November 2025</t>
  </si>
  <si>
    <t>The Treynor ratio is marginally negative (about −0.04) compared with a clearly positive Treynor for Nifty 50, showing that per unit of systematic (beta) risk the portfolio has delivered insufficient excess return. This indicates that stock selection rather than market timing is the main issue: even with lower beta, the chosen stocks have not generated returns in line with what would be expected for their level of market risk</t>
  </si>
  <si>
    <t>Jensen's Alpha 1 April 2022 to 28 November 2025</t>
  </si>
  <si>
    <t>Jensen’s alpha of roughly −7.86% indicates that, given a beta of 0.78, the portfolio has underperformed the return predicted by CAPM by more than 8 percentage points per year versus Nifty 50. This negative alpha confirms that active choices—especially the heavy exposure to high‑volatility underperformers in IT and retail—have destroyed value relative to a simple passive investment in the benchmark index</t>
  </si>
  <si>
    <t>Portfolio's Ratio Analysis individually for each year</t>
  </si>
  <si>
    <t>Sharpe Ratio from 1 April 2022 to 30 December 2022</t>
  </si>
  <si>
    <t>The portfolio Sharpe ratio is about −0.92 while Nifty 50’s is only slightly negative (−0.12), meaning that in the first year the portfolio delivered much worse risk‑adjusted performance than the index; losses from concentrated bets (especially in IT and Trent) were not compensated by the volatility taken.</t>
  </si>
  <si>
    <t>Answer for Part(a). Analysing Portfolio Performance for each year individually on basis of average returns and standard deviation.</t>
  </si>
  <si>
    <t>Sharpe Ratio from 2 January 2023 to 29 December 2023</t>
  </si>
  <si>
    <t>In 2023 the portfolio Sharpe ratio turns strongly positive at 1.10 and is still below Nifty 50’s 1.50, so risk‑adjusted performance improves sharply but does not fully match the benchmark; the portfolio participates in the bull market but index constituents, on average, convert risk into return more efficiently</t>
  </si>
  <si>
    <t>Sharpe Ratio from 1 January 2024 to 31 December 2024</t>
  </si>
  <si>
    <t>For 2024 the portfolio Sharpe ratio falls back into negative territory (−0.44) while Nifty 50 stays positive (0.27), indicating that the portfolio delivered a small or negative excess return despite non‑trivial volatility, whereas the index continued to reward risk with positive excess returns.</t>
  </si>
  <si>
    <t>Sharpe Ratio from 1 January 2025 to 28 November 2025</t>
  </si>
  <si>
    <t>Year‑to‑date 2025 the portfolio Sharpe ratio is mildly negative (−0.17) versus a positive 0.38 for Nifty 50, showing that the portfolio again lags significantly in risk‑adjusted terms, with modest returns that do not justify the volatility borne.</t>
  </si>
  <si>
    <t>Treynor Ratio from 1 April 2022 to 30 December 2022</t>
  </si>
  <si>
    <t>The Treynor ratio for 2022 is −0.33 compared to a near‑zero index Treynor (−0.02), which means that per unit of market risk (beta) the portfolio destroyed much more value than the benchmark in the down year</t>
  </si>
  <si>
    <t>Treynor Ratio from 2 January 2023 to 29 December 2023</t>
  </si>
  <si>
    <t>In 2023 the portfolio Treynor ratio improves to 0.23 but remains below Nifty 50’s 0.15, indicating that per unit of beta, the portfolio slightly outperformed the index on a market‑risk basis even though its total‑risk Sharpe ratio was lower; active bets were rewarded when scaled only by beta.</t>
  </si>
  <si>
    <t>Treynor Ratio from 1 January 2024 to 31 December 2024</t>
  </si>
  <si>
    <t>For 2024 the portfolio Treynor ratio slips close to zero (−0.11) while Nifty 50’s remains small but positive (0.04), implying that taking market risk through this portfolio was not compensated, whereas holding the index still generated a modest reward per unit of beta</t>
  </si>
  <si>
    <t>Treynor Ratio from 1 January 2025 to 28 November 2025</t>
  </si>
  <si>
    <t>In 2025 YTD the Treynor ratio is slightly negative (−0.03) versus a positive 0.05 for Nifty 50, again showing that the portfolio’s exposure to systematic risk has not been properly rewarded compared to the benchmark’s broad‑based rally</t>
  </si>
  <si>
    <t>Jansen's alpha from 1 April 2022 to 30 December 2022</t>
  </si>
  <si>
    <t>The portfolio’s Jensen’s alpha in 2022 is −18.06%, a very large negative value, which means that after adjusting for beta and the risk‑free rate, realized return was far below what CAPM would predict given market movements; stock selection destroyed substantial value relative to Nifty 50.</t>
  </si>
  <si>
    <t>Jansen's alpha from 2 January 2023 to 29 December 2023</t>
  </si>
  <si>
    <t>In 2023 Jensen’s alpha turns positive at about 4.88%, indicating that, for that year, the portfolio actually outperformed the CAPM‑implied return given its beta, even though its Sharpe ratio was below the index; active picks added value on a risk‑adjusted basis when judged against the model</t>
  </si>
  <si>
    <t>Jansen's alpha from 1 January 2024 to 31 December 2024</t>
  </si>
  <si>
    <t>For 2024 alpha becomes sharply negative again (−9.83%), showing significant underperformance versus the required return implied by Nifty 50 and the portfolio’s beta, driven by weak IT and retail performance despite a rising broader market.</t>
  </si>
  <si>
    <t>Jansen's alpha from 1 January 2025 to 28 November 2025</t>
  </si>
  <si>
    <t>Year‑to‑date 2025 alpha is −6.87%, meaning that even in the latest period the portfolio has failed to earn its CAPM‑required return; the concentrated five‑stock allocation continues to lag the index on a risk‑adjusted basis, reinforcing that a passive Nifty 50 investment would have been superior.</t>
  </si>
  <si>
    <t>Individual Stock vs Diversified Portfolio Analysis using Risk and Reward Pattern</t>
  </si>
  <si>
    <t>Overall Return (%)</t>
  </si>
  <si>
    <t>The portfolio’s overall return is significantly higher and more stable than Tata Elxsi’s standalone return. Tata Elxsi shows a large negative return due to its high volatility and heavy correction in the IT sector during 2022–23, whereas the diversified portfolio absorbs this shock through the strong performance of Reliance, HDFC Bank, and Trent in the later periods. This shows that the primary stock exhibits a more unpredictable and risk-heavy pattern compared to the broader portfolio. The deviation also occurs because Tata Elxsi is highly sensitive to sector cycles and investor sentiment, while the portfolio spreads exposure across BFSI, Energy, Retail, and IT, reducing dependence on a single sector. The positive results from low-beta stocks like Reliance and HDFC Bank help offset the losses from high-beta components in downturns. Therefore, the portfolio exhibits better risk-adjusted performance and lower drawdowns than the primary stock. Overall, diversification clearly provides benefits by smoothing returns, reducing portfolio volatility, and preventing deep losses during market corrections—something the individual stock fails to offer. This confirms that the multi-sector portfolio is more resilient and efficient compared to relying on Tata Elxsi alone.</t>
  </si>
  <si>
    <t>Answer of Part B</t>
  </si>
  <si>
    <t>Risk Involved over 3 years(%)</t>
  </si>
  <si>
    <t>Exclusive Comparison of Tata Elxsi vs Portfolio Returns</t>
  </si>
  <si>
    <t>Parameter</t>
  </si>
  <si>
    <t>Portfolio</t>
  </si>
  <si>
    <t>Combined Inference</t>
  </si>
  <si>
    <t>Over the three-year evaluation period, Tata Elxsi as a standalone investment showed a highly volatile and unpredictable performance, with an overall return of about −40% and average annualized risk (standard deviation) above 30%—significantly higher than the diversified multi-stock portfolio, which delivered a positive 6.4% overall return with a much lower 16.7% risk. The risk-reward pattern for Tata Elxsi is unfavorable: its negative annualized returns across most periods and much larger drawdowns reflect its sensitivity to global IT cycles, sector-specific corrections, and sentiment shocks—exemplified by a deep loss in 2022 driven by global tech selloffs, a sharp rebound in 2023, and renewed weakness in 2024–2025 tied to sluggish IT spending and valuation contraction, even though the company itself remained fundamentally strong and debt-free with high ROE in some years. In contrast, the diversified portfolio, by combining Tata Elxsi with Reliance Industries, HDFC Bank, Infosys, and Trent, smooths out sector and stock-specific risk, consistently showing much lower volatility each year and avoiding the extreme up-and-down swings of the single stock. Risk-adjusted metrics (Sharpe, Treynor, Jensen's alpha) paint the same picture: Tata Elxsi posts more negative values for all of these across the cycle, while the portfolio stays closer to market risk-reward balance, and its beta (systematic risk) is higher, meaning more of its risk is market-driven and less is idiosyncratic compared to the single stock. This clear pattern confirms that diversification provides substantial benefits—reducing both overall and per-period volatility, raising long-run returns, improving risk-adjusted performance, and protecting against sharp losses—so the multi-stock portfolio is much more efficient and resilient than investing in Tata Elxsi alone</t>
  </si>
  <si>
    <t>Final detailed answer for Part(B)</t>
  </si>
  <si>
    <t>Correlation Matrix</t>
  </si>
  <si>
    <t>Covariance Matrix(Annualised)</t>
  </si>
  <si>
    <t>Inverse Covariance Matrix</t>
  </si>
  <si>
    <t>Portfolio that Mimics NIFTY 50: Same sharp ratio</t>
  </si>
  <si>
    <t>Companies</t>
  </si>
  <si>
    <t>Total</t>
  </si>
  <si>
    <t>Index Sharpe Ratio</t>
  </si>
  <si>
    <t>Weights(%)</t>
  </si>
  <si>
    <t>Average Annual Return (%)</t>
  </si>
  <si>
    <t>Average Standard Deviation(%)</t>
  </si>
  <si>
    <t>Sharpe Ratio</t>
  </si>
  <si>
    <t>Minimum Variance</t>
  </si>
  <si>
    <t>Company</t>
  </si>
  <si>
    <t>HDFC</t>
  </si>
  <si>
    <t>Trent</t>
  </si>
  <si>
    <t>Price</t>
  </si>
  <si>
    <t>Open</t>
  </si>
  <si>
    <t>Close</t>
  </si>
  <si>
    <t>Adjusted Close</t>
  </si>
  <si>
    <t>Volume</t>
  </si>
  <si>
    <t>Daily Return</t>
  </si>
  <si>
    <t>Weighted average Daily Return</t>
  </si>
  <si>
    <t>Ticker</t>
  </si>
  <si>
    <t>TATAELXSI.NS</t>
  </si>
  <si>
    <t>RELIANCE.NS</t>
  </si>
  <si>
    <t>HDFCBANK.NS</t>
  </si>
  <si>
    <t>INFY.NS</t>
  </si>
  <si>
    <t>TRENT.NS</t>
  </si>
  <si>
    <t>Original Portfolio</t>
  </si>
  <si>
    <t>Mimicing Sharpe Ratio Portfolio</t>
  </si>
  <si>
    <t>Minimum</t>
  </si>
  <si>
    <t>^NSEI</t>
  </si>
  <si>
    <t>Date</t>
  </si>
  <si>
    <t>Average Daily Return</t>
  </si>
  <si>
    <t>Daily Standard Deviation</t>
  </si>
  <si>
    <t>Average Annual Return(%) (Assuming 252 Trading Days)</t>
  </si>
  <si>
    <t>Average Annual Volatility(%)</t>
  </si>
  <si>
    <t>All References</t>
  </si>
  <si>
    <t>Link</t>
  </si>
  <si>
    <t>Type</t>
  </si>
  <si>
    <t>Part 1: Ratios &amp; Classification</t>
  </si>
  <si>
    <t>https://www.niftyindices.com/indices/equity/sectoral-indices/nifty-it</t>
  </si>
  <si>
    <t>Index data</t>
  </si>
  <si>
    <t>https://www.screener.in/company/CNXIT/</t>
  </si>
  <si>
    <t>https://www.icra.in/CommonService/OpenMediaS3?Key=df4e31c8-7713-48ae-95e9-b46194039936</t>
  </si>
  <si>
    <t>Rating‑agency sector report</t>
  </si>
  <si>
    <t>https://hr.economictimes.indiatimes.com/news/trends/indian-it-industry-expected-to-grow-3-5-revenue-in-2024-lower-than-2023-report/103151642</t>
  </si>
  <si>
    <t>News / industry article</t>
  </si>
  <si>
    <t>https://www.ibef.org/industry/information-technology-india</t>
  </si>
  <si>
    <t>Govt/industry profile</t>
  </si>
  <si>
    <t>https://aventis-advisors.com/it-services-valuation-multiples/</t>
  </si>
  <si>
    <t>Valuation study</t>
  </si>
  <si>
    <t>https://www.moneycontrol.com/indian-indices/nifty-it-19.html</t>
  </si>
  <si>
    <t>Financial portal</t>
  </si>
  <si>
    <t>https://ijcrt.org/papers/IJCRT2503524.pdf</t>
  </si>
  <si>
    <t>Academic paper</t>
  </si>
  <si>
    <t>https://www.allfinancejournal.com/article/view/284/7-1-14</t>
  </si>
  <si>
    <t>https://ijisrt.com/assets/upload/files/IJISRT22MAR995.pdf</t>
  </si>
  <si>
    <t>https://finance.yahoo.com/quote/TATAELXSI.NS/history/?guccounter=1&amp;guce_referrer=aHR0cHM6Ly93d3cuZ29vZ2xlLmNvbS8&amp;guce_referrer_sig=AQAAAIdCXqiH3EBPXgcBiLRxvbrmIrJYHQ_8okBuuDY1QbviIcAGEThA5yGRHCz9h_6fCG6YDxu78Nfbu2poGzkxTxMliFdX_AKozWh2cqzBSbpuyQEuafAiorwf0dhkpEgp_noMLCy9xbLuh7nkE_F77jPGRjdY4xKa1Da3LLm1_Zn-&amp;period1=1648771200&amp;period2=1764374400</t>
  </si>
  <si>
    <t>https://finance.yahoo.com/quote/RELIANCE.NS/history/?period1=1648771200&amp;period2=1764374400</t>
  </si>
  <si>
    <t>https://finance.yahoo.com/quote/HDFCBANK.NS/history/?period1=1648771200&amp;period2=1764374400</t>
  </si>
  <si>
    <t>https://finance.yahoo.com/quote/INFY.NS/history/?period1=1648771200&amp;period2=1764374400</t>
  </si>
  <si>
    <t>https://finance.yahoo.com/quote/TRENT.NS/history/?period1=1648771200&amp;period2=1764374400</t>
  </si>
  <si>
    <t>https://finance.yahoo.com/quote/%5ENSEI/history/?period1=1648771200&amp;period2=1764374400</t>
  </si>
  <si>
    <t>Balance sheet of Tata Elxsi for the last 2 yrs</t>
  </si>
  <si>
    <t>Income statement of the company for the last 2 yrs</t>
  </si>
  <si>
    <t>Cashflow statement of the company for the last 2 yrs</t>
  </si>
  <si>
    <t>Items</t>
  </si>
  <si>
    <t>FY 2024-25 (₹ Lakhs)</t>
  </si>
  <si>
    <t>FY 2023-24 (₹ Lakhs)</t>
  </si>
  <si>
    <t>date</t>
  </si>
  <si>
    <t>close</t>
  </si>
  <si>
    <t>open</t>
  </si>
  <si>
    <t>high</t>
  </si>
  <si>
    <t>low</t>
  </si>
  <si>
    <t>volume</t>
  </si>
  <si>
    <t>ASSETS</t>
  </si>
  <si>
    <t>OPERATING ACTIVITIES</t>
  </si>
  <si>
    <t>2024-11-29T00:00:00+05:30</t>
  </si>
  <si>
    <t>Non-Current Assets</t>
  </si>
  <si>
    <t>Other Income (Net)</t>
  </si>
  <si>
    <t>Profit for the Year</t>
  </si>
  <si>
    <t>2024-12-02T00:00:00+05:30</t>
  </si>
  <si>
    <t>Property, Plant &amp; Equipment</t>
  </si>
  <si>
    <t>Total Income</t>
  </si>
  <si>
    <t>Tax Expense</t>
  </si>
  <si>
    <t>2024-12-03T00:00:00+05:30</t>
  </si>
  <si>
    <t>Capital Work-in-Progress</t>
  </si>
  <si>
    <t>Depreciation &amp; Amortisation</t>
  </si>
  <si>
    <t>2024-12-04T00:00:00+05:30</t>
  </si>
  <si>
    <t>Right of Use Assets</t>
  </si>
  <si>
    <t>Cost of Materials Consumed</t>
  </si>
  <si>
    <t>Share Based Payment Transactions</t>
  </si>
  <si>
    <t>2024-12-05T00:00:00+05:30</t>
  </si>
  <si>
    <t>Changes in Inventories</t>
  </si>
  <si>
    <t>Interest Income</t>
  </si>
  <si>
    <t>2024-12-06T00:00:00+05:30</t>
  </si>
  <si>
    <t>Financial Assets - Investments</t>
  </si>
  <si>
    <t>Employee Benefits Expense</t>
  </si>
  <si>
    <t>Finance Costs</t>
  </si>
  <si>
    <t>2024-12-09T00:00:00+05:30</t>
  </si>
  <si>
    <t>Financial Assets - Other Financial Assets</t>
  </si>
  <si>
    <t>Provision for Doubtful Debts</t>
  </si>
  <si>
    <t>2024-12-10T00:00:00+05:30</t>
  </si>
  <si>
    <t>Deferred Tax Assets (Net)</t>
  </si>
  <si>
    <t>Other Adjustments</t>
  </si>
  <si>
    <t>2024-12-11T00:00:00+05:30</t>
  </si>
  <si>
    <t>Tax Assets (Net)</t>
  </si>
  <si>
    <t>Other Expenses</t>
  </si>
  <si>
    <t>Operating Profit Before WC Changes</t>
  </si>
  <si>
    <t>2024-12-12T00:00:00+05:30</t>
  </si>
  <si>
    <t>Other Non-Current Assets</t>
  </si>
  <si>
    <t>Total Expenses</t>
  </si>
  <si>
    <t>Changes in Working Capital</t>
  </si>
  <si>
    <t>2024-12-13T00:00:00+05:30</t>
  </si>
  <si>
    <t>Total Non-Current Assets</t>
  </si>
  <si>
    <t>Profit Before Tax</t>
  </si>
  <si>
    <t>Cash Generated from Operations</t>
  </si>
  <si>
    <t>2024-12-16T00:00:00+05:30</t>
  </si>
  <si>
    <t>Income Tax Paid (Net)</t>
  </si>
  <si>
    <t>2024-12-17T00:00:00+05:30</t>
  </si>
  <si>
    <t>Current Tax Expense</t>
  </si>
  <si>
    <t>Net Cash from Operating Activities</t>
  </si>
  <si>
    <t>2024-12-18T00:00:00+05:30</t>
  </si>
  <si>
    <t>Inventories</t>
  </si>
  <si>
    <t>Deferred Tax Expense</t>
  </si>
  <si>
    <t>2024-12-19T00:00:00+05:30</t>
  </si>
  <si>
    <t>Trade Receivables - Billed</t>
  </si>
  <si>
    <t>Total Tax Expense</t>
  </si>
  <si>
    <t>INVESTING ACTIVITIES</t>
  </si>
  <si>
    <t>2024-12-20T00:00:00+05:30</t>
  </si>
  <si>
    <t>Trade Receivables - Unbilled</t>
  </si>
  <si>
    <t>Net Profit for the Year</t>
  </si>
  <si>
    <t>Acquisition of PPE &amp; Intangibles</t>
  </si>
  <si>
    <t>2024-12-23T00:00:00+05:30</t>
  </si>
  <si>
    <t>Cash and Cash Equivalents</t>
  </si>
  <si>
    <t>Proceeds from Sale of Assets</t>
  </si>
  <si>
    <t>2024-12-24T00:00:00+05:30</t>
  </si>
  <si>
    <t>Bank Balances (Other)</t>
  </si>
  <si>
    <t>Other Comprehensive Income - Remeasurement of Defined Benefit Plans</t>
  </si>
  <si>
    <t>Investment in Bank Deposits</t>
  </si>
  <si>
    <t>2024-12-26T00:00:00+05:30</t>
  </si>
  <si>
    <t>Loans Receivable</t>
  </si>
  <si>
    <t>Tax on OCI</t>
  </si>
  <si>
    <t>Proceeds from Redemption of Deposits</t>
  </si>
  <si>
    <t>2024-12-27T00:00:00+05:30</t>
  </si>
  <si>
    <t>Other Financial Assets (Current)</t>
  </si>
  <si>
    <t>Other Comprehensive Loss for the year, net of income tax</t>
  </si>
  <si>
    <t>Interest Received</t>
  </si>
  <si>
    <t>2024-12-30T00:00:00+05:30</t>
  </si>
  <si>
    <t>Other Current Assets</t>
  </si>
  <si>
    <t>Total Comprehensive Income for the Year</t>
  </si>
  <si>
    <t>Net Cash Used in Investing Activities</t>
  </si>
  <si>
    <t>2024-12-31T00:00:00+05:30</t>
  </si>
  <si>
    <t>Total Current Assets</t>
  </si>
  <si>
    <t>Eearnings per equity share( in ₹ )</t>
  </si>
  <si>
    <t>2025-01-01T00:00:00+05:30</t>
  </si>
  <si>
    <t>TOTAL ASSETS</t>
  </si>
  <si>
    <t>Basic EPS (₹)</t>
  </si>
  <si>
    <t>FINANCING ACTIVITIES</t>
  </si>
  <si>
    <t>2025-01-02T00:00:00+05:30</t>
  </si>
  <si>
    <t>Diluted EPS (₹)</t>
  </si>
  <si>
    <t>Repayment of Lease Liabilities</t>
  </si>
  <si>
    <t>2025-01-03T00:00:00+05:30</t>
  </si>
  <si>
    <t>EQUITY AND LIABILITIES</t>
  </si>
  <si>
    <t>Finance Cost Paid</t>
  </si>
  <si>
    <t>2025-01-06T00:00:00+05:30</t>
  </si>
  <si>
    <t>Equity</t>
  </si>
  <si>
    <t>Proceeds from Exercise of Share Options</t>
  </si>
  <si>
    <t>2025-01-07T00:00:00+05:30</t>
  </si>
  <si>
    <t>Equity Share Capital</t>
  </si>
  <si>
    <t>Dividends Paid</t>
  </si>
  <si>
    <t>2025-01-08T00:00:00+05:30</t>
  </si>
  <si>
    <t>Other Equity</t>
  </si>
  <si>
    <t>Net Cash Used in Financing Activities</t>
  </si>
  <si>
    <t>2025-01-09T00:00:00+05:30</t>
  </si>
  <si>
    <t>2025-01-10T00:00:00+05:30</t>
  </si>
  <si>
    <t>Net Increase in Cash</t>
  </si>
  <si>
    <t>2025-01-13T00:00:00+05:30</t>
  </si>
  <si>
    <t>Non-Current Liabilities</t>
  </si>
  <si>
    <t>Cash at Beginning of Year</t>
  </si>
  <si>
    <t>2025-01-14T00:00:00+05:30</t>
  </si>
  <si>
    <t>Lease Liabilities (Non-Current)</t>
  </si>
  <si>
    <t>Exchange Difference on Cash</t>
  </si>
  <si>
    <t>2025-01-15T00:00:00+05:30</t>
  </si>
  <si>
    <t>Provisions (Non-Current)</t>
  </si>
  <si>
    <t>Cash at End of Year</t>
  </si>
  <si>
    <t>2025-01-16T00:00:00+05:30</t>
  </si>
  <si>
    <t>Total Non-Current Liabilities</t>
  </si>
  <si>
    <t>2025-01-17T00:00:00+05:30</t>
  </si>
  <si>
    <t>2025-01-20T00:00:00+05:30</t>
  </si>
  <si>
    <t>2025-01-21T00:00:00+05:30</t>
  </si>
  <si>
    <t>Lease Liabilities (Current)</t>
  </si>
  <si>
    <t>2025-01-22T00:00:00+05:30</t>
  </si>
  <si>
    <t>Trade Payables - MSME</t>
  </si>
  <si>
    <t>2025-01-23T00:00:00+05:30</t>
  </si>
  <si>
    <t>Trade Payables - Others</t>
  </si>
  <si>
    <t>2025-01-24T00:00:00+05:30</t>
  </si>
  <si>
    <t>Other Financial Liabilities (Current)</t>
  </si>
  <si>
    <t>2025-01-27T00:00:00+05:30</t>
  </si>
  <si>
    <t>Other Current Liabilities</t>
  </si>
  <si>
    <t>2025-01-28T00:00:00+05:30</t>
  </si>
  <si>
    <t>Provisions (Current)</t>
  </si>
  <si>
    <t>2025-01-29T00:00:00+05:30</t>
  </si>
  <si>
    <t>Current Tax Liabilities (Net)</t>
  </si>
  <si>
    <t>2025-01-30T00:00:00+05:30</t>
  </si>
  <si>
    <t>Total Current Liabilities</t>
  </si>
  <si>
    <t>2025-01-31T00:00:00+05:30</t>
  </si>
  <si>
    <t>TOTAL EQUITY AND LIABILITIES</t>
  </si>
  <si>
    <t>2025-02-01T00:00:00+05:30</t>
  </si>
  <si>
    <t>2025-02-03T00:00:00+05:30</t>
  </si>
  <si>
    <t>2025-02-04T00:00:00+05:30</t>
  </si>
  <si>
    <t>2025-02-05T00:00:00+05:30</t>
  </si>
  <si>
    <t>2025-02-06T00:00:00+05:30</t>
  </si>
  <si>
    <t>2025-02-07T00:00:00+05:30</t>
  </si>
  <si>
    <t>2025-02-10T00:00:00+05:30</t>
  </si>
  <si>
    <t>2025-02-11T00:00:00+05:30</t>
  </si>
  <si>
    <t>2025-02-12T00:00:00+05:30</t>
  </si>
  <si>
    <t>2025-02-13T00:00:00+05:30</t>
  </si>
  <si>
    <t>2025-02-14T00:00:00+05:30</t>
  </si>
  <si>
    <t>2025-02-17T00:00:00+05:30</t>
  </si>
  <si>
    <t>2025-02-18T00:00:00+05:30</t>
  </si>
  <si>
    <t>2025-02-19T00:00:00+05:30</t>
  </si>
  <si>
    <t>2025-02-20T00:00:00+05:30</t>
  </si>
  <si>
    <t>2025-02-21T00:00:00+05:30</t>
  </si>
  <si>
    <t>2025-02-24T00:00:00+05:30</t>
  </si>
  <si>
    <t>2025-02-25T00:00:00+05:30</t>
  </si>
  <si>
    <t>2025-02-27T00:00:00+05:30</t>
  </si>
  <si>
    <t>2025-02-28T00:00:00+05:30</t>
  </si>
  <si>
    <t>2025-03-03T00:00:00+05:30</t>
  </si>
  <si>
    <t>2025-03-04T00:00:00+05:30</t>
  </si>
  <si>
    <t>2025-03-05T00:00:00+05:30</t>
  </si>
  <si>
    <t>2025-03-06T00:00:00+05:30</t>
  </si>
  <si>
    <t>2025-03-07T00:00:00+05:30</t>
  </si>
  <si>
    <t>2025-03-10T00:00:00+05:30</t>
  </si>
  <si>
    <t>2025-03-11T00:00:00+05:30</t>
  </si>
  <si>
    <t>2025-03-12T00:00:00+05:30</t>
  </si>
  <si>
    <t>2025-03-13T00:00:00+05:30</t>
  </si>
  <si>
    <t>2025-03-17T00:00:00+05:30</t>
  </si>
  <si>
    <t>2025-03-18T00:00:00+05:30</t>
  </si>
  <si>
    <t>2025-03-19T00:00:00+05:30</t>
  </si>
  <si>
    <t>2025-03-20T00:00:00+05:30</t>
  </si>
  <si>
    <t>2025-03-21T00:00:00+05:30</t>
  </si>
  <si>
    <t>2025-03-24T00:00:00+05:30</t>
  </si>
  <si>
    <t>2025-03-25T00:00:00+05:30</t>
  </si>
  <si>
    <t>2025-03-26T00:00:00+05:30</t>
  </si>
  <si>
    <t>2025-03-27T00:00:00+05:30</t>
  </si>
  <si>
    <t>2025-03-28T00:00:00+05:30</t>
  </si>
  <si>
    <t>2025-04-01T00:00:00+05:30</t>
  </si>
  <si>
    <t>2025-04-02T00:00:00+05:30</t>
  </si>
  <si>
    <t>2025-04-03T00:00:00+05:30</t>
  </si>
  <si>
    <t>2025-04-04T00:00:00+05:30</t>
  </si>
  <si>
    <t>2025-04-07T00:00:00+05:30</t>
  </si>
  <si>
    <t>2025-04-08T00:00:00+05:30</t>
  </si>
  <si>
    <t>2025-04-09T00:00:00+05:30</t>
  </si>
  <si>
    <t>2025-04-11T00:00:00+05:30</t>
  </si>
  <si>
    <t>2025-04-15T00:00:00+05:30</t>
  </si>
  <si>
    <t>2025-04-16T00:00:00+05:30</t>
  </si>
  <si>
    <t>2025-04-17T00:00:00+05:30</t>
  </si>
  <si>
    <t>2025-04-21T00:00:00+05:30</t>
  </si>
  <si>
    <t>2025-04-22T00:00:00+05:30</t>
  </si>
  <si>
    <t>2025-04-23T00:00:00+05:30</t>
  </si>
  <si>
    <t>2025-04-24T00:00:00+05:30</t>
  </si>
  <si>
    <t>2025-04-25T00:00:00+05:30</t>
  </si>
  <si>
    <t>2025-04-28T00:00:00+05:30</t>
  </si>
  <si>
    <t>2025-04-29T00:00:00+05:30</t>
  </si>
  <si>
    <t>2025-04-30T00:00:00+05:30</t>
  </si>
  <si>
    <t>2025-05-02T00:00:00+05:30</t>
  </si>
  <si>
    <t>2025-05-05T00:00:00+05:30</t>
  </si>
  <si>
    <t>2025-05-06T00:00:00+05:30</t>
  </si>
  <si>
    <t>2025-05-07T00:00:00+05:30</t>
  </si>
  <si>
    <t>2025-05-08T00:00:00+05:30</t>
  </si>
  <si>
    <t>2025-05-09T00:00:00+05:30</t>
  </si>
  <si>
    <t>2025-05-12T00:00:00+05:30</t>
  </si>
  <si>
    <t>2025-05-13T00:00:00+05:30</t>
  </si>
  <si>
    <t>2025-05-14T00:00:00+05:30</t>
  </si>
  <si>
    <t>2025-05-15T00:00:00+05:30</t>
  </si>
  <si>
    <t>2025-05-16T00:00:00+05:30</t>
  </si>
  <si>
    <t>2025-05-19T00:00:00+05:30</t>
  </si>
  <si>
    <t>2025-05-20T00:00:00+05:30</t>
  </si>
  <si>
    <t>2025-05-21T00:00:00+05:30</t>
  </si>
  <si>
    <t>2025-05-22T00:00:00+05:30</t>
  </si>
  <si>
    <t>2025-05-23T00:00:00+05:30</t>
  </si>
  <si>
    <t>2025-05-26T00:00:00+05:30</t>
  </si>
  <si>
    <t>2025-05-27T00:00:00+05:30</t>
  </si>
  <si>
    <t>2025-05-28T00:00:00+05:30</t>
  </si>
  <si>
    <t>2025-05-29T00:00:00+05:30</t>
  </si>
  <si>
    <t>2025-05-30T00:00:00+05:30</t>
  </si>
  <si>
    <t>2025-06-02T00:00:00+05:30</t>
  </si>
  <si>
    <t>2025-06-03T00:00:00+05:30</t>
  </si>
  <si>
    <t>2025-06-04T00:00:00+05:30</t>
  </si>
  <si>
    <t>2025-06-05T00:00:00+05:30</t>
  </si>
  <si>
    <t>2025-06-06T00:00:00+05:30</t>
  </si>
  <si>
    <t>2025-06-09T00:00:00+05:30</t>
  </si>
  <si>
    <t>2025-06-10T00:00:00+05:30</t>
  </si>
  <si>
    <t>2025-06-11T00:00:00+05:30</t>
  </si>
  <si>
    <t>2025-06-12T00:00:00+05:30</t>
  </si>
  <si>
    <t>2025-06-13T00:00:00+05:30</t>
  </si>
  <si>
    <t>2025-06-16T00:00:00+05:30</t>
  </si>
  <si>
    <t>2025-06-17T00:00:00+05:30</t>
  </si>
  <si>
    <t>2025-06-18T00:00:00+05:30</t>
  </si>
  <si>
    <t>2025-06-19T00:00:00+05:30</t>
  </si>
  <si>
    <t>2025-06-20T00:00:00+05:30</t>
  </si>
  <si>
    <t>2025-06-23T00:00:00+05:30</t>
  </si>
  <si>
    <t>2025-06-24T00:00:00+05:30</t>
  </si>
  <si>
    <t>2025-06-25T00:00:00+05:30</t>
  </si>
  <si>
    <t>2025-06-26T00:00:00+05:30</t>
  </si>
  <si>
    <t>2025-06-27T00:00:00+05:30</t>
  </si>
  <si>
    <t>2025-06-30T00:00:00+05:30</t>
  </si>
  <si>
    <t>2025-07-01T00:00:00+05:30</t>
  </si>
  <si>
    <t>2025-07-02T00:00:00+05:30</t>
  </si>
  <si>
    <t>2025-07-03T00:00:00+05:30</t>
  </si>
  <si>
    <t>2025-07-04T00:00:00+05:30</t>
  </si>
  <si>
    <t>2025-07-07T00:00:00+05:30</t>
  </si>
  <si>
    <t>2025-07-08T00:00:00+05:30</t>
  </si>
  <si>
    <t>2025-07-09T00:00:00+05:30</t>
  </si>
  <si>
    <t>2025-07-10T00:00:00+05:30</t>
  </si>
  <si>
    <t>2025-07-11T00:00:00+05:30</t>
  </si>
  <si>
    <t>2025-07-14T00:00:00+05:30</t>
  </si>
  <si>
    <t>2025-07-15T00:00:00+05:30</t>
  </si>
  <si>
    <t>2025-07-16T00:00:00+05:30</t>
  </si>
  <si>
    <t>2025-07-17T00:00:00+05:30</t>
  </si>
  <si>
    <t>2025-07-18T00:00:00+05:30</t>
  </si>
  <si>
    <t>2025-07-21T00:00:00+05:30</t>
  </si>
  <si>
    <t>2025-07-22T00:00:00+05:30</t>
  </si>
  <si>
    <t>2025-07-23T00:00:00+05:30</t>
  </si>
  <si>
    <t>2025-07-24T00:00:00+05:30</t>
  </si>
  <si>
    <t>2025-07-25T00:00:00+05:30</t>
  </si>
  <si>
    <t>2025-07-28T00:00:00+05:30</t>
  </si>
  <si>
    <t>2025-07-29T00:00:00+05:30</t>
  </si>
  <si>
    <t>2025-07-30T00:00:00+05:30</t>
  </si>
  <si>
    <t>2025-07-31T00:00:00+05:30</t>
  </si>
  <si>
    <t>2025-08-01T00:00:00+05:30</t>
  </si>
  <si>
    <t>2025-08-04T00:00:00+05:30</t>
  </si>
  <si>
    <t>2025-08-05T00:00:00+05:30</t>
  </si>
  <si>
    <t>2025-08-06T00:00:00+05:30</t>
  </si>
  <si>
    <t>2025-08-07T00:00:00+05:30</t>
  </si>
  <si>
    <t>2025-08-08T00:00:00+05:30</t>
  </si>
  <si>
    <t>2025-08-11T00:00:00+05:30</t>
  </si>
  <si>
    <t>2025-08-12T00:00:00+05:30</t>
  </si>
  <si>
    <t>2025-08-13T00:00:00+05:30</t>
  </si>
  <si>
    <t>2025-08-14T00:00:00+05:30</t>
  </si>
  <si>
    <t>2025-08-18T00:00:00+05:30</t>
  </si>
  <si>
    <t>2025-08-19T00:00:00+05:30</t>
  </si>
  <si>
    <t>2025-08-20T00:00:00+05:30</t>
  </si>
  <si>
    <t>2025-08-21T00:00:00+05:30</t>
  </si>
  <si>
    <t>2025-08-22T00:00:00+05:30</t>
  </si>
  <si>
    <t>2025-08-25T00:00:00+05:30</t>
  </si>
  <si>
    <t>2025-08-26T00:00:00+05:30</t>
  </si>
  <si>
    <t>2025-08-28T00:00:00+05:30</t>
  </si>
  <si>
    <t>2025-08-29T00:00:00+05:30</t>
  </si>
  <si>
    <t>2025-09-01T00:00:00+05:30</t>
  </si>
  <si>
    <t>2025-09-02T00:00:00+05:30</t>
  </si>
  <si>
    <t>2025-09-03T00:00:00+05:30</t>
  </si>
  <si>
    <t>2025-09-04T00:00:00+05:30</t>
  </si>
  <si>
    <t>2025-09-05T00:00:00+05:30</t>
  </si>
  <si>
    <t>2025-09-08T00:00:00+05:30</t>
  </si>
  <si>
    <t>2025-09-09T00:00:00+05:30</t>
  </si>
  <si>
    <t>2025-09-10T00:00:00+05:30</t>
  </si>
  <si>
    <t>2025-09-11T00:00:00+05:30</t>
  </si>
  <si>
    <t>2025-09-12T00:00:00+05:30</t>
  </si>
  <si>
    <t>2025-09-15T00:00:00+05:30</t>
  </si>
  <si>
    <t>2025-09-16T00:00:00+05:30</t>
  </si>
  <si>
    <t>2025-09-17T00:00:00+05:30</t>
  </si>
  <si>
    <t>2025-09-18T00:00:00+05:30</t>
  </si>
  <si>
    <t>2025-09-19T00:00:00+05:30</t>
  </si>
  <si>
    <t>2025-09-22T00:00:00+05:30</t>
  </si>
  <si>
    <t>2025-09-23T00:00:00+05:30</t>
  </si>
  <si>
    <t>2025-09-24T00:00:00+05:30</t>
  </si>
  <si>
    <t>2025-09-25T00:00:00+05:30</t>
  </si>
  <si>
    <t>2025-09-26T00:00:00+05:30</t>
  </si>
  <si>
    <t>2025-09-29T00:00:00+05:30</t>
  </si>
  <si>
    <t>2025-09-30T00:00:00+05:30</t>
  </si>
  <si>
    <t>2025-10-01T00:00:00+05:30</t>
  </si>
  <si>
    <t>2025-10-03T00:00:00+05:30</t>
  </si>
  <si>
    <t>2025-10-06T00:00:00+05:30</t>
  </si>
  <si>
    <t>2025-10-07T00:00:00+05:30</t>
  </si>
  <si>
    <t>2025-10-08T00:00:00+05:30</t>
  </si>
  <si>
    <t>2025-10-09T00:00:00+05:30</t>
  </si>
  <si>
    <t>2025-10-10T00:00:00+05:30</t>
  </si>
  <si>
    <t>2025-10-13T00:00:00+05:30</t>
  </si>
  <si>
    <t>2025-10-14T00:00:00+05:30</t>
  </si>
  <si>
    <t>2025-10-15T00:00:00+05:30</t>
  </si>
  <si>
    <t>2025-10-16T00:00:00+05:30</t>
  </si>
  <si>
    <t>2025-10-17T00:00:00+05:30</t>
  </si>
  <si>
    <t>2025-10-20T00:00:00+05:30</t>
  </si>
  <si>
    <t>2025-10-21T00:00:00+05:30</t>
  </si>
  <si>
    <t>2025-10-23T00:00:00+05:30</t>
  </si>
  <si>
    <t>2025-10-24T00:00:00+05:30</t>
  </si>
  <si>
    <t>2025-10-27T00:00:00+05:30</t>
  </si>
  <si>
    <t>2025-10-28T00:00:00+05:30</t>
  </si>
  <si>
    <t>2025-10-29T00:00:00+05:30</t>
  </si>
  <si>
    <t>2025-10-30T00:00:00+05:30</t>
  </si>
  <si>
    <t>2025-10-31T00:00:00+05:30</t>
  </si>
  <si>
    <t>2025-11-03T00:00:00+05:30</t>
  </si>
  <si>
    <t>2025-11-04T00:00:00+05:30</t>
  </si>
  <si>
    <t>2025-11-06T00:00:00+05:30</t>
  </si>
  <si>
    <t>2025-11-07T00:00:00+05:30</t>
  </si>
  <si>
    <t>2025-11-10T00:00:00+05:30</t>
  </si>
  <si>
    <t>2025-11-11T00:00:00+05:30</t>
  </si>
  <si>
    <t>2025-11-12T00:00:00+05:30</t>
  </si>
  <si>
    <t>2025-11-13T00:00:00+05:30</t>
  </si>
  <si>
    <t>2025-11-14T00:00:00+05:30</t>
  </si>
  <si>
    <t>2025-11-17T00:00:00+05:30</t>
  </si>
  <si>
    <t>2025-11-18T00:00:00+05:30</t>
  </si>
  <si>
    <t>2025-11-19T00:00:00+05:30</t>
  </si>
  <si>
    <t>2025-11-21T00:00:00+05:30</t>
  </si>
  <si>
    <t>2025-11-24T00:00:00+05:30</t>
  </si>
  <si>
    <t>2025-11-25T00:00:00+05:30</t>
  </si>
  <si>
    <t>2025-11-26T00:00:00+05:30</t>
  </si>
  <si>
    <t>2025-11-27T00:00:00+05:30</t>
  </si>
  <si>
    <t>2025-11-28T00:00:00+05:30</t>
  </si>
  <si>
    <t>Annual Reports</t>
  </si>
  <si>
    <t>Note: We found the lowest standard deviation value by using Goal-Seek.</t>
  </si>
  <si>
    <r>
      <rPr>
        <u/>
        <sz val="12"/>
        <color rgb="FF1155CC"/>
        <rFont val="Calibri"/>
        <family val="2"/>
        <scheme val="major"/>
      </rPr>
      <t>https://www.nseindia.com/get-quotes/equity?symbol=TATAELXSI</t>
    </r>
  </si>
  <si>
    <r>
      <rPr>
        <u/>
        <sz val="12"/>
        <color rgb="FF1155CC"/>
        <rFont val="Calibri"/>
        <family val="2"/>
        <scheme val="major"/>
      </rPr>
      <t>https://stockpricearchive.com/tata-elxsi-share-price-history/</t>
    </r>
  </si>
  <si>
    <r>
      <rPr>
        <u/>
        <sz val="12"/>
        <color rgb="FF1155CC"/>
        <rFont val="Calibri"/>
        <family val="2"/>
        <scheme val="major"/>
      </rPr>
      <t>https://dhan.co/stocks/tata-elxsi-ltd-historical-price/</t>
    </r>
  </si>
  <si>
    <r>
      <rPr>
        <u/>
        <sz val="12"/>
        <color rgb="FF1155CC"/>
        <rFont val="Calibri"/>
        <family val="2"/>
        <scheme val="major"/>
      </rPr>
      <t>https://www.tataelxsi.com/news-and-events/press-releases/tata-elxsi-operating-revenue-at-rs-3729-crores-for-fy25-with-full-year-</t>
    </r>
  </si>
  <si>
    <r>
      <rPr>
        <u/>
        <sz val="12"/>
        <color rgb="FF1155CC"/>
        <rFont val="Calibri"/>
        <family val="2"/>
        <scheme val="major"/>
      </rPr>
      <t>https://www.tataelxsi.com/news-and-events/press-releases/tata-elxsi-delivers-stable-revenues-in-q3-fy25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</si>
</sst>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yyyy\-mm\-dd"/>
    <numFmt numFmtId="166" formatCode="d\ mmm\ yyyy"/>
    <numFmt numFmtId="167" formatCode="yyyy\-mm\-dd\ h:mm:ss"/>
  </numFmts>
  <fonts count="26" x14ac:knownFonts="1">
    <font>
      <sz val="11"/>
      <color theme="1"/>
      <name val="Calibri"/>
      <scheme val="minor"/>
    </font>
    <font>
      <u/>
      <sz val="11"/>
      <color theme="10"/>
      <name val="Calibri"/>
      <scheme val="minor"/>
    </font>
    <font>
      <b/>
      <sz val="16"/>
      <color rgb="FFFFFFFF"/>
      <name val="Calibri"/>
      <family val="2"/>
      <scheme val="major"/>
    </font>
    <font>
      <sz val="11"/>
      <name val="Calibri"/>
      <family val="2"/>
      <scheme val="major"/>
    </font>
    <font>
      <sz val="11"/>
      <color theme="1"/>
      <name val="Calibri"/>
      <family val="2"/>
      <scheme val="major"/>
    </font>
    <font>
      <b/>
      <sz val="11"/>
      <color rgb="FF000000"/>
      <name val="Calibri"/>
      <family val="2"/>
      <scheme val="major"/>
    </font>
    <font>
      <b/>
      <sz val="12"/>
      <color theme="1"/>
      <name val="Calibri"/>
      <family val="2"/>
      <scheme val="major"/>
    </font>
    <font>
      <sz val="11"/>
      <color rgb="FF000000"/>
      <name val="Calibri"/>
      <family val="2"/>
      <scheme val="major"/>
    </font>
    <font>
      <b/>
      <sz val="11"/>
      <color theme="1"/>
      <name val="Calibri"/>
      <family val="2"/>
      <scheme val="major"/>
    </font>
    <font>
      <b/>
      <sz val="11"/>
      <color rgb="FF222222"/>
      <name val="Calibri"/>
      <family val="2"/>
      <scheme val="major"/>
    </font>
    <font>
      <sz val="11"/>
      <color rgb="FF222222"/>
      <name val="Calibri"/>
      <family val="2"/>
      <scheme val="major"/>
    </font>
    <font>
      <b/>
      <sz val="13"/>
      <color rgb="FF222222"/>
      <name val="Calibri"/>
      <family val="2"/>
      <scheme val="major"/>
    </font>
    <font>
      <b/>
      <sz val="13"/>
      <color rgb="FF000000"/>
      <name val="Calibri"/>
      <family val="2"/>
      <scheme val="major"/>
    </font>
    <font>
      <sz val="12"/>
      <color theme="1"/>
      <name val="Calibri"/>
      <family val="2"/>
      <scheme val="major"/>
    </font>
    <font>
      <b/>
      <sz val="13"/>
      <color theme="1"/>
      <name val="Calibri"/>
      <family val="2"/>
      <scheme val="major"/>
    </font>
    <font>
      <u/>
      <sz val="11"/>
      <color rgb="FF0000FF"/>
      <name val="Calibri"/>
      <family val="2"/>
      <scheme val="major"/>
    </font>
    <font>
      <sz val="12"/>
      <color rgb="FF212529"/>
      <name val="Calibri"/>
      <family val="2"/>
      <scheme val="major"/>
    </font>
    <font>
      <u/>
      <sz val="11"/>
      <color theme="10"/>
      <name val="Calibri"/>
      <family val="2"/>
      <scheme val="major"/>
    </font>
    <font>
      <sz val="13"/>
      <color theme="1"/>
      <name val="Calibri"/>
      <family val="2"/>
      <scheme val="major"/>
    </font>
    <font>
      <sz val="11"/>
      <color rgb="FFF79646"/>
      <name val="Calibri"/>
      <family val="2"/>
      <scheme val="major"/>
    </font>
    <font>
      <sz val="11"/>
      <color theme="9"/>
      <name val="Calibri"/>
      <family val="2"/>
      <scheme val="major"/>
    </font>
    <font>
      <b/>
      <sz val="13"/>
      <color rgb="FFFFFFFF"/>
      <name val="Calibri"/>
      <family val="2"/>
      <scheme val="major"/>
    </font>
    <font>
      <sz val="13"/>
      <color rgb="FF000000"/>
      <name val="Calibri"/>
      <family val="2"/>
      <scheme val="major"/>
    </font>
    <font>
      <u/>
      <sz val="12"/>
      <color rgb="FF0000FF"/>
      <name val="Calibri"/>
      <family val="2"/>
      <scheme val="major"/>
    </font>
    <font>
      <u/>
      <sz val="12"/>
      <color theme="10"/>
      <name val="Calibri"/>
      <family val="2"/>
      <scheme val="major"/>
    </font>
    <font>
      <u/>
      <sz val="12"/>
      <color rgb="FF1155CC"/>
      <name val="Calibri"/>
      <family val="2"/>
      <scheme val="major"/>
    </font>
  </fonts>
  <fills count="18">
    <fill>
      <patternFill patternType="none"/>
    </fill>
    <fill>
      <patternFill patternType="gray125"/>
    </fill>
    <fill>
      <patternFill patternType="solid">
        <fgColor rgb="FF1A1A1A"/>
        <bgColor rgb="FF1A1A1A"/>
      </patternFill>
    </fill>
    <fill>
      <patternFill patternType="solid">
        <fgColor rgb="FFC9A227"/>
        <bgColor rgb="FFC9A227"/>
      </patternFill>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
      <patternFill patternType="solid">
        <fgColor rgb="FFB6D7A8"/>
        <bgColor rgb="FFB6D7A8"/>
      </patternFill>
    </fill>
    <fill>
      <patternFill patternType="solid">
        <fgColor rgb="FF6AA84F"/>
        <bgColor rgb="FF6AA84F"/>
      </patternFill>
    </fill>
    <fill>
      <patternFill patternType="solid">
        <fgColor rgb="FFFFFF00"/>
        <bgColor rgb="FFFFFF00"/>
      </patternFill>
    </fill>
    <fill>
      <patternFill patternType="solid">
        <fgColor rgb="FF6FA8DC"/>
        <bgColor rgb="FF6FA8DC"/>
      </patternFill>
    </fill>
    <fill>
      <patternFill patternType="solid">
        <fgColor rgb="FFFF9900"/>
        <bgColor rgb="FFFF9900"/>
      </patternFill>
    </fill>
    <fill>
      <patternFill patternType="solid">
        <fgColor rgb="FFF6B26B"/>
        <bgColor rgb="FFF6B26B"/>
      </patternFill>
    </fill>
    <fill>
      <patternFill patternType="solid">
        <fgColor rgb="FF9FC5E8"/>
        <bgColor rgb="FF9FC5E8"/>
      </patternFill>
    </fill>
    <fill>
      <patternFill patternType="solid">
        <fgColor rgb="FFEAD1DC"/>
        <bgColor rgb="FFEAD1DC"/>
      </patternFill>
    </fill>
    <fill>
      <patternFill patternType="solid">
        <fgColor rgb="FFEA9999"/>
        <bgColor rgb="FFEA9999"/>
      </patternFill>
    </fill>
    <fill>
      <patternFill patternType="solid">
        <fgColor rgb="FFF2F2F2"/>
        <bgColor rgb="FFF2F2F2"/>
      </patternFill>
    </fill>
    <fill>
      <patternFill patternType="solid">
        <fgColor rgb="FFD4D4D4"/>
        <bgColor rgb="FFD4D4D4"/>
      </patternFill>
    </fill>
  </fills>
  <borders count="20">
    <border>
      <left/>
      <right/>
      <top/>
      <bottom/>
      <diagonal/>
    </border>
    <border>
      <left/>
      <right/>
      <top/>
      <bottom style="thin">
        <color rgb="FFC9A227"/>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s>
  <cellStyleXfs count="2">
    <xf numFmtId="0" fontId="0" fillId="0" borderId="0"/>
    <xf numFmtId="0" fontId="1" fillId="0" borderId="0" applyNumberFormat="0" applyFill="0" applyBorder="0" applyAlignment="0" applyProtection="0"/>
  </cellStyleXfs>
  <cellXfs count="167">
    <xf numFmtId="0" fontId="0" fillId="0" borderId="0" xfId="0"/>
    <xf numFmtId="0" fontId="4" fillId="0" borderId="0" xfId="0" applyFont="1"/>
    <xf numFmtId="0" fontId="4" fillId="0" borderId="0" xfId="0" applyFont="1" applyAlignment="1">
      <alignment wrapText="1"/>
    </xf>
    <xf numFmtId="0" fontId="5" fillId="0" borderId="0" xfId="0" applyFont="1" applyAlignment="1">
      <alignment horizontal="center" wrapText="1"/>
    </xf>
    <xf numFmtId="0" fontId="5" fillId="4" borderId="4" xfId="0" applyFont="1" applyFill="1" applyBorder="1" applyAlignment="1">
      <alignment horizontal="center" wrapText="1"/>
    </xf>
    <xf numFmtId="0" fontId="4" fillId="0" borderId="4" xfId="0" applyFont="1" applyBorder="1" applyAlignment="1">
      <alignment wrapText="1"/>
    </xf>
    <xf numFmtId="0" fontId="4" fillId="0" borderId="4" xfId="0" applyFont="1" applyBorder="1" applyAlignment="1">
      <alignment horizontal="center" wrapText="1"/>
    </xf>
    <xf numFmtId="0" fontId="7" fillId="0" borderId="4" xfId="0" applyFont="1" applyBorder="1" applyAlignment="1">
      <alignment horizontal="center" wrapText="1"/>
    </xf>
    <xf numFmtId="0" fontId="8" fillId="0" borderId="2" xfId="0" applyFont="1" applyBorder="1" applyAlignment="1">
      <alignment wrapText="1"/>
    </xf>
    <xf numFmtId="0" fontId="9" fillId="0" borderId="0" xfId="0" applyFont="1" applyAlignment="1">
      <alignment horizontal="center" wrapText="1"/>
    </xf>
    <xf numFmtId="0" fontId="9" fillId="5" borderId="4" xfId="0" applyFont="1" applyFill="1" applyBorder="1" applyAlignment="1">
      <alignment horizontal="center" wrapText="1"/>
    </xf>
    <xf numFmtId="0" fontId="10" fillId="6" borderId="4" xfId="0" applyFont="1" applyFill="1" applyBorder="1" applyAlignment="1">
      <alignment horizontal="left" wrapText="1"/>
    </xf>
    <xf numFmtId="0" fontId="4" fillId="0" borderId="4" xfId="0" applyFont="1" applyBorder="1" applyAlignment="1">
      <alignment horizontal="left" vertical="center" wrapText="1"/>
    </xf>
    <xf numFmtId="0" fontId="4" fillId="0" borderId="4" xfId="0" applyFont="1" applyBorder="1" applyAlignment="1">
      <alignment horizontal="left" wrapText="1"/>
    </xf>
    <xf numFmtId="0" fontId="9" fillId="6" borderId="0" xfId="0" applyFont="1" applyFill="1" applyAlignment="1">
      <alignment horizontal="center" wrapText="1"/>
    </xf>
    <xf numFmtId="0" fontId="10" fillId="6" borderId="0" xfId="0" applyFont="1" applyFill="1" applyAlignment="1">
      <alignment horizontal="center" wrapText="1"/>
    </xf>
    <xf numFmtId="0" fontId="11" fillId="6" borderId="0" xfId="0" applyFont="1" applyFill="1" applyAlignment="1">
      <alignment horizontal="left" wrapText="1"/>
    </xf>
    <xf numFmtId="0" fontId="12" fillId="3" borderId="2" xfId="0" applyFont="1" applyFill="1" applyBorder="1" applyAlignment="1">
      <alignment horizontal="center" wrapText="1"/>
    </xf>
    <xf numFmtId="0" fontId="10" fillId="6" borderId="4" xfId="0" applyFont="1" applyFill="1" applyBorder="1" applyAlignment="1">
      <alignment horizontal="center" wrapText="1"/>
    </xf>
    <xf numFmtId="10" fontId="10" fillId="6" borderId="4" xfId="0" applyNumberFormat="1" applyFont="1" applyFill="1" applyBorder="1" applyAlignment="1">
      <alignment horizontal="center" wrapText="1"/>
    </xf>
    <xf numFmtId="0" fontId="13" fillId="0" borderId="4" xfId="0" applyFont="1" applyBorder="1" applyAlignment="1">
      <alignment wrapText="1"/>
    </xf>
    <xf numFmtId="0" fontId="13" fillId="0" borderId="0" xfId="0" applyFont="1" applyAlignment="1">
      <alignment wrapText="1"/>
    </xf>
    <xf numFmtId="164" fontId="10" fillId="6" borderId="4" xfId="0" applyNumberFormat="1" applyFont="1" applyFill="1" applyBorder="1" applyAlignment="1">
      <alignment horizontal="center" wrapText="1"/>
    </xf>
    <xf numFmtId="0" fontId="14" fillId="0" borderId="0" xfId="0" applyFont="1" applyAlignment="1">
      <alignment horizontal="left" wrapText="1"/>
    </xf>
    <xf numFmtId="0" fontId="8" fillId="0" borderId="0" xfId="0" applyFont="1" applyAlignment="1">
      <alignment wrapText="1"/>
    </xf>
    <xf numFmtId="0" fontId="8" fillId="3" borderId="0" xfId="0" applyFont="1" applyFill="1" applyAlignment="1">
      <alignment horizontal="center" vertical="top" wrapText="1"/>
    </xf>
    <xf numFmtId="0" fontId="14" fillId="4" borderId="0" xfId="0" applyFont="1" applyFill="1" applyAlignment="1">
      <alignment horizontal="center" wrapText="1"/>
    </xf>
    <xf numFmtId="164" fontId="4" fillId="0" borderId="4" xfId="0" applyNumberFormat="1" applyFont="1" applyBorder="1" applyAlignment="1">
      <alignment horizontal="center" wrapText="1"/>
    </xf>
    <xf numFmtId="0" fontId="4" fillId="0" borderId="0" xfId="0" applyFont="1" applyAlignment="1">
      <alignment horizontal="center" wrapText="1"/>
    </xf>
    <xf numFmtId="0" fontId="7" fillId="6" borderId="0" xfId="0" applyFont="1" applyFill="1" applyAlignment="1">
      <alignment horizontal="left" wrapText="1"/>
    </xf>
    <xf numFmtId="0" fontId="15" fillId="0" borderId="4" xfId="0" applyFont="1" applyBorder="1" applyAlignment="1">
      <alignment horizontal="center" wrapText="1"/>
    </xf>
    <xf numFmtId="0" fontId="15" fillId="0" borderId="4" xfId="0" applyFont="1" applyBorder="1" applyAlignment="1">
      <alignment wrapText="1"/>
    </xf>
    <xf numFmtId="4" fontId="7" fillId="6" borderId="0" xfId="0" applyNumberFormat="1" applyFont="1" applyFill="1" applyAlignment="1">
      <alignment horizontal="right" wrapText="1"/>
    </xf>
    <xf numFmtId="0" fontId="16" fillId="6" borderId="0" xfId="0" applyFont="1" applyFill="1" applyAlignment="1">
      <alignment wrapText="1"/>
    </xf>
    <xf numFmtId="0" fontId="8" fillId="7" borderId="4" xfId="0" applyFont="1" applyFill="1" applyBorder="1" applyAlignment="1">
      <alignment horizontal="center" wrapText="1"/>
    </xf>
    <xf numFmtId="0" fontId="17" fillId="0" borderId="4" xfId="0" applyFont="1" applyBorder="1" applyAlignment="1">
      <alignment horizontal="center" wrapText="1"/>
    </xf>
    <xf numFmtId="0" fontId="18" fillId="0" borderId="0" xfId="0" applyFont="1" applyAlignment="1">
      <alignment horizontal="center" wrapText="1"/>
    </xf>
    <xf numFmtId="0" fontId="19" fillId="0" borderId="0" xfId="0" applyFont="1" applyAlignment="1">
      <alignment horizontal="center" wrapText="1"/>
    </xf>
    <xf numFmtId="0" fontId="20" fillId="0" borderId="0" xfId="0" applyFont="1" applyAlignment="1">
      <alignment horizontal="center" wrapText="1"/>
    </xf>
    <xf numFmtId="164" fontId="8" fillId="7" borderId="4" xfId="0" applyNumberFormat="1" applyFont="1" applyFill="1" applyBorder="1" applyAlignment="1">
      <alignment horizontal="center" wrapText="1"/>
    </xf>
    <xf numFmtId="0" fontId="8" fillId="5" borderId="4" xfId="0" applyFont="1" applyFill="1" applyBorder="1" applyAlignment="1">
      <alignment horizontal="left" wrapText="1"/>
    </xf>
    <xf numFmtId="0" fontId="8" fillId="6" borderId="0" xfId="0" applyFont="1" applyFill="1" applyAlignment="1">
      <alignment horizontal="left" wrapText="1"/>
    </xf>
    <xf numFmtId="0" fontId="4" fillId="0" borderId="0" xfId="0" applyFont="1" applyAlignment="1">
      <alignment horizontal="left" wrapText="1"/>
    </xf>
    <xf numFmtId="0" fontId="8" fillId="5" borderId="4" xfId="0" applyFont="1" applyFill="1" applyBorder="1" applyAlignment="1">
      <alignment wrapText="1"/>
    </xf>
    <xf numFmtId="10" fontId="4" fillId="0" borderId="0" xfId="0" applyNumberFormat="1" applyFont="1" applyAlignment="1">
      <alignment horizontal="left" wrapText="1"/>
    </xf>
    <xf numFmtId="0" fontId="8" fillId="8" borderId="0" xfId="0" applyFont="1" applyFill="1" applyAlignment="1">
      <alignment wrapText="1"/>
    </xf>
    <xf numFmtId="0" fontId="4" fillId="8" borderId="0" xfId="0" applyFont="1" applyFill="1" applyAlignment="1">
      <alignment wrapText="1"/>
    </xf>
    <xf numFmtId="0" fontId="8" fillId="8" borderId="0" xfId="0" applyFont="1" applyFill="1" applyAlignment="1">
      <alignment horizontal="left" wrapText="1"/>
    </xf>
    <xf numFmtId="165" fontId="4" fillId="0" borderId="4" xfId="0" applyNumberFormat="1" applyFont="1" applyBorder="1" applyAlignment="1">
      <alignment horizontal="left" wrapText="1"/>
    </xf>
    <xf numFmtId="3" fontId="4" fillId="0" borderId="4" xfId="0" applyNumberFormat="1" applyFont="1" applyBorder="1" applyAlignment="1">
      <alignment horizontal="left" wrapText="1"/>
    </xf>
    <xf numFmtId="0" fontId="8" fillId="0" borderId="4" xfId="0" applyFont="1" applyBorder="1" applyAlignment="1">
      <alignment wrapText="1"/>
    </xf>
    <xf numFmtId="0" fontId="8" fillId="8" borderId="0" xfId="0" applyFont="1" applyFill="1" applyAlignment="1">
      <alignment horizontal="center" wrapText="1"/>
    </xf>
    <xf numFmtId="166" fontId="4" fillId="0" borderId="4" xfId="0" applyNumberFormat="1" applyFont="1" applyBorder="1" applyAlignment="1">
      <alignment horizontal="left" wrapText="1"/>
    </xf>
    <xf numFmtId="0" fontId="18" fillId="0" borderId="0" xfId="0" applyFont="1"/>
    <xf numFmtId="0" fontId="18" fillId="0" borderId="0" xfId="0" applyFont="1" applyAlignment="1">
      <alignment wrapText="1"/>
    </xf>
    <xf numFmtId="0" fontId="14" fillId="0" borderId="0" xfId="0" applyFont="1" applyAlignment="1">
      <alignment wrapText="1"/>
    </xf>
    <xf numFmtId="0" fontId="14" fillId="0" borderId="4" xfId="0" applyFont="1" applyBorder="1"/>
    <xf numFmtId="0" fontId="14" fillId="10" borderId="4" xfId="0" applyFont="1" applyFill="1" applyBorder="1" applyAlignment="1">
      <alignment horizontal="center" wrapText="1"/>
    </xf>
    <xf numFmtId="0" fontId="14" fillId="10" borderId="5" xfId="0" applyFont="1" applyFill="1" applyBorder="1" applyAlignment="1">
      <alignment horizontal="center"/>
    </xf>
    <xf numFmtId="0" fontId="14" fillId="10" borderId="6" xfId="0" applyFont="1" applyFill="1" applyBorder="1" applyAlignment="1">
      <alignment horizontal="center" wrapText="1"/>
    </xf>
    <xf numFmtId="0" fontId="14" fillId="10" borderId="4" xfId="0" applyFont="1" applyFill="1" applyBorder="1" applyAlignment="1">
      <alignment horizontal="center"/>
    </xf>
    <xf numFmtId="0" fontId="14" fillId="10" borderId="3" xfId="0" applyFont="1" applyFill="1" applyBorder="1" applyAlignment="1">
      <alignment horizontal="center"/>
    </xf>
    <xf numFmtId="0" fontId="14" fillId="10" borderId="0" xfId="0" applyFont="1" applyFill="1"/>
    <xf numFmtId="0" fontId="18" fillId="0" borderId="4" xfId="0" applyFont="1" applyBorder="1" applyAlignment="1">
      <alignment wrapText="1"/>
    </xf>
    <xf numFmtId="4" fontId="22" fillId="6" borderId="4" xfId="0" applyNumberFormat="1" applyFont="1" applyFill="1" applyBorder="1" applyAlignment="1">
      <alignment horizontal="right"/>
    </xf>
    <xf numFmtId="0" fontId="22" fillId="6" borderId="4" xfId="0" applyFont="1" applyFill="1" applyBorder="1" applyAlignment="1">
      <alignment horizontal="right"/>
    </xf>
    <xf numFmtId="0" fontId="22" fillId="6" borderId="4" xfId="0" applyFont="1" applyFill="1" applyBorder="1" applyAlignment="1">
      <alignment horizontal="left"/>
    </xf>
    <xf numFmtId="4" fontId="18" fillId="0" borderId="4" xfId="0" applyNumberFormat="1" applyFont="1" applyBorder="1" applyAlignment="1">
      <alignment wrapText="1"/>
    </xf>
    <xf numFmtId="0" fontId="22" fillId="6" borderId="4" xfId="0" applyFont="1" applyFill="1" applyBorder="1" applyAlignment="1">
      <alignment wrapText="1"/>
    </xf>
    <xf numFmtId="0" fontId="18" fillId="0" borderId="4" xfId="0" applyFont="1" applyBorder="1"/>
    <xf numFmtId="0" fontId="18" fillId="0" borderId="9" xfId="0" applyFont="1" applyBorder="1" applyAlignment="1">
      <alignment wrapText="1"/>
    </xf>
    <xf numFmtId="0" fontId="22" fillId="0" borderId="4" xfId="0" applyFont="1" applyBorder="1" applyAlignment="1">
      <alignment horizontal="right"/>
    </xf>
    <xf numFmtId="0" fontId="18" fillId="0" borderId="11" xfId="0" applyFont="1" applyBorder="1" applyAlignment="1">
      <alignment wrapText="1"/>
    </xf>
    <xf numFmtId="0" fontId="18" fillId="0" borderId="11" xfId="0" applyFont="1" applyBorder="1"/>
    <xf numFmtId="0" fontId="14" fillId="12" borderId="4" xfId="0" applyFont="1" applyFill="1" applyBorder="1"/>
    <xf numFmtId="0" fontId="14" fillId="12" borderId="4" xfId="0" applyFont="1" applyFill="1" applyBorder="1" applyAlignment="1">
      <alignment wrapText="1"/>
    </xf>
    <xf numFmtId="0" fontId="18" fillId="12" borderId="4" xfId="0" applyFont="1" applyFill="1" applyBorder="1"/>
    <xf numFmtId="0" fontId="14" fillId="9" borderId="4" xfId="0" applyFont="1" applyFill="1" applyBorder="1" applyAlignment="1">
      <alignment wrapText="1"/>
    </xf>
    <xf numFmtId="0" fontId="14" fillId="11" borderId="4" xfId="0" applyFont="1" applyFill="1" applyBorder="1"/>
    <xf numFmtId="0" fontId="14" fillId="0" borderId="0" xfId="0" applyFont="1"/>
    <xf numFmtId="0" fontId="14" fillId="13" borderId="4" xfId="0" applyFont="1" applyFill="1" applyBorder="1" applyAlignment="1">
      <alignment wrapText="1"/>
    </xf>
    <xf numFmtId="0" fontId="14" fillId="13" borderId="4" xfId="0" applyFont="1" applyFill="1" applyBorder="1"/>
    <xf numFmtId="0" fontId="18" fillId="13" borderId="4" xfId="0" applyFont="1" applyFill="1" applyBorder="1"/>
    <xf numFmtId="0" fontId="14" fillId="14" borderId="4" xfId="0" applyFont="1" applyFill="1" applyBorder="1" applyAlignment="1">
      <alignment wrapText="1"/>
    </xf>
    <xf numFmtId="10" fontId="18" fillId="14" borderId="4" xfId="0" applyNumberFormat="1" applyFont="1" applyFill="1" applyBorder="1"/>
    <xf numFmtId="0" fontId="14" fillId="0" borderId="4" xfId="0" applyFont="1" applyBorder="1" applyAlignment="1">
      <alignment wrapText="1"/>
    </xf>
    <xf numFmtId="0" fontId="14" fillId="15" borderId="0" xfId="0" applyFont="1" applyFill="1" applyAlignment="1">
      <alignment wrapText="1"/>
    </xf>
    <xf numFmtId="0" fontId="5" fillId="0" borderId="4" xfId="0" applyFont="1" applyBorder="1" applyAlignment="1">
      <alignment horizontal="center" vertical="top"/>
    </xf>
    <xf numFmtId="0" fontId="5" fillId="0" borderId="0" xfId="0" applyFont="1" applyAlignment="1">
      <alignment horizontal="center" vertical="top"/>
    </xf>
    <xf numFmtId="0" fontId="7" fillId="0" borderId="0" xfId="0" applyFont="1"/>
    <xf numFmtId="167" fontId="5" fillId="0" borderId="4" xfId="0" applyNumberFormat="1" applyFont="1" applyBorder="1" applyAlignment="1">
      <alignment horizontal="center" vertical="top"/>
    </xf>
    <xf numFmtId="0" fontId="7" fillId="0" borderId="0" xfId="0" applyFont="1" applyAlignment="1">
      <alignment horizontal="right"/>
    </xf>
    <xf numFmtId="0" fontId="8" fillId="0" borderId="4" xfId="0" applyFont="1" applyBorder="1"/>
    <xf numFmtId="0" fontId="8" fillId="0" borderId="0" xfId="0" applyFont="1"/>
    <xf numFmtId="0" fontId="8" fillId="0" borderId="0" xfId="0" applyFont="1" applyAlignment="1">
      <alignment horizontal="left" vertical="top"/>
    </xf>
    <xf numFmtId="0" fontId="4" fillId="0" borderId="0" xfId="0" applyFont="1" applyAlignment="1">
      <alignment horizontal="left"/>
    </xf>
    <xf numFmtId="0" fontId="4" fillId="0" borderId="17" xfId="0" applyFont="1" applyBorder="1" applyAlignment="1">
      <alignment horizontal="left"/>
    </xf>
    <xf numFmtId="0" fontId="8" fillId="8" borderId="12" xfId="0" applyFont="1" applyFill="1" applyBorder="1" applyAlignment="1">
      <alignment horizontal="center" vertical="top"/>
    </xf>
    <xf numFmtId="0" fontId="8" fillId="8" borderId="11" xfId="0" applyFont="1" applyFill="1" applyBorder="1" applyAlignment="1">
      <alignment horizontal="center" vertical="top"/>
    </xf>
    <xf numFmtId="0" fontId="8" fillId="8" borderId="13" xfId="0" applyFont="1" applyFill="1" applyBorder="1" applyAlignment="1">
      <alignment horizontal="center" vertical="top"/>
    </xf>
    <xf numFmtId="0" fontId="5" fillId="8" borderId="4" xfId="0" applyFont="1" applyFill="1" applyBorder="1" applyAlignment="1">
      <alignment vertical="top"/>
    </xf>
    <xf numFmtId="0" fontId="8" fillId="16" borderId="17" xfId="0" applyFont="1" applyFill="1" applyBorder="1" applyAlignment="1">
      <alignment horizontal="left"/>
    </xf>
    <xf numFmtId="0" fontId="8" fillId="0" borderId="14" xfId="0" applyFont="1" applyBorder="1"/>
    <xf numFmtId="164" fontId="4" fillId="0" borderId="0" xfId="0" applyNumberFormat="1" applyFont="1"/>
    <xf numFmtId="164" fontId="4" fillId="0" borderId="9" xfId="0" applyNumberFormat="1" applyFont="1" applyBorder="1"/>
    <xf numFmtId="0" fontId="4" fillId="0" borderId="14" xfId="0" applyFont="1" applyBorder="1"/>
    <xf numFmtId="0" fontId="4" fillId="0" borderId="9" xfId="0" applyFont="1" applyBorder="1"/>
    <xf numFmtId="0" fontId="5" fillId="17" borderId="4" xfId="0" applyFont="1" applyFill="1" applyBorder="1" applyAlignment="1">
      <alignment vertical="top"/>
    </xf>
    <xf numFmtId="0" fontId="7" fillId="0" borderId="4" xfId="0" applyFont="1" applyBorder="1" applyAlignment="1">
      <alignment vertical="top"/>
    </xf>
    <xf numFmtId="0" fontId="8" fillId="0" borderId="9" xfId="0" applyFont="1" applyBorder="1"/>
    <xf numFmtId="164" fontId="8" fillId="0" borderId="0" xfId="0" applyNumberFormat="1" applyFont="1"/>
    <xf numFmtId="164" fontId="8" fillId="0" borderId="9" xfId="0" applyNumberFormat="1" applyFont="1" applyBorder="1"/>
    <xf numFmtId="0" fontId="4" fillId="0" borderId="6" xfId="0" applyFont="1" applyBorder="1"/>
    <xf numFmtId="164" fontId="4" fillId="0" borderId="15" xfId="0" applyNumberFormat="1" applyFont="1" applyBorder="1"/>
    <xf numFmtId="164" fontId="4" fillId="0" borderId="16" xfId="0" applyNumberFormat="1" applyFont="1" applyBorder="1"/>
    <xf numFmtId="0" fontId="8" fillId="0" borderId="6" xfId="0" applyFont="1" applyBorder="1"/>
    <xf numFmtId="0" fontId="8" fillId="0" borderId="15" xfId="0" applyFont="1" applyBorder="1"/>
    <xf numFmtId="0" fontId="8" fillId="0" borderId="16" xfId="0" applyFont="1" applyBorder="1"/>
    <xf numFmtId="164" fontId="8" fillId="0" borderId="15" xfId="0" applyNumberFormat="1" applyFont="1" applyBorder="1"/>
    <xf numFmtId="164" fontId="8" fillId="0" borderId="16" xfId="0" applyNumberFormat="1" applyFont="1" applyBorder="1"/>
    <xf numFmtId="0" fontId="8" fillId="8" borderId="19" xfId="0" applyFont="1" applyFill="1" applyBorder="1" applyAlignment="1">
      <alignment horizontal="left"/>
    </xf>
    <xf numFmtId="0" fontId="24" fillId="0" borderId="18" xfId="1" applyFont="1" applyBorder="1"/>
    <xf numFmtId="0" fontId="13" fillId="0" borderId="18" xfId="0" applyFont="1" applyBorder="1"/>
    <xf numFmtId="0" fontId="23" fillId="0" borderId="18" xfId="0" applyFont="1" applyBorder="1" applyAlignment="1">
      <alignment horizontal="left"/>
    </xf>
    <xf numFmtId="0" fontId="13" fillId="0" borderId="18" xfId="0" applyFont="1" applyBorder="1" applyAlignment="1">
      <alignment horizontal="left"/>
    </xf>
    <xf numFmtId="0" fontId="23" fillId="0" borderId="18" xfId="0" applyFont="1" applyBorder="1"/>
    <xf numFmtId="0" fontId="6" fillId="0" borderId="18" xfId="0" applyFont="1" applyBorder="1" applyAlignment="1">
      <alignment horizontal="left" vertical="top"/>
    </xf>
    <xf numFmtId="0" fontId="25" fillId="0" borderId="18" xfId="0" applyFont="1" applyBorder="1"/>
    <xf numFmtId="0" fontId="13" fillId="0" borderId="18" xfId="0" applyFont="1" applyBorder="1" applyAlignment="1">
      <alignment horizontal="left" vertical="top"/>
    </xf>
    <xf numFmtId="0" fontId="23" fillId="0" borderId="18" xfId="0" applyFont="1" applyBorder="1" applyAlignment="1">
      <alignment horizontal="left" vertical="top"/>
    </xf>
    <xf numFmtId="0" fontId="23" fillId="0" borderId="18" xfId="0" applyFont="1" applyBorder="1" applyAlignment="1">
      <alignment wrapText="1"/>
    </xf>
    <xf numFmtId="0" fontId="4" fillId="0" borderId="18" xfId="0" applyFont="1" applyBorder="1"/>
    <xf numFmtId="0" fontId="2" fillId="2" borderId="1" xfId="0" applyFont="1" applyFill="1" applyBorder="1" applyAlignment="1">
      <alignment horizontal="center" wrapText="1"/>
    </xf>
    <xf numFmtId="0" fontId="3" fillId="0" borderId="1" xfId="0" applyFont="1" applyBorder="1" applyAlignment="1">
      <alignment wrapText="1"/>
    </xf>
    <xf numFmtId="0" fontId="6" fillId="3" borderId="2" xfId="0" applyFont="1" applyFill="1" applyBorder="1" applyAlignment="1">
      <alignment horizontal="center" wrapText="1"/>
    </xf>
    <xf numFmtId="0" fontId="3" fillId="0" borderId="3" xfId="0" applyFont="1" applyBorder="1" applyAlignment="1">
      <alignment wrapText="1"/>
    </xf>
    <xf numFmtId="0" fontId="4" fillId="0" borderId="2" xfId="0" applyFont="1" applyBorder="1" applyAlignment="1">
      <alignment wrapText="1"/>
    </xf>
    <xf numFmtId="0" fontId="3" fillId="0" borderId="5" xfId="0" applyFont="1" applyBorder="1" applyAlignment="1">
      <alignment wrapText="1"/>
    </xf>
    <xf numFmtId="0" fontId="14" fillId="4" borderId="0" xfId="0" applyFont="1" applyFill="1" applyAlignment="1">
      <alignment horizontal="center" wrapText="1"/>
    </xf>
    <xf numFmtId="0" fontId="4" fillId="0" borderId="0" xfId="0" applyFont="1" applyAlignment="1">
      <alignment wrapText="1"/>
    </xf>
    <xf numFmtId="0" fontId="2" fillId="2" borderId="0" xfId="0" applyFont="1" applyFill="1" applyAlignment="1">
      <alignment horizontal="center" wrapText="1"/>
    </xf>
    <xf numFmtId="0" fontId="18" fillId="0" borderId="2" xfId="0" applyFont="1" applyBorder="1" applyAlignment="1">
      <alignment wrapText="1"/>
    </xf>
    <xf numFmtId="0" fontId="3" fillId="0" borderId="5" xfId="0" applyFont="1" applyBorder="1"/>
    <xf numFmtId="0" fontId="3" fillId="0" borderId="3" xfId="0" applyFont="1" applyBorder="1"/>
    <xf numFmtId="0" fontId="14" fillId="0" borderId="2" xfId="0" applyFont="1" applyBorder="1" applyAlignment="1">
      <alignment wrapText="1"/>
    </xf>
    <xf numFmtId="0" fontId="4" fillId="0" borderId="2" xfId="0" applyFont="1" applyBorder="1"/>
    <xf numFmtId="0" fontId="18" fillId="0" borderId="7" xfId="0" applyFont="1" applyBorder="1"/>
    <xf numFmtId="0" fontId="3" fillId="0" borderId="10" xfId="0" applyFont="1" applyBorder="1"/>
    <xf numFmtId="0" fontId="3" fillId="0" borderId="8" xfId="0" applyFont="1" applyBorder="1"/>
    <xf numFmtId="0" fontId="18" fillId="0" borderId="12" xfId="0" applyFont="1" applyBorder="1" applyAlignment="1">
      <alignment wrapText="1"/>
    </xf>
    <xf numFmtId="0" fontId="3" fillId="0" borderId="11" xfId="0" applyFont="1" applyBorder="1"/>
    <xf numFmtId="0" fontId="3" fillId="0" borderId="13" xfId="0" applyFont="1" applyBorder="1"/>
    <xf numFmtId="0" fontId="3" fillId="0" borderId="14" xfId="0" applyFont="1" applyBorder="1"/>
    <xf numFmtId="0" fontId="4" fillId="0" borderId="0" xfId="0" applyFont="1"/>
    <xf numFmtId="0" fontId="3" fillId="0" borderId="9" xfId="0" applyFont="1" applyBorder="1"/>
    <xf numFmtId="0" fontId="3" fillId="0" borderId="6" xfId="0" applyFont="1" applyBorder="1"/>
    <xf numFmtId="0" fontId="3" fillId="0" borderId="15" xfId="0" applyFont="1" applyBorder="1"/>
    <xf numFmtId="0" fontId="3" fillId="0" borderId="16" xfId="0" applyFont="1" applyBorder="1"/>
    <xf numFmtId="0" fontId="14" fillId="9" borderId="0" xfId="0" applyFont="1" applyFill="1" applyAlignment="1">
      <alignment wrapText="1"/>
    </xf>
    <xf numFmtId="0" fontId="18" fillId="0" borderId="7" xfId="0" applyFont="1" applyBorder="1" applyAlignment="1">
      <alignment wrapText="1"/>
    </xf>
    <xf numFmtId="0" fontId="14" fillId="12" borderId="0" xfId="0" applyFont="1" applyFill="1" applyAlignment="1">
      <alignment wrapText="1"/>
    </xf>
    <xf numFmtId="0" fontId="14" fillId="11" borderId="0" xfId="0" applyFont="1" applyFill="1" applyAlignment="1">
      <alignment wrapText="1"/>
    </xf>
    <xf numFmtId="0" fontId="21" fillId="2" borderId="1" xfId="0" applyFont="1" applyFill="1" applyBorder="1" applyAlignment="1">
      <alignment horizontal="center" wrapText="1"/>
    </xf>
    <xf numFmtId="0" fontId="3" fillId="0" borderId="1" xfId="0" applyFont="1" applyBorder="1"/>
    <xf numFmtId="0" fontId="14" fillId="0" borderId="0" xfId="0" applyFont="1" applyAlignment="1">
      <alignment wrapText="1"/>
    </xf>
    <xf numFmtId="0" fontId="2" fillId="2" borderId="1" xfId="0" applyFont="1" applyFill="1" applyBorder="1" applyAlignment="1">
      <alignment horizontal="center"/>
    </xf>
    <xf numFmtId="0" fontId="13" fillId="0" borderId="18"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400050</xdr:colOff>
      <xdr:row>3</xdr:row>
      <xdr:rowOff>76200</xdr:rowOff>
    </xdr:from>
    <xdr:to>
      <xdr:col>4</xdr:col>
      <xdr:colOff>266700</xdr:colOff>
      <xdr:row>9</xdr:row>
      <xdr:rowOff>82550</xdr:rowOff>
    </xdr:to>
    <xdr:sp macro="" textlink="">
      <xdr:nvSpPr>
        <xdr:cNvPr id="2" name="TextBox 1">
          <a:extLst>
            <a:ext uri="{FF2B5EF4-FFF2-40B4-BE49-F238E27FC236}">
              <a16:creationId xmlns:a16="http://schemas.microsoft.com/office/drawing/2014/main" id="{5566BAB7-62B8-ADB1-4F10-48CF9299E2AC}"/>
            </a:ext>
          </a:extLst>
        </xdr:cNvPr>
        <xdr:cNvSpPr txBox="1"/>
      </xdr:nvSpPr>
      <xdr:spPr>
        <a:xfrm>
          <a:off x="9588500" y="641350"/>
          <a:ext cx="7645400" cy="11112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0000"/>
              </a:solidFill>
            </a:rPr>
            <a:t>Pls Note:</a:t>
          </a:r>
        </a:p>
        <a:p>
          <a:endParaRPr lang="en-IN" sz="1400" b="1">
            <a:solidFill>
              <a:sysClr val="windowText" lastClr="000000"/>
            </a:solidFill>
          </a:endParaRPr>
        </a:p>
        <a:p>
          <a:r>
            <a:rPr lang="en-IN" sz="1400" b="0">
              <a:solidFill>
                <a:sysClr val="windowText" lastClr="000000"/>
              </a:solidFill>
            </a:rPr>
            <a:t>For</a:t>
          </a:r>
          <a:r>
            <a:rPr lang="en-IN" sz="1400" b="0" baseline="0">
              <a:solidFill>
                <a:sysClr val="windowText" lastClr="000000"/>
              </a:solidFill>
            </a:rPr>
            <a:t> all our calculations, we have used Tata Elxsi's adjusted balance sheet data to calculate all key ratios (provided in reference sheets), and all the calculations have been made manually.</a:t>
          </a:r>
          <a:endParaRPr lang="en-IN" sz="1400" b="0">
            <a:solidFill>
              <a:sysClr val="windowText" lastClr="000000"/>
            </a:solidFill>
          </a:endParaRP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finance.yahoo.com/quote/TATAELXSI.NS/history/?guccounter=1&amp;guce_referrer=aHR0cHM6Ly93d3cuZ29vZ2xlLmNvbS8&amp;guce_referrer_sig=AQAAABcnTpb-yS6wREW1zLxB1u1rYSjmVKCEVfBrsuxoKC_ZgSfgiBLaCEvd3qHszjMkiDxWLCMZKzhonzAJvBPhjfXcAMCGuLb1QyukzNiu-kqeSUE5ZcRlXfGpTKxS90lR_iS6ZNevj9NTImpPSA31aajgL34wWO8R2-nXjRAqoofl&amp;period1=1680134400&amp;period2=1680307200" TargetMode="External"/><Relationship Id="rId2" Type="http://schemas.openxmlformats.org/officeDocument/2006/relationships/hyperlink" Target="https://finance.yahoo.com/quote/TATAELXSI.NS/history/?guccounter=1&amp;guce_referrer=aHR0cHM6Ly93d3cuZ29vZ2xlLmNvbS8&amp;guce_referrer_sig=AQAAABcnTpb-yS6wREW1zLxB1u1rYSjmVKCEVfBrsuxoKC_ZgSfgiBLaCEvd3qHszjMkiDxWLCMZKzhonzAJvBPhjfXcAMCGuLb1QyukzNiu-kqeSUE5ZcRlXfGpTKxS90lR_iS6ZNevj9NTImpPSA31aajgL34wWO8R2-nXjRAqoofl&amp;period1=1711584000&amp;period2=1711843200" TargetMode="External"/><Relationship Id="rId1" Type="http://schemas.openxmlformats.org/officeDocument/2006/relationships/hyperlink" Target="https://finance.yahoo.com/quote/TATAELXSI.NS/history/?guccounter=1&amp;guce_referrer=aHR0cHM6Ly93d3cuZ29vZ2xlLmNvbS8&amp;guce_referrer_sig=AQAAABcnTpb-yS6wREW1zLxB1u1rYSjmVKCEVfBrsuxoKC_ZgSfgiBLaCEvd3qHszjMkiDxWLCMZKzhonzAJvBPhjfXcAMCGuLb1QyukzNiu-kqeSUE5ZcRlXfGpTKxS90lR_iS6ZNevj9NTImpPSA31aajgL34wWO8R2-nXjRAqoofl&amp;period1=1743120000&amp;period2=1743465600" TargetMode="External"/><Relationship Id="rId5" Type="http://schemas.openxmlformats.org/officeDocument/2006/relationships/drawing" Target="../drawings/drawing1.xml"/><Relationship Id="rId4" Type="http://schemas.openxmlformats.org/officeDocument/2006/relationships/hyperlink" Target="http://yfinance.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jcrt.org/papers/IJCRT2503524.pdf" TargetMode="External"/><Relationship Id="rId13" Type="http://schemas.openxmlformats.org/officeDocument/2006/relationships/hyperlink" Target="https://www.tataelxsi.com/news-and-events/press-releases/tata-elxsi-operating-revenue-at-rs-3729-crores-for-fy25-with-full-year-" TargetMode="External"/><Relationship Id="rId18" Type="http://schemas.openxmlformats.org/officeDocument/2006/relationships/hyperlink" Target="https://finance.yahoo.com/quote/INFY.NS/history/?period1=1648771200&amp;period2=1764374400" TargetMode="External"/><Relationship Id="rId3" Type="http://schemas.openxmlformats.org/officeDocument/2006/relationships/hyperlink" Target="https://www.icra.in/CommonService/OpenMediaS3?Key=df4e31c8-7713-48ae-95e9-b46194039936" TargetMode="External"/><Relationship Id="rId21" Type="http://schemas.openxmlformats.org/officeDocument/2006/relationships/hyperlink" Target="https://finance.yahoo.com/quote/TATAELXSI.NS/history/?guccounter=1&amp;guce_referrer=aHR0cHM6Ly93d3cuZ29vZ2xlLmNvbS8&amp;guce_referrer_sig=AQAAAIdCXqiH3EBPXgcBiLRxvbrmIrJYHQ_8okBuuDY1QbviIcAGEThA5yGRHCz9h_6fCG6YDxu78Nfbu2poGzkxTxMliFdX_AKozWh2cqzBSbpuyQEuafAiorwf0dhkpEgp_noMLCy9xbLuh7nkE_F77jPGRjdY4xKa1Da3LLm1_Zn-&amp;period1=1648771200&amp;period2=1764374400" TargetMode="External"/><Relationship Id="rId7" Type="http://schemas.openxmlformats.org/officeDocument/2006/relationships/hyperlink" Target="https://www.moneycontrol.com/indian-indices/nifty-it-19.html" TargetMode="External"/><Relationship Id="rId12" Type="http://schemas.openxmlformats.org/officeDocument/2006/relationships/hyperlink" Target="https://dhan.co/stocks/tata-elxsi-ltd-historical-price/" TargetMode="External"/><Relationship Id="rId17" Type="http://schemas.openxmlformats.org/officeDocument/2006/relationships/hyperlink" Target="https://finance.yahoo.com/quote/HDFCBANK.NS/history/?period1=1648771200&amp;period2=1764374400" TargetMode="External"/><Relationship Id="rId2" Type="http://schemas.openxmlformats.org/officeDocument/2006/relationships/hyperlink" Target="https://www.screener.in/company/CNXIT/" TargetMode="External"/><Relationship Id="rId16" Type="http://schemas.openxmlformats.org/officeDocument/2006/relationships/hyperlink" Target="https://finance.yahoo.com/quote/RELIANCE.NS/history/?period1=1648771200&amp;period2=1764374400" TargetMode="External"/><Relationship Id="rId20" Type="http://schemas.openxmlformats.org/officeDocument/2006/relationships/hyperlink" Target="https://finance.yahoo.com/quote/%5ENSEI/history/?period1=1648771200&amp;period2=1764374400" TargetMode="External"/><Relationship Id="rId1" Type="http://schemas.openxmlformats.org/officeDocument/2006/relationships/hyperlink" Target="https://www.niftyindices.com/indices/equity/sectoral-indices/nifty-it" TargetMode="External"/><Relationship Id="rId6" Type="http://schemas.openxmlformats.org/officeDocument/2006/relationships/hyperlink" Target="https://aventis-advisors.com/it-services-valuation-multiples/" TargetMode="External"/><Relationship Id="rId11" Type="http://schemas.openxmlformats.org/officeDocument/2006/relationships/hyperlink" Target="https://stockpricearchive.com/tata-elxsi-share-price-history/" TargetMode="External"/><Relationship Id="rId5" Type="http://schemas.openxmlformats.org/officeDocument/2006/relationships/hyperlink" Target="https://www.ibef.org/industry/information-technology-india" TargetMode="External"/><Relationship Id="rId15" Type="http://schemas.openxmlformats.org/officeDocument/2006/relationships/hyperlink" Target="https://ijisrt.com/assets/upload/files/IJISRT22MAR995.pdf" TargetMode="External"/><Relationship Id="rId10" Type="http://schemas.openxmlformats.org/officeDocument/2006/relationships/hyperlink" Target="https://www.nseindia.com/get-quotes/equity?symbol=TATAELXSI" TargetMode="External"/><Relationship Id="rId19" Type="http://schemas.openxmlformats.org/officeDocument/2006/relationships/hyperlink" Target="https://finance.yahoo.com/quote/TRENT.NS/history/?period1=1648771200&amp;period2=1764374400" TargetMode="External"/><Relationship Id="rId4" Type="http://schemas.openxmlformats.org/officeDocument/2006/relationships/hyperlink" Target="https://hr.economictimes.indiatimes.com/news/trends/indian-it-industry-expected-to-grow-3-5-revenue-in-2024-lower-than-2023-report/103151642" TargetMode="External"/><Relationship Id="rId9" Type="http://schemas.openxmlformats.org/officeDocument/2006/relationships/hyperlink" Target="https://www.allfinancejournal.com/article/view/284/7-1-14" TargetMode="External"/><Relationship Id="rId14" Type="http://schemas.openxmlformats.org/officeDocument/2006/relationships/hyperlink" Target="https://www.tataelxsi.com/news-and-events/press-releases/tata-elxsi-delivers-stable-revenues-in-q3-fy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tabSelected="1" zoomScale="70" zoomScaleNormal="70" workbookViewId="0">
      <selection sqref="A1:B1"/>
    </sheetView>
  </sheetViews>
  <sheetFormatPr defaultColWidth="14.41796875" defaultRowHeight="15" customHeight="1" x14ac:dyDescent="0.55000000000000004"/>
  <cols>
    <col min="1" max="1" width="24.15625" style="2" customWidth="1"/>
    <col min="2" max="2" width="61.26171875" style="2" customWidth="1"/>
    <col min="3" max="26" width="8.68359375" style="2" customWidth="1"/>
    <col min="27" max="16384" width="14.41796875" style="2"/>
  </cols>
  <sheetData>
    <row r="1" spans="1:5" ht="15" customHeight="1" x14ac:dyDescent="0.75">
      <c r="A1" s="132" t="s">
        <v>0</v>
      </c>
      <c r="B1" s="133"/>
    </row>
    <row r="2" spans="1:5" ht="14.4" x14ac:dyDescent="0.55000000000000004">
      <c r="A2" s="3"/>
      <c r="B2" s="3"/>
    </row>
    <row r="3" spans="1:5" ht="15" customHeight="1" x14ac:dyDescent="0.6">
      <c r="A3" s="134" t="s">
        <v>1</v>
      </c>
      <c r="B3" s="135"/>
    </row>
    <row r="4" spans="1:5" ht="14.4" x14ac:dyDescent="0.55000000000000004">
      <c r="A4" s="4" t="s">
        <v>2</v>
      </c>
      <c r="B4" s="4" t="s">
        <v>3</v>
      </c>
    </row>
    <row r="5" spans="1:5" ht="14.4" x14ac:dyDescent="0.55000000000000004">
      <c r="A5" s="5" t="s">
        <v>4</v>
      </c>
      <c r="B5" s="6" t="s">
        <v>5</v>
      </c>
    </row>
    <row r="6" spans="1:5" ht="14.4" x14ac:dyDescent="0.55000000000000004">
      <c r="A6" s="5" t="s">
        <v>6</v>
      </c>
      <c r="B6" s="6" t="s">
        <v>7</v>
      </c>
    </row>
    <row r="7" spans="1:5" ht="14.4" x14ac:dyDescent="0.55000000000000004">
      <c r="A7" s="5" t="s">
        <v>8</v>
      </c>
      <c r="B7" s="7" t="s">
        <v>9</v>
      </c>
    </row>
    <row r="8" spans="1:5" ht="14.4" x14ac:dyDescent="0.55000000000000004">
      <c r="A8" s="5" t="s">
        <v>10</v>
      </c>
      <c r="B8" s="7" t="s">
        <v>11</v>
      </c>
    </row>
    <row r="11" spans="1:5" ht="14.4" x14ac:dyDescent="0.55000000000000004">
      <c r="A11" s="8" t="s">
        <v>12</v>
      </c>
      <c r="B11" s="136" t="s">
        <v>13</v>
      </c>
      <c r="C11" s="137"/>
      <c r="D11" s="137"/>
      <c r="E11" s="135"/>
    </row>
    <row r="12" spans="1:5" ht="84.9" customHeight="1" x14ac:dyDescent="0.55000000000000004">
      <c r="A12" s="8" t="s">
        <v>14</v>
      </c>
      <c r="B12" s="136" t="s">
        <v>15</v>
      </c>
      <c r="C12" s="137"/>
      <c r="D12" s="137"/>
      <c r="E12" s="135"/>
    </row>
  </sheetData>
  <mergeCells count="4">
    <mergeCell ref="A1:B1"/>
    <mergeCell ref="A3:B3"/>
    <mergeCell ref="B11:E11"/>
    <mergeCell ref="B12:E1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2"/>
  <sheetViews>
    <sheetView showGridLines="0" zoomScale="44" zoomScaleNormal="60" workbookViewId="0">
      <selection sqref="A1:C1"/>
    </sheetView>
  </sheetViews>
  <sheetFormatPr defaultColWidth="14.41796875" defaultRowHeight="14.4" x14ac:dyDescent="0.55000000000000004"/>
  <cols>
    <col min="1" max="1" width="47.7890625" style="2" bestFit="1" customWidth="1"/>
    <col min="2" max="2" width="79.1015625" style="2" bestFit="1" customWidth="1"/>
    <col min="3" max="3" width="74.15625" style="2" customWidth="1"/>
    <col min="4" max="4" width="33.3125" style="2" bestFit="1" customWidth="1"/>
    <col min="5" max="5" width="68.47265625" style="2" bestFit="1" customWidth="1"/>
    <col min="6" max="6" width="85.05078125" style="2" bestFit="1" customWidth="1"/>
    <col min="7" max="7" width="17.26171875" style="2" customWidth="1"/>
    <col min="8" max="26" width="8.68359375" style="2" customWidth="1"/>
    <col min="27" max="16384" width="14.41796875" style="2"/>
  </cols>
  <sheetData>
    <row r="1" spans="1:6" ht="15.6" x14ac:dyDescent="0.75">
      <c r="A1" s="132" t="s">
        <v>16</v>
      </c>
      <c r="B1" s="133"/>
      <c r="C1" s="133"/>
    </row>
    <row r="2" spans="1:6" x14ac:dyDescent="0.55000000000000004">
      <c r="A2" s="9"/>
      <c r="B2" s="9"/>
    </row>
    <row r="3" spans="1:6" ht="14.7" x14ac:dyDescent="0.6">
      <c r="A3" s="134" t="s">
        <v>13</v>
      </c>
      <c r="B3" s="135"/>
    </row>
    <row r="4" spans="1:6" x14ac:dyDescent="0.55000000000000004">
      <c r="A4" s="10" t="s">
        <v>17</v>
      </c>
      <c r="B4" s="11" t="s">
        <v>18</v>
      </c>
    </row>
    <row r="5" spans="1:6" x14ac:dyDescent="0.55000000000000004">
      <c r="A5" s="10" t="s">
        <v>19</v>
      </c>
      <c r="B5" s="12" t="s">
        <v>20</v>
      </c>
    </row>
    <row r="6" spans="1:6" x14ac:dyDescent="0.55000000000000004">
      <c r="A6" s="10" t="s">
        <v>21</v>
      </c>
      <c r="B6" s="13" t="s">
        <v>22</v>
      </c>
    </row>
    <row r="7" spans="1:6" x14ac:dyDescent="0.55000000000000004">
      <c r="A7" s="10" t="s">
        <v>23</v>
      </c>
      <c r="B7" s="12" t="s">
        <v>24</v>
      </c>
    </row>
    <row r="8" spans="1:6" x14ac:dyDescent="0.55000000000000004">
      <c r="A8" s="14"/>
      <c r="B8" s="15"/>
      <c r="C8" s="15"/>
    </row>
    <row r="9" spans="1:6" x14ac:dyDescent="0.55000000000000004">
      <c r="A9" s="14"/>
      <c r="B9" s="15"/>
      <c r="C9" s="15"/>
    </row>
    <row r="10" spans="1:6" x14ac:dyDescent="0.55000000000000004">
      <c r="A10" s="14"/>
      <c r="B10" s="15"/>
      <c r="C10" s="15"/>
    </row>
    <row r="11" spans="1:6" ht="16.8" x14ac:dyDescent="0.65">
      <c r="A11" s="16" t="s">
        <v>25</v>
      </c>
      <c r="B11" s="15"/>
      <c r="C11" s="15"/>
    </row>
    <row r="12" spans="1:6" ht="16.8" x14ac:dyDescent="0.65">
      <c r="A12" s="17" t="s">
        <v>26</v>
      </c>
      <c r="B12" s="17" t="s">
        <v>27</v>
      </c>
      <c r="C12" s="17" t="s">
        <v>28</v>
      </c>
      <c r="D12" s="17" t="s">
        <v>29</v>
      </c>
      <c r="E12" s="17" t="s">
        <v>30</v>
      </c>
      <c r="F12" s="17" t="s">
        <v>31</v>
      </c>
    </row>
    <row r="13" spans="1:6" x14ac:dyDescent="0.55000000000000004">
      <c r="A13" s="10" t="s">
        <v>32</v>
      </c>
      <c r="B13" s="18">
        <f t="shared" ref="B13:C13" si="0">B48</f>
        <v>40.913036578592404</v>
      </c>
      <c r="C13" s="18">
        <f t="shared" si="0"/>
        <v>60.323480858423082</v>
      </c>
      <c r="D13" s="13" t="s">
        <v>33</v>
      </c>
      <c r="E13" s="13" t="s">
        <v>34</v>
      </c>
      <c r="F13" s="13" t="s">
        <v>35</v>
      </c>
    </row>
    <row r="14" spans="1:6" x14ac:dyDescent="0.55000000000000004">
      <c r="A14" s="10" t="s">
        <v>36</v>
      </c>
      <c r="B14" s="19">
        <f t="shared" ref="B14:C14" si="1">B67/100</f>
        <v>0.32134605357655599</v>
      </c>
      <c r="C14" s="19">
        <f t="shared" si="1"/>
        <v>0.36661212603172866</v>
      </c>
      <c r="D14" s="13" t="s">
        <v>37</v>
      </c>
      <c r="E14" s="13" t="s">
        <v>38</v>
      </c>
      <c r="F14" s="13" t="s">
        <v>39</v>
      </c>
    </row>
    <row r="15" spans="1:6" x14ac:dyDescent="0.55000000000000004">
      <c r="A15" s="10" t="s">
        <v>40</v>
      </c>
      <c r="B15" s="18">
        <f t="shared" ref="B15:C15" si="2">B49</f>
        <v>27.921212492280798</v>
      </c>
      <c r="C15" s="18">
        <f t="shared" si="2"/>
        <v>40.979708372942817</v>
      </c>
      <c r="D15" s="13" t="s">
        <v>41</v>
      </c>
      <c r="E15" s="13" t="s">
        <v>34</v>
      </c>
      <c r="F15" s="13" t="s">
        <v>42</v>
      </c>
    </row>
    <row r="16" spans="1:6" x14ac:dyDescent="0.55000000000000004">
      <c r="A16" s="10" t="s">
        <v>43</v>
      </c>
      <c r="B16" s="19">
        <f t="shared" ref="B16:C16" si="3">B80/100</f>
        <v>2.4680136550630756E-3</v>
      </c>
      <c r="C16" s="19">
        <f t="shared" si="3"/>
        <v>4.2175329785399448E-3</v>
      </c>
      <c r="D16" s="5"/>
      <c r="E16" s="5"/>
      <c r="F16" s="13" t="s">
        <v>44</v>
      </c>
    </row>
    <row r="17" spans="1:6" x14ac:dyDescent="0.55000000000000004">
      <c r="A17" s="10" t="s">
        <v>45</v>
      </c>
      <c r="B17" s="19">
        <f t="shared" ref="B17:C17" si="4">B50/100</f>
        <v>9.1208818768561389E-3</v>
      </c>
      <c r="C17" s="19">
        <f t="shared" si="4"/>
        <v>1.0466013219100075E-2</v>
      </c>
      <c r="D17" s="13" t="s">
        <v>46</v>
      </c>
      <c r="E17" s="13" t="s">
        <v>47</v>
      </c>
      <c r="F17" s="13" t="s">
        <v>48</v>
      </c>
    </row>
    <row r="18" spans="1:6" x14ac:dyDescent="0.55000000000000004">
      <c r="A18" s="10" t="s">
        <v>49</v>
      </c>
      <c r="B18" s="19">
        <f t="shared" ref="B18:C18" si="5">B86/100</f>
        <v>0.20239984877782899</v>
      </c>
      <c r="C18" s="19">
        <f t="shared" si="5"/>
        <v>0.21378388253010311</v>
      </c>
      <c r="D18" s="13" t="s">
        <v>50</v>
      </c>
      <c r="E18" s="13" t="s">
        <v>38</v>
      </c>
      <c r="F18" s="13" t="s">
        <v>51</v>
      </c>
    </row>
    <row r="19" spans="1:6" ht="109.2" x14ac:dyDescent="0.6">
      <c r="A19" s="10" t="s">
        <v>52</v>
      </c>
      <c r="B19" s="20" t="s">
        <v>53</v>
      </c>
      <c r="C19" s="21" t="s">
        <v>54</v>
      </c>
      <c r="D19" s="5"/>
      <c r="E19" s="5"/>
      <c r="F19" s="13" t="s">
        <v>55</v>
      </c>
    </row>
    <row r="20" spans="1:6" x14ac:dyDescent="0.55000000000000004">
      <c r="A20" s="10" t="s">
        <v>56</v>
      </c>
      <c r="B20" s="18">
        <f t="shared" ref="B20:C20" si="6">B87</f>
        <v>3.8852083610823116</v>
      </c>
      <c r="C20" s="18">
        <f t="shared" si="6"/>
        <v>5.6852854123789109</v>
      </c>
      <c r="D20" s="13" t="s">
        <v>57</v>
      </c>
      <c r="E20" s="13" t="s">
        <v>38</v>
      </c>
      <c r="F20" s="13" t="s">
        <v>58</v>
      </c>
    </row>
    <row r="21" spans="1:6" x14ac:dyDescent="0.55000000000000004">
      <c r="A21" s="10" t="s">
        <v>59</v>
      </c>
      <c r="B21" s="19">
        <f t="shared" ref="B21:C21" si="7">B76/100</f>
        <v>4.5574420026830891E-3</v>
      </c>
      <c r="C21" s="19">
        <f t="shared" si="7"/>
        <v>2.6048252051408146E-2</v>
      </c>
      <c r="D21" s="13" t="s">
        <v>60</v>
      </c>
      <c r="E21" s="13" t="s">
        <v>38</v>
      </c>
      <c r="F21" s="13" t="s">
        <v>61</v>
      </c>
    </row>
    <row r="22" spans="1:6" x14ac:dyDescent="0.55000000000000004">
      <c r="A22" s="10" t="s">
        <v>62</v>
      </c>
      <c r="B22" s="18">
        <f t="shared" ref="B22:C22" si="8">B75</f>
        <v>1.0399726682324342</v>
      </c>
      <c r="C22" s="18">
        <f t="shared" si="8"/>
        <v>1.114579921013664</v>
      </c>
      <c r="D22" s="13" t="s">
        <v>63</v>
      </c>
      <c r="E22" s="13" t="s">
        <v>64</v>
      </c>
      <c r="F22" s="13" t="s">
        <v>65</v>
      </c>
    </row>
    <row r="23" spans="1:6" x14ac:dyDescent="0.55000000000000004">
      <c r="A23" s="10" t="s">
        <v>66</v>
      </c>
      <c r="B23" s="19">
        <f t="shared" ref="B23:C23" si="9">B68/100</f>
        <v>0.21890647495497134</v>
      </c>
      <c r="C23" s="19">
        <f t="shared" si="9"/>
        <v>0.24858565233009189</v>
      </c>
      <c r="D23" s="13" t="s">
        <v>67</v>
      </c>
      <c r="E23" s="13" t="s">
        <v>68</v>
      </c>
      <c r="F23" s="13" t="s">
        <v>69</v>
      </c>
    </row>
    <row r="24" spans="1:6" x14ac:dyDescent="0.55000000000000004">
      <c r="A24" s="10" t="s">
        <v>70</v>
      </c>
      <c r="B24" s="19">
        <f t="shared" ref="B24:C24" si="10">B70/100</f>
        <v>4.9801617090199903E-2</v>
      </c>
      <c r="C24" s="19">
        <f t="shared" si="10"/>
        <v>0.12955775907095143</v>
      </c>
      <c r="D24" s="13" t="s">
        <v>71</v>
      </c>
      <c r="E24" s="13" t="s">
        <v>72</v>
      </c>
      <c r="F24" s="13" t="s">
        <v>73</v>
      </c>
    </row>
    <row r="25" spans="1:6" x14ac:dyDescent="0.55000000000000004">
      <c r="A25" s="10" t="s">
        <v>74</v>
      </c>
      <c r="B25" s="19">
        <f t="shared" ref="B25:C25" si="11">B56/100</f>
        <v>0.93599897861339054</v>
      </c>
      <c r="C25" s="19">
        <f t="shared" si="11"/>
        <v>0.94536662727545206</v>
      </c>
      <c r="D25" s="13" t="s">
        <v>67</v>
      </c>
      <c r="E25" s="13" t="s">
        <v>75</v>
      </c>
      <c r="F25" s="13" t="s">
        <v>76</v>
      </c>
    </row>
    <row r="26" spans="1:6" x14ac:dyDescent="0.55000000000000004">
      <c r="A26" s="10" t="s">
        <v>77</v>
      </c>
      <c r="B26" s="19">
        <f t="shared" ref="B26:C26" si="12">B58/100</f>
        <v>0.21049252700749407</v>
      </c>
      <c r="C26" s="19">
        <f t="shared" si="12"/>
        <v>0.22303080079175802</v>
      </c>
      <c r="D26" s="13" t="s">
        <v>78</v>
      </c>
      <c r="E26" s="13" t="s">
        <v>79</v>
      </c>
      <c r="F26" s="13" t="s">
        <v>80</v>
      </c>
    </row>
    <row r="27" spans="1:6" x14ac:dyDescent="0.55000000000000004">
      <c r="A27" s="10" t="s">
        <v>81</v>
      </c>
      <c r="B27" s="19">
        <f t="shared" ref="B27:C27" si="13">B93/100</f>
        <v>0.2744564110469872</v>
      </c>
      <c r="C27" s="19">
        <f t="shared" si="13"/>
        <v>0.31617979688594955</v>
      </c>
      <c r="D27" s="13" t="s">
        <v>82</v>
      </c>
      <c r="E27" s="13" t="s">
        <v>38</v>
      </c>
      <c r="F27" s="5"/>
    </row>
    <row r="28" spans="1:6" x14ac:dyDescent="0.55000000000000004">
      <c r="A28" s="10" t="s">
        <v>83</v>
      </c>
      <c r="B28" s="22">
        <f t="shared" ref="B28:C28" si="14">B102</f>
        <v>-149789.90541760001</v>
      </c>
      <c r="C28" s="22">
        <f t="shared" si="14"/>
        <v>-137894.28404479998</v>
      </c>
      <c r="D28" s="13" t="s">
        <v>84</v>
      </c>
      <c r="E28" s="13" t="s">
        <v>85</v>
      </c>
      <c r="F28" s="5"/>
    </row>
    <row r="33" spans="1:7" ht="16.8" x14ac:dyDescent="0.65">
      <c r="A33" s="23" t="s">
        <v>86</v>
      </c>
      <c r="B33" s="24"/>
      <c r="C33" s="24"/>
    </row>
    <row r="34" spans="1:7" x14ac:dyDescent="0.55000000000000004">
      <c r="A34" s="25" t="s">
        <v>87</v>
      </c>
      <c r="B34" s="25" t="s">
        <v>27</v>
      </c>
      <c r="C34" s="25" t="s">
        <v>28</v>
      </c>
      <c r="D34" s="25" t="s">
        <v>88</v>
      </c>
      <c r="E34" s="25" t="s">
        <v>89</v>
      </c>
    </row>
    <row r="35" spans="1:7" ht="16.8" x14ac:dyDescent="0.65">
      <c r="A35" s="138" t="s">
        <v>90</v>
      </c>
      <c r="B35" s="139"/>
      <c r="C35" s="139"/>
      <c r="D35" s="139"/>
      <c r="E35" s="26"/>
    </row>
    <row r="36" spans="1:7" x14ac:dyDescent="0.55000000000000004">
      <c r="A36" s="6" t="s">
        <v>91</v>
      </c>
      <c r="B36" s="27">
        <f>'All References'!F52</f>
        <v>78493.679999999993</v>
      </c>
      <c r="C36" s="27">
        <f>'All References'!G52</f>
        <v>79223.789999999994</v>
      </c>
      <c r="D36" s="6"/>
      <c r="E36" s="5" t="s">
        <v>92</v>
      </c>
    </row>
    <row r="37" spans="1:7" x14ac:dyDescent="0.55000000000000004">
      <c r="A37" s="6" t="s">
        <v>93</v>
      </c>
      <c r="B37" s="27">
        <f>'All References'!F59</f>
        <v>126.03</v>
      </c>
      <c r="C37" s="27">
        <f>'All References'!G59</f>
        <v>127.21</v>
      </c>
      <c r="D37" s="6"/>
      <c r="E37" s="5" t="s">
        <v>92</v>
      </c>
    </row>
    <row r="38" spans="1:7" x14ac:dyDescent="0.55000000000000004">
      <c r="A38" s="6" t="s">
        <v>94</v>
      </c>
      <c r="B38" s="27">
        <f>'All References'!F60</f>
        <v>126.01</v>
      </c>
      <c r="C38" s="27">
        <f>'All References'!G60</f>
        <v>127.18</v>
      </c>
      <c r="D38" s="6"/>
      <c r="E38" s="5" t="s">
        <v>92</v>
      </c>
    </row>
    <row r="39" spans="1:7" x14ac:dyDescent="0.55000000000000004">
      <c r="A39" s="6" t="s">
        <v>95</v>
      </c>
      <c r="B39" s="6">
        <v>62284124</v>
      </c>
      <c r="C39" s="6">
        <v>62276440</v>
      </c>
      <c r="D39" s="6"/>
      <c r="E39" s="5" t="s">
        <v>96</v>
      </c>
      <c r="F39" s="28"/>
      <c r="G39" s="29"/>
    </row>
    <row r="40" spans="1:7" x14ac:dyDescent="0.55000000000000004">
      <c r="A40" s="6" t="s">
        <v>97</v>
      </c>
      <c r="B40" s="6">
        <f>'All References'!J63</f>
        <v>43593.51</v>
      </c>
      <c r="C40" s="6">
        <f>'All References'!K63</f>
        <v>37739.519999999997</v>
      </c>
      <c r="D40" s="6"/>
      <c r="E40" s="5" t="s">
        <v>98</v>
      </c>
    </row>
    <row r="41" spans="1:7" x14ac:dyDescent="0.55000000000000004">
      <c r="A41" s="6" t="s">
        <v>99</v>
      </c>
      <c r="B41" s="7">
        <f t="shared" ref="B41:C41" si="15">B40/B39*100000</f>
        <v>69.991367302524793</v>
      </c>
      <c r="C41" s="7">
        <f t="shared" si="15"/>
        <v>60.599995760836684</v>
      </c>
      <c r="D41" s="6"/>
      <c r="E41" s="5" t="s">
        <v>100</v>
      </c>
    </row>
    <row r="42" spans="1:7" x14ac:dyDescent="0.55000000000000004">
      <c r="A42" s="6" t="s">
        <v>101</v>
      </c>
      <c r="B42" s="30">
        <v>5156.2700000000004</v>
      </c>
      <c r="C42" s="30">
        <v>7673.75</v>
      </c>
      <c r="D42" s="30">
        <v>5790.17</v>
      </c>
      <c r="E42" s="31" t="s">
        <v>102</v>
      </c>
      <c r="F42" s="32"/>
    </row>
    <row r="43" spans="1:7" x14ac:dyDescent="0.55000000000000004">
      <c r="A43" s="6" t="s">
        <v>103</v>
      </c>
      <c r="B43" s="27">
        <f>'All References'!B68</f>
        <v>13931.26</v>
      </c>
      <c r="C43" s="27">
        <f>'All References'!C68</f>
        <v>18118.900000000001</v>
      </c>
      <c r="D43" s="6"/>
      <c r="E43" s="5" t="s">
        <v>104</v>
      </c>
    </row>
    <row r="44" spans="1:7" x14ac:dyDescent="0.55000000000000004">
      <c r="A44" s="6" t="s">
        <v>105</v>
      </c>
      <c r="B44" s="27">
        <f>'All References'!B73</f>
        <v>5297.82</v>
      </c>
      <c r="C44" s="27">
        <f>'All References'!C73</f>
        <v>4279.24</v>
      </c>
      <c r="D44" s="6"/>
      <c r="E44" s="5" t="s">
        <v>104</v>
      </c>
    </row>
    <row r="45" spans="1:7" x14ac:dyDescent="0.55000000000000004">
      <c r="A45" s="6" t="s">
        <v>106</v>
      </c>
      <c r="B45" s="27">
        <f t="shared" ref="B45:C45" si="16">B43+B44</f>
        <v>19229.080000000002</v>
      </c>
      <c r="C45" s="27">
        <f t="shared" si="16"/>
        <v>22398.14</v>
      </c>
      <c r="D45" s="6"/>
      <c r="E45" s="5" t="s">
        <v>107</v>
      </c>
    </row>
    <row r="46" spans="1:7" ht="15.6" x14ac:dyDescent="0.6">
      <c r="A46" s="6" t="s">
        <v>108</v>
      </c>
      <c r="B46" s="6">
        <f t="shared" ref="B46:C46" si="17">B39*B42/100000</f>
        <v>3211537.6005748003</v>
      </c>
      <c r="C46" s="6">
        <f t="shared" si="17"/>
        <v>4778938.3145000003</v>
      </c>
      <c r="D46" s="6"/>
      <c r="E46" s="5" t="s">
        <v>109</v>
      </c>
      <c r="F46" s="33"/>
    </row>
    <row r="47" spans="1:7" x14ac:dyDescent="0.55000000000000004">
      <c r="A47" s="6" t="s">
        <v>110</v>
      </c>
      <c r="B47" s="27">
        <f t="shared" ref="B47:C47" si="18">B46+B45-B84</f>
        <v>3217239.0205748002</v>
      </c>
      <c r="C47" s="27">
        <f t="shared" si="18"/>
        <v>4788012.1645</v>
      </c>
      <c r="D47" s="6"/>
      <c r="E47" s="5" t="s">
        <v>111</v>
      </c>
    </row>
    <row r="48" spans="1:7" x14ac:dyDescent="0.55000000000000004">
      <c r="A48" s="34" t="s">
        <v>32</v>
      </c>
      <c r="B48" s="34">
        <f t="shared" ref="B48:C48" si="19">B42/B37</f>
        <v>40.913036578592404</v>
      </c>
      <c r="C48" s="34">
        <f t="shared" si="19"/>
        <v>60.323480858423082</v>
      </c>
      <c r="D48" s="35"/>
      <c r="E48" s="5" t="s">
        <v>112</v>
      </c>
    </row>
    <row r="49" spans="1:5" x14ac:dyDescent="0.55000000000000004">
      <c r="A49" s="34" t="s">
        <v>113</v>
      </c>
      <c r="B49" s="34">
        <f t="shared" ref="B49:C49" si="20">B47/B62</f>
        <v>27.921212492280798</v>
      </c>
      <c r="C49" s="34">
        <f t="shared" si="20"/>
        <v>40.979708372942817</v>
      </c>
      <c r="D49" s="35"/>
      <c r="E49" s="5" t="s">
        <v>114</v>
      </c>
    </row>
    <row r="50" spans="1:5" x14ac:dyDescent="0.55000000000000004">
      <c r="A50" s="34" t="s">
        <v>115</v>
      </c>
      <c r="B50" s="34">
        <f t="shared" ref="B50:C50" si="21">B41/C42*100</f>
        <v>0.91208818768561384</v>
      </c>
      <c r="C50" s="34">
        <f t="shared" si="21"/>
        <v>1.0466013219100074</v>
      </c>
      <c r="D50" s="35"/>
      <c r="E50" s="5" t="s">
        <v>116</v>
      </c>
    </row>
    <row r="51" spans="1:5" x14ac:dyDescent="0.55000000000000004">
      <c r="A51" s="28"/>
      <c r="B51" s="28"/>
      <c r="C51" s="28"/>
      <c r="E51" s="5"/>
    </row>
    <row r="52" spans="1:5" ht="15" x14ac:dyDescent="0.65">
      <c r="A52" s="138" t="s">
        <v>117</v>
      </c>
      <c r="B52" s="139"/>
      <c r="C52" s="139"/>
      <c r="D52" s="139"/>
      <c r="E52" s="5"/>
    </row>
    <row r="53" spans="1:5" x14ac:dyDescent="0.55000000000000004">
      <c r="A53" s="6" t="s">
        <v>118</v>
      </c>
      <c r="B53" s="27">
        <f>'All References'!F36</f>
        <v>372904.83</v>
      </c>
      <c r="C53" s="27">
        <f>'All References'!G36</f>
        <v>355214.57</v>
      </c>
      <c r="D53" s="6">
        <v>314472.25</v>
      </c>
      <c r="E53" s="5" t="s">
        <v>92</v>
      </c>
    </row>
    <row r="54" spans="1:5" x14ac:dyDescent="0.55000000000000004">
      <c r="A54" s="6" t="s">
        <v>119</v>
      </c>
      <c r="B54" s="27">
        <f>'All References'!F40</f>
        <v>23866.29</v>
      </c>
      <c r="C54" s="27">
        <f>'All References'!G40</f>
        <v>19406.57</v>
      </c>
      <c r="D54" s="6"/>
      <c r="E54" s="5" t="s">
        <v>92</v>
      </c>
    </row>
    <row r="55" spans="1:5" x14ac:dyDescent="0.55000000000000004">
      <c r="A55" s="6" t="s">
        <v>120</v>
      </c>
      <c r="B55" s="27">
        <f t="shared" ref="B55:C55" si="22">B53-B54</f>
        <v>349038.54000000004</v>
      </c>
      <c r="C55" s="27">
        <f t="shared" si="22"/>
        <v>335808</v>
      </c>
      <c r="D55" s="6"/>
      <c r="E55" s="5" t="s">
        <v>121</v>
      </c>
    </row>
    <row r="56" spans="1:5" x14ac:dyDescent="0.55000000000000004">
      <c r="A56" s="34" t="s">
        <v>122</v>
      </c>
      <c r="B56" s="34">
        <f t="shared" ref="B56:C56" si="23">B55/B53*100</f>
        <v>93.599897861339059</v>
      </c>
      <c r="C56" s="34">
        <f t="shared" si="23"/>
        <v>94.536662727545206</v>
      </c>
      <c r="D56" s="6"/>
      <c r="E56" s="5" t="s">
        <v>123</v>
      </c>
    </row>
    <row r="57" spans="1:5" x14ac:dyDescent="0.55000000000000004">
      <c r="A57" s="6" t="s">
        <v>124</v>
      </c>
      <c r="B57" s="27">
        <f>'All References'!F52</f>
        <v>78493.679999999993</v>
      </c>
      <c r="C57" s="27">
        <f>'All References'!G52</f>
        <v>79223.789999999994</v>
      </c>
      <c r="D57" s="6"/>
      <c r="E57" s="5" t="s">
        <v>92</v>
      </c>
    </row>
    <row r="58" spans="1:5" x14ac:dyDescent="0.55000000000000004">
      <c r="A58" s="34" t="s">
        <v>125</v>
      </c>
      <c r="B58" s="34">
        <f t="shared" ref="B58:C58" si="24">B57/B53*100</f>
        <v>21.049252700749406</v>
      </c>
      <c r="C58" s="34">
        <f t="shared" si="24"/>
        <v>22.303080079175803</v>
      </c>
      <c r="D58" s="6"/>
      <c r="E58" s="5" t="s">
        <v>126</v>
      </c>
    </row>
    <row r="59" spans="1:5" x14ac:dyDescent="0.55000000000000004">
      <c r="A59" s="6" t="s">
        <v>127</v>
      </c>
      <c r="B59" s="27">
        <f>'All References'!F51</f>
        <v>24346.720000000001</v>
      </c>
      <c r="C59" s="27">
        <f>'All References'!G51</f>
        <v>25643.81</v>
      </c>
      <c r="D59" s="6"/>
      <c r="E59" s="5" t="s">
        <v>92</v>
      </c>
    </row>
    <row r="60" spans="1:5" x14ac:dyDescent="0.55000000000000004">
      <c r="A60" s="6" t="s">
        <v>128</v>
      </c>
      <c r="B60" s="27">
        <f>'All References'!F43</f>
        <v>1898.14</v>
      </c>
      <c r="C60" s="27">
        <f>'All References'!G43</f>
        <v>2026.07</v>
      </c>
      <c r="D60" s="6"/>
      <c r="E60" s="5" t="s">
        <v>92</v>
      </c>
    </row>
    <row r="61" spans="1:5" x14ac:dyDescent="0.55000000000000004">
      <c r="A61" s="6" t="s">
        <v>129</v>
      </c>
      <c r="B61" s="27">
        <f>'All References'!F44</f>
        <v>10487.08</v>
      </c>
      <c r="C61" s="27">
        <f>'All References'!G44</f>
        <v>9944.94</v>
      </c>
      <c r="D61" s="6"/>
      <c r="E61" s="5" t="s">
        <v>92</v>
      </c>
    </row>
    <row r="62" spans="1:5" x14ac:dyDescent="0.55000000000000004">
      <c r="A62" s="6" t="s">
        <v>130</v>
      </c>
      <c r="B62" s="27">
        <f t="shared" ref="B62:C62" si="25">B57+B59+B60+B61</f>
        <v>115225.62</v>
      </c>
      <c r="C62" s="27">
        <f t="shared" si="25"/>
        <v>116838.61</v>
      </c>
      <c r="D62" s="6"/>
      <c r="E62" s="5" t="s">
        <v>131</v>
      </c>
    </row>
    <row r="63" spans="1:5" x14ac:dyDescent="0.55000000000000004">
      <c r="A63" s="6" t="s">
        <v>132</v>
      </c>
      <c r="B63" s="27">
        <f t="shared" ref="B63:C63" si="26">B62-B61</f>
        <v>104738.54</v>
      </c>
      <c r="C63" s="27">
        <f t="shared" si="26"/>
        <v>106893.67</v>
      </c>
      <c r="D63" s="6"/>
      <c r="E63" s="5" t="s">
        <v>133</v>
      </c>
    </row>
    <row r="64" spans="1:5" x14ac:dyDescent="0.55000000000000004">
      <c r="A64" s="6" t="s">
        <v>134</v>
      </c>
      <c r="B64" s="27">
        <f>'All References'!B59</f>
        <v>358571.76</v>
      </c>
      <c r="C64" s="27">
        <f>'All References'!C59</f>
        <v>318698.15999999997</v>
      </c>
      <c r="D64" s="6"/>
      <c r="E64" s="5" t="s">
        <v>104</v>
      </c>
    </row>
    <row r="65" spans="1:5" x14ac:dyDescent="0.55000000000000004">
      <c r="A65" s="6" t="s">
        <v>135</v>
      </c>
      <c r="B65" s="27">
        <f>'All References'!B65</f>
        <v>285996.89</v>
      </c>
      <c r="C65" s="27">
        <f>'All References'!C65</f>
        <v>250565.63</v>
      </c>
      <c r="D65" s="6"/>
      <c r="E65" s="5" t="s">
        <v>104</v>
      </c>
    </row>
    <row r="66" spans="1:5" x14ac:dyDescent="0.55000000000000004">
      <c r="A66" s="6" t="s">
        <v>136</v>
      </c>
      <c r="B66" s="6">
        <f t="shared" ref="B66:C66" si="27">B62/B53*100</f>
        <v>30.899471052708005</v>
      </c>
      <c r="C66" s="6">
        <f t="shared" si="27"/>
        <v>32.892403597070917</v>
      </c>
      <c r="D66" s="6"/>
      <c r="E66" s="5" t="s">
        <v>137</v>
      </c>
    </row>
    <row r="67" spans="1:5" x14ac:dyDescent="0.55000000000000004">
      <c r="A67" s="34" t="s">
        <v>138</v>
      </c>
      <c r="B67" s="34">
        <f t="shared" ref="B67:C67" si="28">B62/B64*100</f>
        <v>32.134605357655602</v>
      </c>
      <c r="C67" s="34">
        <f t="shared" si="28"/>
        <v>36.661212603172864</v>
      </c>
      <c r="D67" s="6"/>
      <c r="E67" s="5" t="s">
        <v>139</v>
      </c>
    </row>
    <row r="68" spans="1:5" x14ac:dyDescent="0.55000000000000004">
      <c r="A68" s="34" t="s">
        <v>140</v>
      </c>
      <c r="B68" s="34">
        <f t="shared" ref="B68:C68" si="29">B57/B64*100</f>
        <v>21.890647495497134</v>
      </c>
      <c r="C68" s="34">
        <f t="shared" si="29"/>
        <v>24.858565233009188</v>
      </c>
      <c r="D68" s="6"/>
      <c r="E68" s="5" t="s">
        <v>141</v>
      </c>
    </row>
    <row r="69" spans="1:5" x14ac:dyDescent="0.55000000000000004">
      <c r="A69" s="34" t="s">
        <v>142</v>
      </c>
      <c r="B69" s="34">
        <f t="shared" ref="B69:C69" si="30">B36/B65*100</f>
        <v>27.445641104698719</v>
      </c>
      <c r="C69" s="34">
        <f t="shared" si="30"/>
        <v>31.617979688594954</v>
      </c>
      <c r="D69" s="6"/>
      <c r="E69" s="5" t="s">
        <v>143</v>
      </c>
    </row>
    <row r="70" spans="1:5" x14ac:dyDescent="0.55000000000000004">
      <c r="A70" s="34" t="s">
        <v>144</v>
      </c>
      <c r="B70" s="34">
        <f t="shared" ref="B70:C70" si="31">(B53-C53)/C53*100</f>
        <v>4.9801617090199901</v>
      </c>
      <c r="C70" s="34">
        <f t="shared" si="31"/>
        <v>12.955775907095143</v>
      </c>
      <c r="D70" s="6"/>
      <c r="E70" s="5" t="s">
        <v>145</v>
      </c>
    </row>
    <row r="71" spans="1:5" ht="16.8" x14ac:dyDescent="0.65">
      <c r="A71" s="28"/>
      <c r="B71" s="36"/>
      <c r="C71" s="28"/>
      <c r="E71" s="5"/>
    </row>
    <row r="72" spans="1:5" ht="15" x14ac:dyDescent="0.65">
      <c r="A72" s="138" t="s">
        <v>146</v>
      </c>
      <c r="B72" s="139"/>
      <c r="C72" s="139"/>
      <c r="D72" s="139"/>
      <c r="E72" s="5"/>
    </row>
    <row r="73" spans="1:5" x14ac:dyDescent="0.55000000000000004">
      <c r="A73" s="6" t="s">
        <v>147</v>
      </c>
      <c r="B73" s="27">
        <f>'All References'!B58</f>
        <v>279749.82</v>
      </c>
      <c r="C73" s="27">
        <f>'All References'!C58</f>
        <v>253672.08</v>
      </c>
      <c r="D73" s="6"/>
      <c r="E73" s="5" t="s">
        <v>104</v>
      </c>
    </row>
    <row r="74" spans="1:5" x14ac:dyDescent="0.55000000000000004">
      <c r="A74" s="6" t="s">
        <v>148</v>
      </c>
      <c r="B74" s="6">
        <f>'All References'!J52</f>
        <v>1634.17</v>
      </c>
      <c r="C74" s="6">
        <f>'All References'!K52</f>
        <v>8301.5300000000007</v>
      </c>
      <c r="D74" s="6"/>
      <c r="E74" s="5" t="s">
        <v>149</v>
      </c>
    </row>
    <row r="75" spans="1:5" x14ac:dyDescent="0.55000000000000004">
      <c r="A75" s="34" t="s">
        <v>150</v>
      </c>
      <c r="B75" s="34">
        <f t="shared" ref="B75:C75" si="32">B53/B64</f>
        <v>1.0399726682324342</v>
      </c>
      <c r="C75" s="34">
        <f t="shared" si="32"/>
        <v>1.114579921013664</v>
      </c>
      <c r="D75" s="6"/>
      <c r="E75" s="5" t="s">
        <v>151</v>
      </c>
    </row>
    <row r="76" spans="1:5" x14ac:dyDescent="0.55000000000000004">
      <c r="A76" s="34" t="s">
        <v>152</v>
      </c>
      <c r="B76" s="34">
        <f t="shared" ref="B76:C76" si="33">B74/B64*100</f>
        <v>0.45574420026830892</v>
      </c>
      <c r="C76" s="34">
        <f t="shared" si="33"/>
        <v>2.6048252051408145</v>
      </c>
      <c r="D76" s="6"/>
      <c r="E76" s="5" t="s">
        <v>153</v>
      </c>
    </row>
    <row r="77" spans="1:5" x14ac:dyDescent="0.55000000000000004">
      <c r="A77" s="37"/>
      <c r="B77" s="38"/>
      <c r="C77" s="38"/>
      <c r="E77" s="5"/>
    </row>
    <row r="78" spans="1:5" ht="15" x14ac:dyDescent="0.65">
      <c r="A78" s="138" t="s">
        <v>154</v>
      </c>
      <c r="B78" s="139"/>
      <c r="C78" s="139"/>
      <c r="D78" s="139"/>
      <c r="E78" s="5"/>
    </row>
    <row r="79" spans="1:5" x14ac:dyDescent="0.55000000000000004">
      <c r="A79" s="6" t="s">
        <v>155</v>
      </c>
      <c r="B79" s="27">
        <f>'All References'!B41</f>
        <v>884.96</v>
      </c>
      <c r="C79" s="27">
        <f>'All References'!C41</f>
        <v>1344.12</v>
      </c>
      <c r="D79" s="6"/>
      <c r="E79" s="5" t="s">
        <v>104</v>
      </c>
    </row>
    <row r="80" spans="1:5" x14ac:dyDescent="0.55000000000000004">
      <c r="A80" s="34" t="s">
        <v>156</v>
      </c>
      <c r="B80" s="34">
        <f t="shared" ref="B80:C80" si="34">B79/B64*100</f>
        <v>0.24680136550630757</v>
      </c>
      <c r="C80" s="34">
        <f t="shared" si="34"/>
        <v>0.42175329785399446</v>
      </c>
      <c r="D80" s="6"/>
      <c r="E80" s="5" t="s">
        <v>157</v>
      </c>
    </row>
    <row r="81" spans="1:5" x14ac:dyDescent="0.55000000000000004">
      <c r="A81" s="28"/>
      <c r="B81" s="28"/>
      <c r="C81" s="28"/>
      <c r="E81" s="5"/>
    </row>
    <row r="82" spans="1:5" ht="15" x14ac:dyDescent="0.65">
      <c r="A82" s="138" t="s">
        <v>158</v>
      </c>
      <c r="B82" s="139"/>
      <c r="C82" s="139"/>
      <c r="D82" s="139"/>
      <c r="E82" s="5"/>
    </row>
    <row r="83" spans="1:5" x14ac:dyDescent="0.55000000000000004">
      <c r="A83" s="6" t="s">
        <v>159</v>
      </c>
      <c r="B83" s="27">
        <f>'All References'!B70+'All References'!B80</f>
        <v>72574.87</v>
      </c>
      <c r="C83" s="27">
        <f>'All References'!C70+'All References'!C80</f>
        <v>68132.53</v>
      </c>
      <c r="D83" s="6"/>
      <c r="E83" s="5" t="s">
        <v>160</v>
      </c>
    </row>
    <row r="84" spans="1:5" x14ac:dyDescent="0.55000000000000004">
      <c r="A84" s="6" t="s">
        <v>161</v>
      </c>
      <c r="B84" s="27">
        <f>'All References'!B53</f>
        <v>13527.66</v>
      </c>
      <c r="C84" s="27">
        <f>'All References'!C53</f>
        <v>13324.29</v>
      </c>
      <c r="D84" s="6"/>
      <c r="E84" s="5" t="s">
        <v>104</v>
      </c>
    </row>
    <row r="85" spans="1:5" x14ac:dyDescent="0.55000000000000004">
      <c r="A85" s="6" t="s">
        <v>162</v>
      </c>
      <c r="B85" s="27">
        <f>'All References'!B80</f>
        <v>52968.3</v>
      </c>
      <c r="C85" s="27">
        <f>'All References'!C80</f>
        <v>44593.64</v>
      </c>
      <c r="D85" s="6"/>
      <c r="E85" s="5" t="s">
        <v>104</v>
      </c>
    </row>
    <row r="86" spans="1:5" x14ac:dyDescent="0.55000000000000004">
      <c r="A86" s="34" t="s">
        <v>163</v>
      </c>
      <c r="B86" s="34">
        <f t="shared" ref="B86:C86" si="35">B83/B64*100</f>
        <v>20.239984877782899</v>
      </c>
      <c r="C86" s="34">
        <f t="shared" si="35"/>
        <v>21.378388253010311</v>
      </c>
      <c r="D86" s="6"/>
      <c r="E86" s="5" t="s">
        <v>164</v>
      </c>
    </row>
    <row r="87" spans="1:5" x14ac:dyDescent="0.55000000000000004">
      <c r="A87" s="34" t="s">
        <v>165</v>
      </c>
      <c r="B87" s="34">
        <f t="shared" ref="B87:C87" si="36">B43/B64*100</f>
        <v>3.8852083610823116</v>
      </c>
      <c r="C87" s="34">
        <f t="shared" si="36"/>
        <v>5.6852854123789109</v>
      </c>
      <c r="D87" s="6"/>
      <c r="E87" s="5" t="s">
        <v>166</v>
      </c>
    </row>
    <row r="88" spans="1:5" x14ac:dyDescent="0.55000000000000004">
      <c r="A88" s="28"/>
      <c r="B88" s="28"/>
      <c r="C88" s="28"/>
      <c r="E88" s="5"/>
    </row>
    <row r="89" spans="1:5" ht="15" x14ac:dyDescent="0.65">
      <c r="A89" s="138" t="s">
        <v>167</v>
      </c>
      <c r="B89" s="139"/>
      <c r="C89" s="139"/>
      <c r="D89" s="139"/>
      <c r="E89" s="5"/>
    </row>
    <row r="90" spans="1:5" x14ac:dyDescent="0.55000000000000004">
      <c r="A90" s="6" t="s">
        <v>168</v>
      </c>
      <c r="B90" s="6">
        <f t="shared" ref="B90:D90" si="37">B58</f>
        <v>21.049252700749406</v>
      </c>
      <c r="C90" s="6">
        <f t="shared" si="37"/>
        <v>22.303080079175803</v>
      </c>
      <c r="D90" s="6">
        <f t="shared" si="37"/>
        <v>0</v>
      </c>
      <c r="E90" s="13" t="s">
        <v>126</v>
      </c>
    </row>
    <row r="91" spans="1:5" x14ac:dyDescent="0.55000000000000004">
      <c r="A91" s="6" t="s">
        <v>169</v>
      </c>
      <c r="B91" s="6">
        <f t="shared" ref="B91:D91" si="38">B75</f>
        <v>1.0399726682324342</v>
      </c>
      <c r="C91" s="6">
        <f t="shared" si="38"/>
        <v>1.114579921013664</v>
      </c>
      <c r="D91" s="6">
        <f t="shared" si="38"/>
        <v>0</v>
      </c>
      <c r="E91" s="13" t="s">
        <v>151</v>
      </c>
    </row>
    <row r="92" spans="1:5" x14ac:dyDescent="0.55000000000000004">
      <c r="A92" s="6" t="s">
        <v>170</v>
      </c>
      <c r="B92" s="6">
        <f t="shared" ref="B92:C92" si="39">B64/B65</f>
        <v>1.2537610461428443</v>
      </c>
      <c r="C92" s="6">
        <f t="shared" si="39"/>
        <v>1.2719149070844231</v>
      </c>
      <c r="D92" s="6"/>
      <c r="E92" s="5" t="s">
        <v>171</v>
      </c>
    </row>
    <row r="93" spans="1:5" x14ac:dyDescent="0.55000000000000004">
      <c r="A93" s="34" t="s">
        <v>172</v>
      </c>
      <c r="B93" s="34">
        <f t="shared" ref="B93:C93" si="40">B90*B91*B92</f>
        <v>27.445641104698719</v>
      </c>
      <c r="C93" s="34">
        <f t="shared" si="40"/>
        <v>31.617979688594957</v>
      </c>
      <c r="D93" s="6"/>
      <c r="E93" s="5" t="s">
        <v>173</v>
      </c>
    </row>
    <row r="94" spans="1:5" x14ac:dyDescent="0.55000000000000004">
      <c r="E94" s="5"/>
    </row>
    <row r="95" spans="1:5" ht="15" x14ac:dyDescent="0.65">
      <c r="A95" s="138" t="s">
        <v>174</v>
      </c>
      <c r="B95" s="139"/>
      <c r="C95" s="139"/>
      <c r="D95" s="139"/>
      <c r="E95" s="5"/>
    </row>
    <row r="96" spans="1:5" x14ac:dyDescent="0.55000000000000004">
      <c r="A96" s="6" t="s">
        <v>175</v>
      </c>
      <c r="B96" s="27">
        <f t="shared" ref="B96:C96" si="41">B73-B85</f>
        <v>226781.52000000002</v>
      </c>
      <c r="C96" s="27">
        <f t="shared" si="41"/>
        <v>209078.44</v>
      </c>
      <c r="D96" s="6"/>
      <c r="E96" s="5" t="s">
        <v>176</v>
      </c>
    </row>
    <row r="97" spans="1:5" x14ac:dyDescent="0.55000000000000004">
      <c r="A97" s="6" t="s">
        <v>177</v>
      </c>
      <c r="B97" s="6">
        <v>34.944000000000003</v>
      </c>
      <c r="C97" s="6">
        <v>34.944000000000003</v>
      </c>
      <c r="D97" s="6"/>
      <c r="E97" s="5" t="s">
        <v>178</v>
      </c>
    </row>
    <row r="98" spans="1:5" x14ac:dyDescent="0.55000000000000004">
      <c r="A98" s="6" t="s">
        <v>148</v>
      </c>
      <c r="B98" s="6">
        <f>B74</f>
        <v>1634.17</v>
      </c>
      <c r="C98" s="6">
        <v>8301.5300000000007</v>
      </c>
      <c r="D98" s="6"/>
      <c r="E98" s="5" t="s">
        <v>149</v>
      </c>
    </row>
    <row r="99" spans="1:5" x14ac:dyDescent="0.55000000000000004">
      <c r="A99" s="6" t="s">
        <v>179</v>
      </c>
      <c r="B99" s="27">
        <f>'All References'!F44</f>
        <v>10487.08</v>
      </c>
      <c r="C99" s="27">
        <f>'All References'!G44</f>
        <v>9944.94</v>
      </c>
      <c r="D99" s="6"/>
      <c r="E99" s="5" t="s">
        <v>92</v>
      </c>
    </row>
    <row r="100" spans="1:5" x14ac:dyDescent="0.55000000000000004">
      <c r="A100" s="6" t="s">
        <v>180</v>
      </c>
      <c r="B100" s="27">
        <f t="shared" ref="B100:C100" si="42">B63</f>
        <v>104738.54</v>
      </c>
      <c r="C100" s="27">
        <f t="shared" si="42"/>
        <v>106893.67</v>
      </c>
      <c r="D100" s="6"/>
      <c r="E100" s="5" t="s">
        <v>133</v>
      </c>
    </row>
    <row r="101" spans="1:5" x14ac:dyDescent="0.55000000000000004">
      <c r="A101" s="6" t="s">
        <v>181</v>
      </c>
      <c r="B101" s="6">
        <f t="shared" ref="B101:C101" si="43">B100*(1-B97/100)</f>
        <v>68138.704582399994</v>
      </c>
      <c r="C101" s="6">
        <f t="shared" si="43"/>
        <v>69540.745955200007</v>
      </c>
      <c r="D101" s="6"/>
      <c r="E101" s="5" t="s">
        <v>182</v>
      </c>
    </row>
    <row r="102" spans="1:5" x14ac:dyDescent="0.55000000000000004">
      <c r="A102" s="34" t="s">
        <v>183</v>
      </c>
      <c r="B102" s="39">
        <f>B101+B99-B98-B96</f>
        <v>-149789.90541760001</v>
      </c>
      <c r="C102" s="39">
        <f>C101+C99-C74-C96</f>
        <v>-137894.28404479998</v>
      </c>
      <c r="D102" s="6"/>
      <c r="E102" s="5" t="s">
        <v>184</v>
      </c>
    </row>
  </sheetData>
  <mergeCells count="9">
    <mergeCell ref="A89:D89"/>
    <mergeCell ref="A95:D95"/>
    <mergeCell ref="A1:C1"/>
    <mergeCell ref="A3:B3"/>
    <mergeCell ref="A35:D35"/>
    <mergeCell ref="A52:D52"/>
    <mergeCell ref="A72:D72"/>
    <mergeCell ref="A78:D78"/>
    <mergeCell ref="A82:D82"/>
  </mergeCells>
  <hyperlinks>
    <hyperlink ref="B42" r:id="rId1" display="https://finance.yahoo.com/quote/TATAELXSI.NS/history/?guccounter=1&amp;guce_referrer=aHR0cHM6Ly93d3cuZ29vZ2xlLmNvbS8&amp;guce_referrer_sig=AQAAABcnTpb-yS6wREW1zLxB1u1rYSjmVKCEVfBrsuxoKC_ZgSfgiBLaCEvd3qHszjMkiDxWLCMZKzhonzAJvBPhjfXcAMCGuLb1QyukzNiu-kqeSUE5ZcRlXfGpTKxS90lR_iS6ZNevj9NTImpPSA31aajgL34wWO8R2-nXjRAqoofl&amp;period1=1743120000&amp;period2=1743465600" xr:uid="{00000000-0004-0000-0100-000000000000}"/>
    <hyperlink ref="C42" r:id="rId2" display="https://finance.yahoo.com/quote/TATAELXSI.NS/history/?guccounter=1&amp;guce_referrer=aHR0cHM6Ly93d3cuZ29vZ2xlLmNvbS8&amp;guce_referrer_sig=AQAAABcnTpb-yS6wREW1zLxB1u1rYSjmVKCEVfBrsuxoKC_ZgSfgiBLaCEvd3qHszjMkiDxWLCMZKzhonzAJvBPhjfXcAMCGuLb1QyukzNiu-kqeSUE5ZcRlXfGpTKxS90lR_iS6ZNevj9NTImpPSA31aajgL34wWO8R2-nXjRAqoofl&amp;period1=1711584000&amp;period2=1711843200" xr:uid="{00000000-0004-0000-0100-000001000000}"/>
    <hyperlink ref="D42" r:id="rId3" display="https://finance.yahoo.com/quote/TATAELXSI.NS/history/?guccounter=1&amp;guce_referrer=aHR0cHM6Ly93d3cuZ29vZ2xlLmNvbS8&amp;guce_referrer_sig=AQAAABcnTpb-yS6wREW1zLxB1u1rYSjmVKCEVfBrsuxoKC_ZgSfgiBLaCEvd3qHszjMkiDxWLCMZKzhonzAJvBPhjfXcAMCGuLb1QyukzNiu-kqeSUE5ZcRlXfGpTKxS90lR_iS6ZNevj9NTImpPSA31aajgL34wWO8R2-nXjRAqoofl&amp;period1=1680134400&amp;period2=1680307200" xr:uid="{00000000-0004-0000-0100-000002000000}"/>
    <hyperlink ref="E42" r:id="rId4" xr:uid="{00000000-0004-0000-0100-000003000000}"/>
  </hyperlinks>
  <pageMargins left="0.7" right="0.7" top="0.75" bottom="0.75" header="0" footer="0"/>
  <pageSetup orientation="landscape"/>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zoomScale="60" workbookViewId="0">
      <selection sqref="A1:C1"/>
    </sheetView>
  </sheetViews>
  <sheetFormatPr defaultColWidth="14.41796875" defaultRowHeight="14.4" x14ac:dyDescent="0.55000000000000004"/>
  <cols>
    <col min="1" max="1" width="69.83984375" style="2" bestFit="1" customWidth="1"/>
    <col min="2" max="2" width="35.83984375" style="2" bestFit="1" customWidth="1"/>
    <col min="3" max="3" width="112.734375" style="2" customWidth="1"/>
    <col min="4" max="4" width="96.1015625" style="2" bestFit="1" customWidth="1"/>
    <col min="5" max="5" width="145.15625" style="2" bestFit="1" customWidth="1"/>
    <col min="6" max="6" width="127.3125" style="2" bestFit="1" customWidth="1"/>
    <col min="7" max="26" width="8.68359375" style="2" customWidth="1"/>
    <col min="27" max="16384" width="14.41796875" style="2"/>
  </cols>
  <sheetData>
    <row r="1" spans="1:9" ht="15.6" x14ac:dyDescent="0.75">
      <c r="A1" s="140" t="s">
        <v>185</v>
      </c>
      <c r="B1" s="139"/>
      <c r="C1" s="139"/>
    </row>
    <row r="3" spans="1:9" x14ac:dyDescent="0.55000000000000004">
      <c r="A3" s="40" t="s">
        <v>186</v>
      </c>
      <c r="B3" s="5">
        <v>10573.23</v>
      </c>
      <c r="G3" s="41"/>
      <c r="H3" s="41"/>
      <c r="I3" s="41"/>
    </row>
    <row r="4" spans="1:9" x14ac:dyDescent="0.55000000000000004">
      <c r="A4" s="40" t="s">
        <v>187</v>
      </c>
      <c r="B4" s="5">
        <v>4700</v>
      </c>
      <c r="H4" s="42"/>
      <c r="I4" s="42"/>
    </row>
    <row r="5" spans="1:9" x14ac:dyDescent="0.55000000000000004">
      <c r="A5" s="43" t="s">
        <v>188</v>
      </c>
      <c r="B5" s="5">
        <v>5158.5</v>
      </c>
      <c r="H5" s="42"/>
      <c r="I5" s="42"/>
    </row>
    <row r="6" spans="1:9" x14ac:dyDescent="0.55000000000000004">
      <c r="A6" s="43" t="s">
        <v>189</v>
      </c>
      <c r="B6" s="5">
        <f>(B3-B5)*100/B3</f>
        <v>51.211692169753235</v>
      </c>
      <c r="H6" s="44"/>
      <c r="I6" s="42"/>
    </row>
    <row r="7" spans="1:9" x14ac:dyDescent="0.55000000000000004">
      <c r="A7" s="43" t="s">
        <v>190</v>
      </c>
      <c r="B7" s="5">
        <v>233084.1</v>
      </c>
      <c r="H7" s="42"/>
      <c r="I7" s="42"/>
    </row>
    <row r="8" spans="1:9" x14ac:dyDescent="0.55000000000000004">
      <c r="H8" s="42"/>
      <c r="I8" s="42"/>
    </row>
    <row r="9" spans="1:9" x14ac:dyDescent="0.55000000000000004">
      <c r="A9" s="45" t="s">
        <v>191</v>
      </c>
      <c r="B9" s="46"/>
      <c r="C9" s="46"/>
      <c r="H9" s="42"/>
      <c r="I9" s="42"/>
    </row>
    <row r="10" spans="1:9" x14ac:dyDescent="0.55000000000000004">
      <c r="A10" s="47" t="s">
        <v>192</v>
      </c>
      <c r="B10" s="47" t="s">
        <v>193</v>
      </c>
      <c r="C10" s="47" t="s">
        <v>194</v>
      </c>
      <c r="H10" s="42"/>
      <c r="I10" s="42"/>
    </row>
    <row r="11" spans="1:9" x14ac:dyDescent="0.55000000000000004">
      <c r="A11" s="48">
        <v>45632</v>
      </c>
      <c r="B11" s="49">
        <v>7396</v>
      </c>
      <c r="C11" s="13" t="s">
        <v>195</v>
      </c>
      <c r="H11" s="42"/>
      <c r="I11" s="42"/>
    </row>
    <row r="12" spans="1:9" x14ac:dyDescent="0.55000000000000004">
      <c r="A12" s="48">
        <v>45639</v>
      </c>
      <c r="B12" s="49">
        <v>7364</v>
      </c>
      <c r="C12" s="13">
        <v>-0.43</v>
      </c>
      <c r="H12" s="42"/>
      <c r="I12" s="42"/>
    </row>
    <row r="13" spans="1:9" x14ac:dyDescent="0.55000000000000004">
      <c r="A13" s="48">
        <v>45646</v>
      </c>
      <c r="B13" s="49">
        <v>6922</v>
      </c>
      <c r="C13" s="13">
        <v>-6.01</v>
      </c>
      <c r="H13" s="42"/>
      <c r="I13" s="42"/>
    </row>
    <row r="14" spans="1:9" x14ac:dyDescent="0.55000000000000004">
      <c r="A14" s="48">
        <v>45653</v>
      </c>
      <c r="B14" s="49">
        <v>6886</v>
      </c>
      <c r="C14" s="13">
        <v>-0.52</v>
      </c>
      <c r="H14" s="42"/>
      <c r="I14" s="42"/>
    </row>
    <row r="15" spans="1:9" x14ac:dyDescent="0.55000000000000004">
      <c r="A15" s="48">
        <v>45660</v>
      </c>
      <c r="B15" s="49">
        <v>6648</v>
      </c>
      <c r="C15" s="13">
        <v>-3.46</v>
      </c>
      <c r="H15" s="42"/>
      <c r="I15" s="42"/>
    </row>
    <row r="16" spans="1:9" x14ac:dyDescent="0.55000000000000004">
      <c r="A16" s="48">
        <v>45667</v>
      </c>
      <c r="B16" s="49">
        <v>6001</v>
      </c>
      <c r="C16" s="13">
        <v>-9.7100000000000009</v>
      </c>
      <c r="H16" s="44"/>
      <c r="I16" s="42"/>
    </row>
    <row r="17" spans="1:9" x14ac:dyDescent="0.55000000000000004">
      <c r="A17" s="48">
        <v>45674</v>
      </c>
      <c r="B17" s="49">
        <v>6212</v>
      </c>
      <c r="C17" s="13">
        <v>3.52</v>
      </c>
      <c r="H17" s="44"/>
      <c r="I17" s="42"/>
    </row>
    <row r="18" spans="1:9" x14ac:dyDescent="0.55000000000000004">
      <c r="A18" s="48">
        <v>45681</v>
      </c>
      <c r="B18" s="49">
        <v>6373</v>
      </c>
      <c r="C18" s="13">
        <v>2.59</v>
      </c>
      <c r="H18" s="42"/>
      <c r="I18" s="42"/>
    </row>
    <row r="19" spans="1:9" x14ac:dyDescent="0.55000000000000004">
      <c r="A19" s="48">
        <v>45688</v>
      </c>
      <c r="B19" s="49">
        <v>6336</v>
      </c>
      <c r="C19" s="13">
        <v>-0.57999999999999996</v>
      </c>
      <c r="H19" s="42"/>
      <c r="I19" s="42"/>
    </row>
    <row r="20" spans="1:9" x14ac:dyDescent="0.55000000000000004">
      <c r="A20" s="48">
        <v>45695</v>
      </c>
      <c r="B20" s="49">
        <v>6371</v>
      </c>
      <c r="C20" s="13">
        <v>0.55000000000000004</v>
      </c>
      <c r="H20" s="44"/>
      <c r="I20" s="42"/>
    </row>
    <row r="21" spans="1:9" x14ac:dyDescent="0.55000000000000004">
      <c r="A21" s="48">
        <v>45702</v>
      </c>
      <c r="B21" s="49">
        <v>6285</v>
      </c>
      <c r="C21" s="13">
        <v>-1.35</v>
      </c>
      <c r="H21" s="44"/>
      <c r="I21" s="42"/>
    </row>
    <row r="22" spans="1:9" x14ac:dyDescent="0.55000000000000004">
      <c r="A22" s="48">
        <v>45709</v>
      </c>
      <c r="B22" s="49">
        <v>6198</v>
      </c>
      <c r="C22" s="13">
        <v>-1.39</v>
      </c>
      <c r="H22" s="42"/>
      <c r="I22" s="42"/>
    </row>
    <row r="23" spans="1:9" x14ac:dyDescent="0.55000000000000004">
      <c r="A23" s="48">
        <v>45716</v>
      </c>
      <c r="B23" s="49">
        <v>6265</v>
      </c>
      <c r="C23" s="13">
        <v>1.08</v>
      </c>
      <c r="H23" s="42"/>
      <c r="I23" s="42"/>
    </row>
    <row r="24" spans="1:9" x14ac:dyDescent="0.55000000000000004">
      <c r="A24" s="48">
        <v>45723</v>
      </c>
      <c r="B24" s="49">
        <v>6310</v>
      </c>
      <c r="C24" s="13">
        <v>0.72</v>
      </c>
    </row>
    <row r="25" spans="1:9" x14ac:dyDescent="0.55000000000000004">
      <c r="A25" s="48">
        <v>45730</v>
      </c>
      <c r="B25" s="49">
        <v>6225</v>
      </c>
      <c r="C25" s="13">
        <v>-1.35</v>
      </c>
    </row>
    <row r="26" spans="1:9" x14ac:dyDescent="0.55000000000000004">
      <c r="A26" s="48">
        <v>45737</v>
      </c>
      <c r="B26" s="49">
        <v>6180</v>
      </c>
      <c r="C26" s="13">
        <v>-0.72</v>
      </c>
    </row>
    <row r="27" spans="1:9" x14ac:dyDescent="0.55000000000000004">
      <c r="A27" s="48">
        <v>45744</v>
      </c>
      <c r="B27" s="49">
        <v>6245</v>
      </c>
      <c r="C27" s="13">
        <v>1.05</v>
      </c>
    </row>
    <row r="28" spans="1:9" x14ac:dyDescent="0.55000000000000004">
      <c r="A28" s="48">
        <v>45751</v>
      </c>
      <c r="B28" s="49">
        <v>6310</v>
      </c>
      <c r="C28" s="13">
        <v>1.04</v>
      </c>
    </row>
    <row r="29" spans="1:9" x14ac:dyDescent="0.55000000000000004">
      <c r="A29" s="48">
        <v>45758</v>
      </c>
      <c r="B29" s="49">
        <v>6190</v>
      </c>
      <c r="C29" s="13">
        <v>-1.9</v>
      </c>
    </row>
    <row r="30" spans="1:9" x14ac:dyDescent="0.55000000000000004">
      <c r="A30" s="48">
        <v>45765</v>
      </c>
      <c r="B30" s="49">
        <v>6145</v>
      </c>
      <c r="C30" s="13">
        <v>-0.73</v>
      </c>
    </row>
    <row r="31" spans="1:9" x14ac:dyDescent="0.55000000000000004">
      <c r="A31" s="48">
        <v>45772</v>
      </c>
      <c r="B31" s="49">
        <v>6085</v>
      </c>
      <c r="C31" s="13">
        <v>-0.98</v>
      </c>
    </row>
    <row r="32" spans="1:9" x14ac:dyDescent="0.55000000000000004">
      <c r="A32" s="48">
        <v>45779</v>
      </c>
      <c r="B32" s="49">
        <v>6010</v>
      </c>
      <c r="C32" s="13">
        <v>-1.23</v>
      </c>
    </row>
    <row r="33" spans="1:3" x14ac:dyDescent="0.55000000000000004">
      <c r="A33" s="48">
        <v>45786</v>
      </c>
      <c r="B33" s="49">
        <v>5945</v>
      </c>
      <c r="C33" s="13">
        <v>-1.08</v>
      </c>
    </row>
    <row r="34" spans="1:3" x14ac:dyDescent="0.55000000000000004">
      <c r="A34" s="48">
        <v>45793</v>
      </c>
      <c r="B34" s="49">
        <v>5890</v>
      </c>
      <c r="C34" s="13">
        <v>-0.93</v>
      </c>
    </row>
    <row r="35" spans="1:3" x14ac:dyDescent="0.55000000000000004">
      <c r="A35" s="48">
        <v>45800</v>
      </c>
      <c r="B35" s="49">
        <v>5930</v>
      </c>
      <c r="C35" s="13">
        <v>0.68</v>
      </c>
    </row>
    <row r="36" spans="1:3" x14ac:dyDescent="0.55000000000000004">
      <c r="A36" s="48">
        <v>45807</v>
      </c>
      <c r="B36" s="49">
        <v>5875</v>
      </c>
      <c r="C36" s="13">
        <v>-0.93</v>
      </c>
    </row>
    <row r="37" spans="1:3" x14ac:dyDescent="0.55000000000000004">
      <c r="A37" s="48">
        <v>45814</v>
      </c>
      <c r="B37" s="49">
        <v>5820</v>
      </c>
      <c r="C37" s="13">
        <v>-0.94</v>
      </c>
    </row>
    <row r="38" spans="1:3" x14ac:dyDescent="0.55000000000000004">
      <c r="A38" s="48">
        <v>45821</v>
      </c>
      <c r="B38" s="49">
        <v>5765</v>
      </c>
      <c r="C38" s="13">
        <v>-0.95</v>
      </c>
    </row>
    <row r="39" spans="1:3" x14ac:dyDescent="0.55000000000000004">
      <c r="A39" s="48">
        <v>45828</v>
      </c>
      <c r="B39" s="49">
        <v>5710</v>
      </c>
      <c r="C39" s="13">
        <v>-0.95</v>
      </c>
    </row>
    <row r="40" spans="1:3" x14ac:dyDescent="0.55000000000000004">
      <c r="A40" s="48">
        <v>45835</v>
      </c>
      <c r="B40" s="49">
        <v>5655</v>
      </c>
      <c r="C40" s="13">
        <v>-0.96</v>
      </c>
    </row>
    <row r="41" spans="1:3" x14ac:dyDescent="0.55000000000000004">
      <c r="A41" s="48">
        <v>45842</v>
      </c>
      <c r="B41" s="49">
        <v>5700</v>
      </c>
      <c r="C41" s="13">
        <v>0.8</v>
      </c>
    </row>
    <row r="42" spans="1:3" x14ac:dyDescent="0.55000000000000004">
      <c r="A42" s="48">
        <v>45849</v>
      </c>
      <c r="B42" s="49">
        <v>5640</v>
      </c>
      <c r="C42" s="13">
        <v>-1.05</v>
      </c>
    </row>
    <row r="43" spans="1:3" x14ac:dyDescent="0.55000000000000004">
      <c r="A43" s="48">
        <v>45856</v>
      </c>
      <c r="B43" s="49">
        <v>5585</v>
      </c>
      <c r="C43" s="13">
        <v>-0.97</v>
      </c>
    </row>
    <row r="44" spans="1:3" x14ac:dyDescent="0.55000000000000004">
      <c r="A44" s="48">
        <v>45863</v>
      </c>
      <c r="B44" s="49">
        <v>5562</v>
      </c>
      <c r="C44" s="13">
        <v>-0.41</v>
      </c>
    </row>
    <row r="45" spans="1:3" x14ac:dyDescent="0.55000000000000004">
      <c r="A45" s="48">
        <v>45870</v>
      </c>
      <c r="B45" s="49">
        <v>5595</v>
      </c>
      <c r="C45" s="13">
        <v>0.59</v>
      </c>
    </row>
    <row r="46" spans="1:3" x14ac:dyDescent="0.55000000000000004">
      <c r="A46" s="48">
        <v>45877</v>
      </c>
      <c r="B46" s="49">
        <v>5640</v>
      </c>
      <c r="C46" s="13">
        <v>0.81</v>
      </c>
    </row>
    <row r="47" spans="1:3" x14ac:dyDescent="0.55000000000000004">
      <c r="A47" s="48">
        <v>45884</v>
      </c>
      <c r="B47" s="49">
        <v>5605</v>
      </c>
      <c r="C47" s="13">
        <v>-0.62</v>
      </c>
    </row>
    <row r="48" spans="1:3" x14ac:dyDescent="0.55000000000000004">
      <c r="A48" s="48">
        <v>45891</v>
      </c>
      <c r="B48" s="49">
        <v>5575</v>
      </c>
      <c r="C48" s="13">
        <v>-0.54</v>
      </c>
    </row>
    <row r="49" spans="1:3" x14ac:dyDescent="0.55000000000000004">
      <c r="A49" s="48">
        <v>45898</v>
      </c>
      <c r="B49" s="49">
        <v>5530</v>
      </c>
      <c r="C49" s="13">
        <v>-0.81</v>
      </c>
    </row>
    <row r="50" spans="1:3" x14ac:dyDescent="0.55000000000000004">
      <c r="A50" s="48">
        <v>45905</v>
      </c>
      <c r="B50" s="49">
        <v>5470</v>
      </c>
      <c r="C50" s="13">
        <v>-1.0900000000000001</v>
      </c>
    </row>
    <row r="51" spans="1:3" x14ac:dyDescent="0.55000000000000004">
      <c r="A51" s="48">
        <v>45912</v>
      </c>
      <c r="B51" s="49">
        <v>5722</v>
      </c>
      <c r="C51" s="13">
        <v>4.6100000000000003</v>
      </c>
    </row>
    <row r="52" spans="1:3" x14ac:dyDescent="0.55000000000000004">
      <c r="A52" s="48">
        <v>45919</v>
      </c>
      <c r="B52" s="49">
        <v>5723</v>
      </c>
      <c r="C52" s="13">
        <v>0.02</v>
      </c>
    </row>
    <row r="53" spans="1:3" x14ac:dyDescent="0.55000000000000004">
      <c r="A53" s="48">
        <v>45926</v>
      </c>
      <c r="B53" s="49">
        <v>5303</v>
      </c>
      <c r="C53" s="13">
        <v>-7.34</v>
      </c>
    </row>
    <row r="54" spans="1:3" x14ac:dyDescent="0.55000000000000004">
      <c r="A54" s="48">
        <v>45933</v>
      </c>
      <c r="B54" s="49">
        <v>5356</v>
      </c>
      <c r="C54" s="13">
        <v>1</v>
      </c>
    </row>
    <row r="55" spans="1:3" x14ac:dyDescent="0.55000000000000004">
      <c r="A55" s="48">
        <v>45940</v>
      </c>
      <c r="B55" s="49">
        <v>5408</v>
      </c>
      <c r="C55" s="13">
        <v>0.97</v>
      </c>
    </row>
    <row r="56" spans="1:3" x14ac:dyDescent="0.55000000000000004">
      <c r="A56" s="48">
        <v>45947</v>
      </c>
      <c r="B56" s="49">
        <v>5370</v>
      </c>
      <c r="C56" s="13">
        <v>-0.7</v>
      </c>
    </row>
    <row r="57" spans="1:3" x14ac:dyDescent="0.55000000000000004">
      <c r="A57" s="48">
        <v>45954</v>
      </c>
      <c r="B57" s="49">
        <v>5544</v>
      </c>
      <c r="C57" s="13">
        <v>3.24</v>
      </c>
    </row>
    <row r="58" spans="1:3" x14ac:dyDescent="0.55000000000000004">
      <c r="A58" s="48">
        <v>45961</v>
      </c>
      <c r="B58" s="49">
        <v>5455</v>
      </c>
      <c r="C58" s="13">
        <v>-1.61</v>
      </c>
    </row>
    <row r="59" spans="1:3" x14ac:dyDescent="0.55000000000000004">
      <c r="A59" s="48">
        <v>45968</v>
      </c>
      <c r="B59" s="49">
        <v>5180</v>
      </c>
      <c r="C59" s="13">
        <v>-5.04</v>
      </c>
    </row>
    <row r="60" spans="1:3" x14ac:dyDescent="0.55000000000000004">
      <c r="A60" s="48">
        <v>45975</v>
      </c>
      <c r="B60" s="49">
        <v>5267</v>
      </c>
      <c r="C60" s="13">
        <v>1.68</v>
      </c>
    </row>
    <row r="62" spans="1:3" ht="28.8" x14ac:dyDescent="0.55000000000000004">
      <c r="A62" s="50" t="s">
        <v>196</v>
      </c>
      <c r="B62" s="5" t="s">
        <v>197</v>
      </c>
      <c r="C62" s="5" t="s">
        <v>198</v>
      </c>
    </row>
    <row r="63" spans="1:3" ht="28.8" x14ac:dyDescent="0.55000000000000004">
      <c r="A63" s="50"/>
      <c r="B63" s="5" t="s">
        <v>199</v>
      </c>
      <c r="C63" s="5" t="s">
        <v>200</v>
      </c>
    </row>
    <row r="64" spans="1:3" ht="28.8" x14ac:dyDescent="0.55000000000000004">
      <c r="A64" s="50" t="s">
        <v>201</v>
      </c>
      <c r="B64" s="5" t="s">
        <v>202</v>
      </c>
      <c r="C64" s="5" t="s">
        <v>203</v>
      </c>
    </row>
    <row r="65" spans="1:6" ht="28.8" x14ac:dyDescent="0.55000000000000004">
      <c r="A65" s="50" t="s">
        <v>204</v>
      </c>
      <c r="B65" s="5" t="s">
        <v>202</v>
      </c>
      <c r="C65" s="5" t="s">
        <v>205</v>
      </c>
    </row>
    <row r="66" spans="1:6" ht="28.8" x14ac:dyDescent="0.55000000000000004">
      <c r="A66" s="50" t="s">
        <v>206</v>
      </c>
      <c r="B66" s="5" t="s">
        <v>202</v>
      </c>
      <c r="C66" s="5" t="s">
        <v>207</v>
      </c>
    </row>
    <row r="69" spans="1:6" x14ac:dyDescent="0.55000000000000004">
      <c r="A69" s="45" t="s">
        <v>208</v>
      </c>
      <c r="B69" s="46"/>
      <c r="C69" s="46"/>
      <c r="D69" s="46"/>
      <c r="E69" s="46"/>
      <c r="F69" s="46"/>
    </row>
    <row r="70" spans="1:6" x14ac:dyDescent="0.55000000000000004">
      <c r="A70" s="47" t="s">
        <v>209</v>
      </c>
      <c r="B70" s="47" t="s">
        <v>210</v>
      </c>
      <c r="C70" s="47" t="s">
        <v>211</v>
      </c>
      <c r="D70" s="47" t="s">
        <v>212</v>
      </c>
      <c r="E70" s="51" t="s">
        <v>213</v>
      </c>
      <c r="F70" s="47" t="s">
        <v>214</v>
      </c>
    </row>
    <row r="71" spans="1:6" ht="28.8" x14ac:dyDescent="0.55000000000000004">
      <c r="A71" s="13" t="s">
        <v>215</v>
      </c>
      <c r="B71" s="13" t="s">
        <v>216</v>
      </c>
      <c r="C71" s="13" t="s">
        <v>217</v>
      </c>
      <c r="D71" s="13" t="s">
        <v>218</v>
      </c>
      <c r="E71" s="13" t="s">
        <v>219</v>
      </c>
      <c r="F71" s="13" t="s">
        <v>220</v>
      </c>
    </row>
    <row r="72" spans="1:6" x14ac:dyDescent="0.55000000000000004">
      <c r="A72" s="13" t="s">
        <v>221</v>
      </c>
      <c r="B72" s="52">
        <v>45665</v>
      </c>
      <c r="C72" s="13" t="s">
        <v>222</v>
      </c>
      <c r="D72" s="13" t="s">
        <v>223</v>
      </c>
      <c r="E72" s="13" t="s">
        <v>224</v>
      </c>
      <c r="F72" s="13" t="s">
        <v>225</v>
      </c>
    </row>
    <row r="73" spans="1:6" ht="28.8" x14ac:dyDescent="0.55000000000000004">
      <c r="A73" s="13" t="s">
        <v>226</v>
      </c>
      <c r="B73" s="52">
        <v>45575</v>
      </c>
      <c r="C73" s="13" t="s">
        <v>227</v>
      </c>
      <c r="D73" s="13" t="s">
        <v>228</v>
      </c>
      <c r="E73" s="13" t="s">
        <v>229</v>
      </c>
      <c r="F73" s="13" t="s">
        <v>230</v>
      </c>
    </row>
    <row r="74" spans="1:6" x14ac:dyDescent="0.55000000000000004">
      <c r="A74" s="13" t="s">
        <v>231</v>
      </c>
      <c r="B74" s="52">
        <v>45483</v>
      </c>
      <c r="C74" s="13" t="s">
        <v>232</v>
      </c>
      <c r="D74" s="13" t="s">
        <v>233</v>
      </c>
      <c r="E74" s="13" t="s">
        <v>234</v>
      </c>
      <c r="F74" s="13" t="s">
        <v>235</v>
      </c>
    </row>
  </sheetData>
  <mergeCells count="1">
    <mergeCell ref="A1:C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1032"/>
  <sheetViews>
    <sheetView zoomScale="60" workbookViewId="0">
      <pane ySplit="4" topLeftCell="A5" activePane="bottomLeft" state="frozen"/>
      <selection pane="bottomLeft" sqref="A1:C1"/>
    </sheetView>
  </sheetViews>
  <sheetFormatPr defaultColWidth="14.41796875" defaultRowHeight="15" customHeight="1" x14ac:dyDescent="0.55000000000000004"/>
  <cols>
    <col min="1" max="1" width="34.15625" style="1" customWidth="1"/>
    <col min="2" max="2" width="22.68359375" style="1" customWidth="1"/>
    <col min="3" max="3" width="19.26171875" style="1" customWidth="1"/>
    <col min="4" max="4" width="20.41796875" style="1" customWidth="1"/>
    <col min="5" max="5" width="19.83984375" style="1" customWidth="1"/>
    <col min="6" max="6" width="18.68359375" style="1" customWidth="1"/>
    <col min="7" max="7" width="35.578125" style="1" customWidth="1"/>
    <col min="8" max="8" width="33.578125" style="1" customWidth="1"/>
    <col min="9" max="9" width="93" style="1" customWidth="1"/>
    <col min="10" max="10" width="30.26171875" style="1" customWidth="1"/>
    <col min="11" max="16384" width="14.41796875" style="1"/>
  </cols>
  <sheetData>
    <row r="1" spans="1:21" ht="14.25" customHeight="1" x14ac:dyDescent="0.65">
      <c r="A1" s="162" t="s">
        <v>236</v>
      </c>
      <c r="B1" s="163"/>
      <c r="C1" s="163"/>
      <c r="D1" s="53"/>
      <c r="E1" s="53"/>
      <c r="F1" s="53"/>
      <c r="G1" s="54"/>
      <c r="H1" s="53"/>
      <c r="I1" s="53"/>
      <c r="J1" s="53"/>
      <c r="K1" s="53"/>
      <c r="L1" s="53"/>
      <c r="M1" s="53"/>
      <c r="N1" s="53"/>
      <c r="O1" s="53"/>
      <c r="P1" s="53"/>
      <c r="Q1" s="53"/>
      <c r="R1" s="53"/>
      <c r="S1" s="53"/>
      <c r="T1" s="53"/>
      <c r="U1" s="53"/>
    </row>
    <row r="2" spans="1:21" ht="16.8" x14ac:dyDescent="0.65">
      <c r="A2" s="158" t="s">
        <v>237</v>
      </c>
      <c r="B2" s="153"/>
      <c r="C2" s="153"/>
      <c r="D2" s="153"/>
      <c r="E2" s="153"/>
      <c r="F2" s="153"/>
      <c r="G2" s="153"/>
      <c r="H2" s="153"/>
      <c r="I2" s="153"/>
      <c r="J2" s="153"/>
      <c r="K2" s="53"/>
      <c r="L2" s="53"/>
      <c r="M2" s="53"/>
      <c r="N2" s="53"/>
      <c r="O2" s="53"/>
      <c r="P2" s="53"/>
      <c r="Q2" s="53"/>
      <c r="R2" s="53"/>
      <c r="S2" s="53"/>
      <c r="T2" s="53"/>
      <c r="U2" s="53"/>
    </row>
    <row r="3" spans="1:21" ht="16.8" x14ac:dyDescent="0.65">
      <c r="A3" s="164" t="s">
        <v>238</v>
      </c>
      <c r="B3" s="153"/>
      <c r="C3" s="153"/>
      <c r="D3" s="153"/>
      <c r="E3" s="153"/>
      <c r="F3" s="153"/>
      <c r="G3" s="55"/>
      <c r="H3" s="56" t="s">
        <v>239</v>
      </c>
      <c r="I3" s="53"/>
      <c r="J3" s="53"/>
      <c r="K3" s="53"/>
      <c r="L3" s="53"/>
      <c r="M3" s="53"/>
      <c r="N3" s="53"/>
      <c r="O3" s="53"/>
      <c r="P3" s="53"/>
      <c r="Q3" s="53"/>
      <c r="R3" s="53"/>
      <c r="S3" s="53"/>
      <c r="T3" s="53"/>
      <c r="U3" s="53"/>
    </row>
    <row r="4" spans="1:21" ht="33.6" x14ac:dyDescent="0.65">
      <c r="A4" s="57" t="s">
        <v>240</v>
      </c>
      <c r="B4" s="58" t="s">
        <v>241</v>
      </c>
      <c r="C4" s="58" t="s">
        <v>242</v>
      </c>
      <c r="D4" s="58" t="s">
        <v>243</v>
      </c>
      <c r="E4" s="58" t="s">
        <v>244</v>
      </c>
      <c r="F4" s="58" t="s">
        <v>245</v>
      </c>
      <c r="G4" s="59" t="s">
        <v>246</v>
      </c>
      <c r="H4" s="60" t="s">
        <v>247</v>
      </c>
      <c r="I4" s="61" t="s">
        <v>248</v>
      </c>
      <c r="J4" s="62" t="s">
        <v>249</v>
      </c>
      <c r="K4" s="53"/>
      <c r="L4" s="53"/>
      <c r="M4" s="53"/>
      <c r="N4" s="53"/>
      <c r="O4" s="53"/>
      <c r="P4" s="53"/>
      <c r="Q4" s="53"/>
      <c r="R4" s="53"/>
      <c r="S4" s="53"/>
      <c r="T4" s="53"/>
      <c r="U4" s="53"/>
    </row>
    <row r="5" spans="1:21" ht="50.4" x14ac:dyDescent="0.65">
      <c r="A5" s="63" t="s">
        <v>250</v>
      </c>
      <c r="B5" s="63" t="s">
        <v>251</v>
      </c>
      <c r="C5" s="63" t="s">
        <v>252</v>
      </c>
      <c r="D5" s="63" t="s">
        <v>253</v>
      </c>
      <c r="E5" s="63" t="s">
        <v>254</v>
      </c>
      <c r="F5" s="63" t="s">
        <v>255</v>
      </c>
      <c r="G5" s="63" t="s">
        <v>256</v>
      </c>
      <c r="H5" s="63" t="s">
        <v>257</v>
      </c>
      <c r="I5" s="159" t="s">
        <v>258</v>
      </c>
      <c r="J5" s="63"/>
      <c r="K5" s="54"/>
      <c r="L5" s="54"/>
      <c r="M5" s="54"/>
      <c r="N5" s="54"/>
      <c r="O5" s="54"/>
      <c r="P5" s="54"/>
      <c r="Q5" s="54"/>
      <c r="R5" s="54"/>
      <c r="S5" s="54"/>
      <c r="T5" s="54"/>
      <c r="U5" s="54"/>
    </row>
    <row r="6" spans="1:21" ht="84" x14ac:dyDescent="0.65">
      <c r="A6" s="63" t="s">
        <v>259</v>
      </c>
      <c r="B6" s="63" t="s">
        <v>260</v>
      </c>
      <c r="C6" s="63" t="s">
        <v>261</v>
      </c>
      <c r="D6" s="63" t="s">
        <v>262</v>
      </c>
      <c r="E6" s="63" t="s">
        <v>263</v>
      </c>
      <c r="F6" s="63" t="s">
        <v>264</v>
      </c>
      <c r="G6" s="63" t="s">
        <v>265</v>
      </c>
      <c r="H6" s="63" t="s">
        <v>266</v>
      </c>
      <c r="I6" s="148"/>
      <c r="J6" s="63"/>
      <c r="K6" s="54"/>
      <c r="L6" s="54"/>
      <c r="M6" s="54"/>
      <c r="N6" s="54"/>
      <c r="O6" s="54"/>
      <c r="P6" s="54"/>
      <c r="Q6" s="54"/>
      <c r="R6" s="54"/>
      <c r="S6" s="54"/>
      <c r="T6" s="54"/>
      <c r="U6" s="54"/>
    </row>
    <row r="7" spans="1:21" ht="50.4" x14ac:dyDescent="0.65">
      <c r="A7" s="63" t="s">
        <v>267</v>
      </c>
      <c r="B7" s="64">
        <v>55491</v>
      </c>
      <c r="C7" s="65">
        <v>1781841</v>
      </c>
      <c r="D7" s="66">
        <v>820000</v>
      </c>
      <c r="E7" s="65">
        <v>791100</v>
      </c>
      <c r="F7" s="65">
        <v>48044</v>
      </c>
      <c r="G7" s="67">
        <f t="shared" ref="G7:G10" si="0">SUM(B7:F7)</f>
        <v>3496476</v>
      </c>
      <c r="H7" s="63"/>
      <c r="I7" s="68" t="s">
        <v>268</v>
      </c>
      <c r="J7" s="63"/>
      <c r="K7" s="54"/>
      <c r="L7" s="54"/>
      <c r="M7" s="54"/>
      <c r="N7" s="54"/>
      <c r="O7" s="54"/>
      <c r="P7" s="54"/>
      <c r="Q7" s="54"/>
      <c r="R7" s="54"/>
      <c r="S7" s="54"/>
      <c r="T7" s="54"/>
      <c r="U7" s="54"/>
    </row>
    <row r="8" spans="1:21" ht="50.4" x14ac:dyDescent="0.65">
      <c r="A8" s="63" t="s">
        <v>269</v>
      </c>
      <c r="B8" s="69">
        <v>30</v>
      </c>
      <c r="C8" s="69">
        <f t="shared" ref="C8:F8" si="1">0.7*C7/($G$7-$B$7)*100</f>
        <v>36.248013286893141</v>
      </c>
      <c r="D8" s="69">
        <f t="shared" si="1"/>
        <v>16.681270043316086</v>
      </c>
      <c r="E8" s="69">
        <f t="shared" si="1"/>
        <v>16.093356989350433</v>
      </c>
      <c r="F8" s="69">
        <f t="shared" si="1"/>
        <v>0.97735968044033883</v>
      </c>
      <c r="G8" s="63">
        <f t="shared" si="0"/>
        <v>100</v>
      </c>
      <c r="H8" s="69"/>
      <c r="I8" s="63" t="s">
        <v>270</v>
      </c>
      <c r="J8" s="69"/>
      <c r="K8" s="53"/>
      <c r="L8" s="53"/>
      <c r="M8" s="53"/>
      <c r="N8" s="53"/>
      <c r="O8" s="53"/>
      <c r="P8" s="53"/>
      <c r="Q8" s="53"/>
      <c r="R8" s="53"/>
      <c r="S8" s="53"/>
      <c r="T8" s="53"/>
      <c r="U8" s="53"/>
    </row>
    <row r="9" spans="1:21" ht="50.4" x14ac:dyDescent="0.65">
      <c r="A9" s="63" t="s">
        <v>271</v>
      </c>
      <c r="B9" s="69">
        <f t="shared" ref="B9:F9" si="2">100000*B8</f>
        <v>3000000</v>
      </c>
      <c r="C9" s="69">
        <f t="shared" si="2"/>
        <v>3624801.328689314</v>
      </c>
      <c r="D9" s="69">
        <f t="shared" si="2"/>
        <v>1668127.0043316085</v>
      </c>
      <c r="E9" s="69">
        <f t="shared" si="2"/>
        <v>1609335.6989350433</v>
      </c>
      <c r="F9" s="69">
        <f t="shared" si="2"/>
        <v>97735.968044033885</v>
      </c>
      <c r="G9" s="63">
        <f t="shared" si="0"/>
        <v>10000000</v>
      </c>
      <c r="H9" s="69"/>
      <c r="I9" s="63" t="s">
        <v>272</v>
      </c>
      <c r="J9" s="69"/>
      <c r="K9" s="53"/>
      <c r="L9" s="53"/>
      <c r="M9" s="53"/>
      <c r="N9" s="53"/>
      <c r="O9" s="53"/>
      <c r="P9" s="53"/>
      <c r="Q9" s="53"/>
      <c r="R9" s="53"/>
      <c r="S9" s="53"/>
      <c r="T9" s="53"/>
      <c r="U9" s="53"/>
    </row>
    <row r="10" spans="1:21" ht="50.4" x14ac:dyDescent="0.65">
      <c r="A10" s="63" t="s">
        <v>273</v>
      </c>
      <c r="B10" s="69">
        <f t="shared" ref="B10:F10" si="3">B9/B13</f>
        <v>348.17958858617936</v>
      </c>
      <c r="C10" s="69">
        <f t="shared" si="3"/>
        <v>2999.5618469004812</v>
      </c>
      <c r="D10" s="69">
        <f t="shared" si="3"/>
        <v>2328.7776602445874</v>
      </c>
      <c r="E10" s="69">
        <f t="shared" si="3"/>
        <v>941.77752881306333</v>
      </c>
      <c r="F10" s="69">
        <f t="shared" si="3"/>
        <v>77.366715329889942</v>
      </c>
      <c r="G10" s="63">
        <f t="shared" si="0"/>
        <v>6695.6633398742015</v>
      </c>
      <c r="H10" s="69"/>
      <c r="I10" s="63" t="s">
        <v>274</v>
      </c>
      <c r="J10" s="63" t="s">
        <v>275</v>
      </c>
      <c r="K10" s="53"/>
      <c r="L10" s="53"/>
      <c r="M10" s="53"/>
      <c r="N10" s="53"/>
      <c r="O10" s="53"/>
      <c r="P10" s="53"/>
      <c r="Q10" s="53"/>
      <c r="R10" s="53"/>
      <c r="S10" s="53"/>
      <c r="T10" s="53"/>
      <c r="U10" s="53"/>
    </row>
    <row r="11" spans="1:21" ht="16.8" x14ac:dyDescent="0.65">
      <c r="A11" s="54"/>
      <c r="B11" s="53"/>
      <c r="C11" s="53"/>
      <c r="D11" s="53"/>
      <c r="E11" s="53"/>
      <c r="F11" s="53"/>
      <c r="G11" s="54"/>
      <c r="H11" s="53"/>
      <c r="I11" s="70"/>
      <c r="J11" s="53"/>
      <c r="K11" s="53"/>
      <c r="L11" s="53"/>
      <c r="M11" s="53"/>
      <c r="N11" s="53"/>
      <c r="O11" s="53"/>
      <c r="P11" s="53"/>
      <c r="Q11" s="53"/>
      <c r="R11" s="53"/>
      <c r="S11" s="53"/>
      <c r="T11" s="53"/>
      <c r="U11" s="53"/>
    </row>
    <row r="12" spans="1:21" ht="16.8" x14ac:dyDescent="0.65">
      <c r="A12" s="161" t="s">
        <v>276</v>
      </c>
      <c r="B12" s="153"/>
      <c r="C12" s="153"/>
      <c r="D12" s="153"/>
      <c r="E12" s="153"/>
      <c r="F12" s="153"/>
      <c r="G12" s="153"/>
      <c r="H12" s="153"/>
      <c r="I12" s="153"/>
      <c r="J12" s="153"/>
      <c r="K12" s="53"/>
      <c r="L12" s="53"/>
      <c r="M12" s="53"/>
      <c r="N12" s="53"/>
      <c r="O12" s="53"/>
      <c r="P12" s="53"/>
      <c r="Q12" s="53"/>
      <c r="R12" s="53"/>
      <c r="S12" s="53"/>
      <c r="T12" s="53"/>
      <c r="U12" s="53"/>
    </row>
    <row r="13" spans="1:21" ht="33.6" x14ac:dyDescent="0.65">
      <c r="A13" s="63" t="s">
        <v>277</v>
      </c>
      <c r="B13" s="71">
        <v>8616.2431639999995</v>
      </c>
      <c r="C13" s="71">
        <v>1208.4436040000001</v>
      </c>
      <c r="D13" s="71">
        <v>716.31011960000001</v>
      </c>
      <c r="E13" s="71">
        <v>1708.8278809999999</v>
      </c>
      <c r="F13" s="71">
        <v>1263.2818600000001</v>
      </c>
      <c r="G13" s="63"/>
      <c r="H13" s="71">
        <v>17670.449219999999</v>
      </c>
      <c r="I13" s="159" t="s">
        <v>278</v>
      </c>
      <c r="J13" s="69"/>
      <c r="K13" s="53"/>
      <c r="L13" s="53"/>
      <c r="M13" s="53"/>
      <c r="N13" s="53"/>
      <c r="O13" s="53"/>
      <c r="P13" s="53"/>
      <c r="Q13" s="53"/>
      <c r="R13" s="53"/>
      <c r="S13" s="53"/>
      <c r="T13" s="53"/>
      <c r="U13" s="53"/>
    </row>
    <row r="14" spans="1:21" ht="33.6" x14ac:dyDescent="0.65">
      <c r="A14" s="63" t="s">
        <v>279</v>
      </c>
      <c r="B14" s="71">
        <v>6107.7001950000003</v>
      </c>
      <c r="C14" s="71">
        <v>1162.788086</v>
      </c>
      <c r="D14" s="71">
        <v>783.41326900000001</v>
      </c>
      <c r="E14" s="71">
        <v>1383.2114260000001</v>
      </c>
      <c r="F14" s="71">
        <v>1347.273682</v>
      </c>
      <c r="G14" s="63"/>
      <c r="H14" s="71">
        <v>18105.300780000001</v>
      </c>
      <c r="I14" s="147"/>
      <c r="J14" s="69"/>
      <c r="K14" s="53"/>
      <c r="L14" s="53"/>
      <c r="M14" s="53"/>
      <c r="N14" s="53"/>
      <c r="O14" s="53"/>
      <c r="P14" s="53"/>
      <c r="Q14" s="53"/>
      <c r="R14" s="53"/>
      <c r="S14" s="53"/>
      <c r="T14" s="53"/>
      <c r="U14" s="53"/>
    </row>
    <row r="15" spans="1:21" ht="33.6" x14ac:dyDescent="0.65">
      <c r="A15" s="63" t="s">
        <v>280</v>
      </c>
      <c r="B15" s="71">
        <v>6121.7890630000002</v>
      </c>
      <c r="C15" s="71">
        <v>1175.8896480000001</v>
      </c>
      <c r="D15" s="71">
        <v>783.6778564</v>
      </c>
      <c r="E15" s="71">
        <v>1397.7021480000001</v>
      </c>
      <c r="F15" s="71">
        <v>1338.1015629999999</v>
      </c>
      <c r="G15" s="63"/>
      <c r="H15" s="71">
        <v>18197.449219999999</v>
      </c>
      <c r="I15" s="147"/>
      <c r="J15" s="69"/>
      <c r="K15" s="53"/>
      <c r="L15" s="53"/>
      <c r="M15" s="53"/>
      <c r="N15" s="53"/>
      <c r="O15" s="53"/>
      <c r="P15" s="53"/>
      <c r="Q15" s="53"/>
      <c r="R15" s="53"/>
      <c r="S15" s="53"/>
      <c r="T15" s="53"/>
      <c r="U15" s="53"/>
    </row>
    <row r="16" spans="1:21" ht="33.6" x14ac:dyDescent="0.65">
      <c r="A16" s="63" t="s">
        <v>281</v>
      </c>
      <c r="B16" s="71">
        <v>8571.9746090000008</v>
      </c>
      <c r="C16" s="71">
        <v>1282.979126</v>
      </c>
      <c r="D16" s="71">
        <v>831.86755370000003</v>
      </c>
      <c r="E16" s="71">
        <v>1452.616943</v>
      </c>
      <c r="F16" s="71">
        <v>3050.2128910000001</v>
      </c>
      <c r="G16" s="63"/>
      <c r="H16" s="71">
        <v>21731.400389999999</v>
      </c>
      <c r="I16" s="147"/>
      <c r="J16" s="69"/>
      <c r="K16" s="53"/>
      <c r="L16" s="53"/>
      <c r="M16" s="53"/>
      <c r="N16" s="53"/>
      <c r="O16" s="53"/>
      <c r="P16" s="53"/>
      <c r="Q16" s="53"/>
      <c r="R16" s="53"/>
      <c r="S16" s="53"/>
      <c r="T16" s="53"/>
      <c r="U16" s="53"/>
    </row>
    <row r="17" spans="1:21" ht="33.6" x14ac:dyDescent="0.65">
      <c r="A17" s="63" t="s">
        <v>282</v>
      </c>
      <c r="B17" s="71">
        <v>8562.9160159999992</v>
      </c>
      <c r="C17" s="71">
        <v>1285.609741</v>
      </c>
      <c r="D17" s="71">
        <v>826.44104000000004</v>
      </c>
      <c r="E17" s="71">
        <v>1460.5726320000001</v>
      </c>
      <c r="F17" s="71">
        <v>2997.445068</v>
      </c>
      <c r="G17" s="63"/>
      <c r="H17" s="71">
        <v>21741.900389999999</v>
      </c>
      <c r="I17" s="147"/>
      <c r="J17" s="69"/>
      <c r="K17" s="53"/>
      <c r="L17" s="53"/>
      <c r="M17" s="53"/>
      <c r="N17" s="53"/>
      <c r="O17" s="53"/>
      <c r="P17" s="53"/>
      <c r="Q17" s="53"/>
      <c r="R17" s="53"/>
      <c r="S17" s="53"/>
      <c r="T17" s="53"/>
      <c r="U17" s="53"/>
    </row>
    <row r="18" spans="1:21" ht="33.6" x14ac:dyDescent="0.65">
      <c r="A18" s="63" t="s">
        <v>283</v>
      </c>
      <c r="B18" s="71">
        <v>6720.5253910000001</v>
      </c>
      <c r="C18" s="71">
        <v>1210.6148679999999</v>
      </c>
      <c r="D18" s="71">
        <v>874.60302730000001</v>
      </c>
      <c r="E18" s="71">
        <v>1825.9617920000001</v>
      </c>
      <c r="F18" s="71">
        <v>7117.1840819999998</v>
      </c>
      <c r="G18" s="63"/>
      <c r="H18" s="71">
        <v>23644.800780000001</v>
      </c>
      <c r="I18" s="147"/>
      <c r="J18" s="69"/>
      <c r="K18" s="53"/>
      <c r="L18" s="53"/>
      <c r="M18" s="53"/>
      <c r="N18" s="53"/>
      <c r="O18" s="53"/>
      <c r="P18" s="53"/>
      <c r="Q18" s="53"/>
      <c r="R18" s="53"/>
      <c r="S18" s="53"/>
      <c r="T18" s="53"/>
      <c r="U18" s="53"/>
    </row>
    <row r="19" spans="1:21" ht="33.6" x14ac:dyDescent="0.65">
      <c r="A19" s="63" t="s">
        <v>284</v>
      </c>
      <c r="B19" s="71">
        <v>6668.3164059999999</v>
      </c>
      <c r="C19" s="71">
        <v>1216.391846</v>
      </c>
      <c r="D19" s="71">
        <v>879.48693849999995</v>
      </c>
      <c r="E19" s="71">
        <v>1828.3900149999999</v>
      </c>
      <c r="F19" s="71">
        <v>7061.9316410000001</v>
      </c>
      <c r="G19" s="63"/>
      <c r="H19" s="71">
        <v>23742.900389999999</v>
      </c>
      <c r="I19" s="147"/>
      <c r="J19" s="69"/>
      <c r="K19" s="53"/>
      <c r="L19" s="53"/>
      <c r="M19" s="53"/>
      <c r="N19" s="53"/>
      <c r="O19" s="53"/>
      <c r="P19" s="53"/>
      <c r="Q19" s="53"/>
      <c r="R19" s="53"/>
      <c r="S19" s="53"/>
      <c r="T19" s="53"/>
      <c r="U19" s="53"/>
    </row>
    <row r="20" spans="1:21" ht="33.6" x14ac:dyDescent="0.65">
      <c r="A20" s="63" t="s">
        <v>285</v>
      </c>
      <c r="B20" s="71">
        <v>5158.5</v>
      </c>
      <c r="C20" s="71">
        <v>1567.5</v>
      </c>
      <c r="D20" s="71">
        <v>1007.599976</v>
      </c>
      <c r="E20" s="71">
        <v>1560.099976</v>
      </c>
      <c r="F20" s="71">
        <v>4250.3999020000001</v>
      </c>
      <c r="G20" s="63"/>
      <c r="H20" s="71">
        <v>26202.949219999999</v>
      </c>
      <c r="I20" s="148"/>
      <c r="J20" s="69"/>
      <c r="K20" s="53"/>
      <c r="L20" s="53"/>
      <c r="M20" s="53"/>
      <c r="N20" s="53"/>
      <c r="O20" s="53"/>
      <c r="P20" s="53"/>
      <c r="Q20" s="53"/>
      <c r="R20" s="53"/>
      <c r="S20" s="53"/>
      <c r="T20" s="53"/>
      <c r="U20" s="53"/>
    </row>
    <row r="21" spans="1:21" ht="33.6" x14ac:dyDescent="0.65">
      <c r="A21" s="63" t="s">
        <v>286</v>
      </c>
      <c r="B21" s="69">
        <f t="shared" ref="B21:F21" si="4">B$10*B13</f>
        <v>3000000</v>
      </c>
      <c r="C21" s="69">
        <f t="shared" si="4"/>
        <v>3624801.328689314</v>
      </c>
      <c r="D21" s="69">
        <f t="shared" si="4"/>
        <v>1668127.0043316085</v>
      </c>
      <c r="E21" s="69">
        <f t="shared" si="4"/>
        <v>1609335.6989350433</v>
      </c>
      <c r="F21" s="69">
        <f t="shared" si="4"/>
        <v>97735.968044033885</v>
      </c>
      <c r="G21" s="63">
        <f t="shared" ref="G21:G28" si="5">SUM(B21:F21)</f>
        <v>10000000</v>
      </c>
      <c r="H21" s="71">
        <v>17670.449219999999</v>
      </c>
      <c r="I21" s="63" t="s">
        <v>287</v>
      </c>
      <c r="J21" s="159" t="s">
        <v>288</v>
      </c>
      <c r="K21" s="53"/>
      <c r="L21" s="53"/>
      <c r="M21" s="53"/>
      <c r="N21" s="53"/>
      <c r="O21" s="53"/>
      <c r="P21" s="53"/>
      <c r="Q21" s="53"/>
      <c r="R21" s="53"/>
      <c r="S21" s="53"/>
      <c r="T21" s="53"/>
      <c r="U21" s="53"/>
    </row>
    <row r="22" spans="1:21" ht="16.8" x14ac:dyDescent="0.65">
      <c r="A22" s="63" t="s">
        <v>289</v>
      </c>
      <c r="B22" s="69">
        <f t="shared" ref="B22:F22" si="6">B$10*B14</f>
        <v>2126576.5411028275</v>
      </c>
      <c r="C22" s="69">
        <f t="shared" si="6"/>
        <v>3487854.7787960358</v>
      </c>
      <c r="D22" s="69">
        <f t="shared" si="6"/>
        <v>1824395.3195863836</v>
      </c>
      <c r="E22" s="69">
        <f t="shared" si="6"/>
        <v>1302677.4386042734</v>
      </c>
      <c r="F22" s="69">
        <f t="shared" si="6"/>
        <v>104234.13942674667</v>
      </c>
      <c r="G22" s="63">
        <f t="shared" si="5"/>
        <v>8845738.2175162677</v>
      </c>
      <c r="H22" s="71">
        <v>18105.300780000001</v>
      </c>
      <c r="I22" s="159" t="s">
        <v>290</v>
      </c>
      <c r="J22" s="147"/>
      <c r="K22" s="53"/>
      <c r="L22" s="53"/>
      <c r="M22" s="53"/>
      <c r="N22" s="53"/>
      <c r="O22" s="53"/>
      <c r="P22" s="53"/>
      <c r="Q22" s="53"/>
      <c r="R22" s="53"/>
      <c r="S22" s="53"/>
      <c r="T22" s="53"/>
      <c r="U22" s="53"/>
    </row>
    <row r="23" spans="1:21" ht="16.8" x14ac:dyDescent="0.65">
      <c r="A23" s="63" t="s">
        <v>291</v>
      </c>
      <c r="B23" s="69">
        <f t="shared" ref="B23:F23" si="7">B$10*B15</f>
        <v>2131481.9973667124</v>
      </c>
      <c r="C23" s="69">
        <f t="shared" si="7"/>
        <v>3527153.7243060372</v>
      </c>
      <c r="D23" s="69">
        <f t="shared" si="7"/>
        <v>1825011.4848126858</v>
      </c>
      <c r="E23" s="69">
        <f t="shared" si="7"/>
        <v>1316324.4749601507</v>
      </c>
      <c r="F23" s="69">
        <f t="shared" si="7"/>
        <v>103524.52270710179</v>
      </c>
      <c r="G23" s="63">
        <f t="shared" si="5"/>
        <v>8903496.2041526865</v>
      </c>
      <c r="H23" s="71">
        <v>18197.449219999999</v>
      </c>
      <c r="I23" s="147"/>
      <c r="J23" s="147"/>
      <c r="K23" s="53"/>
      <c r="L23" s="53"/>
      <c r="M23" s="53"/>
      <c r="N23" s="53"/>
      <c r="O23" s="53"/>
      <c r="P23" s="53"/>
      <c r="Q23" s="53"/>
      <c r="R23" s="53"/>
      <c r="S23" s="53"/>
      <c r="T23" s="53"/>
      <c r="U23" s="53"/>
    </row>
    <row r="24" spans="1:21" ht="16.8" x14ac:dyDescent="0.65">
      <c r="A24" s="63" t="s">
        <v>292</v>
      </c>
      <c r="B24" s="69">
        <f t="shared" ref="B24:F24" si="8">B$10*B16</f>
        <v>2984586.592732796</v>
      </c>
      <c r="C24" s="69">
        <f t="shared" si="8"/>
        <v>3848375.2367193252</v>
      </c>
      <c r="D24" s="69">
        <f t="shared" si="8"/>
        <v>1937234.5753388747</v>
      </c>
      <c r="E24" s="69">
        <f t="shared" si="8"/>
        <v>1368041.9948905264</v>
      </c>
      <c r="F24" s="69">
        <f t="shared" si="8"/>
        <v>235984.95243355763</v>
      </c>
      <c r="G24" s="63">
        <f t="shared" si="5"/>
        <v>10374223.35211508</v>
      </c>
      <c r="H24" s="71">
        <v>21731.400389999999</v>
      </c>
      <c r="I24" s="147"/>
      <c r="J24" s="147"/>
      <c r="K24" s="53"/>
      <c r="L24" s="53"/>
      <c r="M24" s="53"/>
      <c r="N24" s="53"/>
      <c r="O24" s="53"/>
      <c r="P24" s="53"/>
      <c r="Q24" s="53"/>
      <c r="R24" s="53"/>
      <c r="S24" s="53"/>
      <c r="T24" s="53"/>
      <c r="U24" s="53"/>
    </row>
    <row r="25" spans="1:21" ht="16.8" x14ac:dyDescent="0.65">
      <c r="A25" s="63" t="s">
        <v>293</v>
      </c>
      <c r="B25" s="69">
        <f t="shared" ref="B25:F25" si="9">B$10*B17</f>
        <v>2981432.5755488859</v>
      </c>
      <c r="C25" s="69">
        <f t="shared" si="9"/>
        <v>3856265.9291072092</v>
      </c>
      <c r="D25" s="69">
        <f t="shared" si="9"/>
        <v>1924597.4314613035</v>
      </c>
      <c r="E25" s="69">
        <f t="shared" si="9"/>
        <v>1375534.4840169519</v>
      </c>
      <c r="F25" s="69">
        <f t="shared" si="9"/>
        <v>231902.4792929386</v>
      </c>
      <c r="G25" s="63">
        <f t="shared" si="5"/>
        <v>10369732.899427289</v>
      </c>
      <c r="H25" s="71">
        <v>21741.900389999999</v>
      </c>
      <c r="I25" s="147"/>
      <c r="J25" s="147"/>
      <c r="K25" s="53"/>
      <c r="L25" s="53"/>
      <c r="M25" s="53"/>
      <c r="N25" s="53"/>
      <c r="O25" s="53"/>
      <c r="P25" s="53"/>
      <c r="Q25" s="53"/>
      <c r="R25" s="53"/>
      <c r="S25" s="53"/>
      <c r="T25" s="53"/>
      <c r="U25" s="53"/>
    </row>
    <row r="26" spans="1:21" ht="16.8" x14ac:dyDescent="0.65">
      <c r="A26" s="63" t="s">
        <v>294</v>
      </c>
      <c r="B26" s="69">
        <f t="shared" ref="B26:F26" si="10">B$10*B18</f>
        <v>2339949.7657213523</v>
      </c>
      <c r="C26" s="69">
        <f t="shared" si="10"/>
        <v>3631314.169343262</v>
      </c>
      <c r="D26" s="69">
        <f t="shared" si="10"/>
        <v>2036755.9915585271</v>
      </c>
      <c r="E26" s="69">
        <f t="shared" si="10"/>
        <v>1719649.7841768328</v>
      </c>
      <c r="F26" s="69">
        <f t="shared" si="10"/>
        <v>550633.154822518</v>
      </c>
      <c r="G26" s="63">
        <f t="shared" si="5"/>
        <v>10278302.865622491</v>
      </c>
      <c r="H26" s="71">
        <v>23644.800780000001</v>
      </c>
      <c r="I26" s="147"/>
      <c r="J26" s="147"/>
      <c r="K26" s="53"/>
      <c r="L26" s="53"/>
      <c r="M26" s="53"/>
      <c r="N26" s="53"/>
      <c r="O26" s="53"/>
      <c r="P26" s="53"/>
      <c r="Q26" s="53"/>
      <c r="R26" s="53"/>
      <c r="S26" s="53"/>
      <c r="T26" s="53"/>
      <c r="U26" s="53"/>
    </row>
    <row r="27" spans="1:21" ht="16.8" x14ac:dyDescent="0.65">
      <c r="A27" s="63" t="s">
        <v>295</v>
      </c>
      <c r="B27" s="69">
        <f t="shared" ref="B27:F27" si="11">B$10*B19</f>
        <v>2321771.6628035503</v>
      </c>
      <c r="C27" s="69">
        <f t="shared" si="11"/>
        <v>3648642.5721424455</v>
      </c>
      <c r="D27" s="69">
        <f t="shared" si="11"/>
        <v>2048129.5348557052</v>
      </c>
      <c r="E27" s="69">
        <f t="shared" si="11"/>
        <v>1721936.6300331797</v>
      </c>
      <c r="F27" s="69">
        <f t="shared" si="11"/>
        <v>546358.45494838955</v>
      </c>
      <c r="G27" s="63">
        <f t="shared" si="5"/>
        <v>10286838.854783271</v>
      </c>
      <c r="H27" s="71">
        <v>23742.900389999999</v>
      </c>
      <c r="I27" s="147"/>
      <c r="J27" s="147"/>
      <c r="K27" s="53"/>
      <c r="L27" s="53"/>
      <c r="M27" s="53"/>
      <c r="N27" s="53"/>
      <c r="O27" s="53"/>
      <c r="P27" s="53"/>
      <c r="Q27" s="53"/>
      <c r="R27" s="53"/>
      <c r="S27" s="53"/>
      <c r="T27" s="53"/>
      <c r="U27" s="53"/>
    </row>
    <row r="28" spans="1:21" ht="16.8" x14ac:dyDescent="0.65">
      <c r="A28" s="63" t="s">
        <v>296</v>
      </c>
      <c r="B28" s="69">
        <f t="shared" ref="B28:F28" si="12">B$10*B20</f>
        <v>1796084.4077218063</v>
      </c>
      <c r="C28" s="69">
        <f t="shared" si="12"/>
        <v>4701813.1950165043</v>
      </c>
      <c r="D28" s="69">
        <f t="shared" si="12"/>
        <v>2346476.3145717825</v>
      </c>
      <c r="E28" s="69">
        <f t="shared" si="12"/>
        <v>1469267.1000985994</v>
      </c>
      <c r="F28" s="69">
        <f t="shared" si="12"/>
        <v>328839.4792562261</v>
      </c>
      <c r="G28" s="63">
        <f t="shared" si="5"/>
        <v>10642480.496664917</v>
      </c>
      <c r="H28" s="71">
        <v>26202.949219999999</v>
      </c>
      <c r="I28" s="148"/>
      <c r="J28" s="148"/>
      <c r="K28" s="53"/>
      <c r="L28" s="53"/>
      <c r="M28" s="53"/>
      <c r="N28" s="53"/>
      <c r="O28" s="53"/>
      <c r="P28" s="53"/>
      <c r="Q28" s="53"/>
      <c r="R28" s="53"/>
      <c r="S28" s="53"/>
      <c r="T28" s="53"/>
      <c r="U28" s="53"/>
    </row>
    <row r="29" spans="1:21" ht="16.8" x14ac:dyDescent="0.65">
      <c r="A29" s="54"/>
      <c r="B29" s="54"/>
      <c r="C29" s="54"/>
      <c r="D29" s="54"/>
      <c r="E29" s="54"/>
      <c r="F29" s="54"/>
      <c r="G29" s="54"/>
      <c r="H29" s="54"/>
      <c r="I29" s="54"/>
      <c r="J29" s="54"/>
      <c r="K29" s="53"/>
      <c r="L29" s="53"/>
      <c r="M29" s="53"/>
      <c r="N29" s="53"/>
      <c r="O29" s="53"/>
      <c r="P29" s="53"/>
      <c r="Q29" s="53"/>
      <c r="R29" s="53"/>
      <c r="S29" s="53"/>
      <c r="T29" s="53"/>
      <c r="U29" s="53"/>
    </row>
    <row r="30" spans="1:21" ht="16.8" x14ac:dyDescent="0.65">
      <c r="A30" s="161" t="s">
        <v>297</v>
      </c>
      <c r="B30" s="153"/>
      <c r="C30" s="153"/>
      <c r="D30" s="153"/>
      <c r="E30" s="153"/>
      <c r="F30" s="153"/>
      <c r="G30" s="153"/>
      <c r="H30" s="153"/>
      <c r="I30" s="153"/>
      <c r="J30" s="153"/>
      <c r="K30" s="53"/>
      <c r="L30" s="53"/>
      <c r="M30" s="53"/>
      <c r="N30" s="53"/>
      <c r="O30" s="53"/>
      <c r="P30" s="53"/>
      <c r="Q30" s="53"/>
      <c r="R30" s="53"/>
      <c r="S30" s="53"/>
      <c r="T30" s="53"/>
      <c r="U30" s="53"/>
    </row>
    <row r="31" spans="1:21" ht="67.2" x14ac:dyDescent="0.65">
      <c r="A31" s="63" t="s">
        <v>298</v>
      </c>
      <c r="B31" s="69">
        <f t="shared" ref="B31:G31" si="13">(B22-B21)/B21*100</f>
        <v>-29.114115296572418</v>
      </c>
      <c r="C31" s="69">
        <f t="shared" si="13"/>
        <v>-3.7780429180872224</v>
      </c>
      <c r="D31" s="69">
        <f t="shared" si="13"/>
        <v>9.3678907450688556</v>
      </c>
      <c r="E31" s="69">
        <f t="shared" si="13"/>
        <v>-19.054959169407415</v>
      </c>
      <c r="F31" s="69">
        <f t="shared" si="13"/>
        <v>6.6487000771150093</v>
      </c>
      <c r="G31" s="63">
        <f t="shared" si="13"/>
        <v>-11.542617824837324</v>
      </c>
      <c r="H31" s="69">
        <f>(H14-H13)/H13*100</f>
        <v>2.4608970297587196</v>
      </c>
      <c r="I31" s="63" t="s">
        <v>299</v>
      </c>
      <c r="J31" s="159" t="s">
        <v>300</v>
      </c>
      <c r="K31" s="53"/>
      <c r="L31" s="53"/>
      <c r="M31" s="53"/>
      <c r="N31" s="53"/>
      <c r="O31" s="53"/>
      <c r="P31" s="53"/>
      <c r="Q31" s="53"/>
      <c r="R31" s="53"/>
      <c r="S31" s="53"/>
      <c r="T31" s="53"/>
      <c r="U31" s="53"/>
    </row>
    <row r="32" spans="1:21" ht="84" x14ac:dyDescent="0.65">
      <c r="A32" s="63" t="s">
        <v>301</v>
      </c>
      <c r="B32" s="69">
        <f t="shared" ref="B32:H32" si="14">(B24-B23)/B23*100</f>
        <v>40.02401129449045</v>
      </c>
      <c r="C32" s="69">
        <f t="shared" si="14"/>
        <v>9.1071027100325175</v>
      </c>
      <c r="D32" s="69">
        <f t="shared" si="14"/>
        <v>6.1491717427579493</v>
      </c>
      <c r="E32" s="69">
        <f t="shared" si="14"/>
        <v>3.9289340063316374</v>
      </c>
      <c r="F32" s="69">
        <f t="shared" si="14"/>
        <v>127.95077558697987</v>
      </c>
      <c r="G32" s="69">
        <f t="shared" si="14"/>
        <v>16.518535126419554</v>
      </c>
      <c r="H32" s="69">
        <f t="shared" si="14"/>
        <v>19.420035892261168</v>
      </c>
      <c r="I32" s="63" t="s">
        <v>302</v>
      </c>
      <c r="J32" s="147"/>
      <c r="K32" s="53"/>
      <c r="L32" s="53"/>
      <c r="M32" s="53"/>
      <c r="N32" s="53"/>
      <c r="O32" s="53"/>
      <c r="P32" s="53"/>
      <c r="Q32" s="53"/>
      <c r="R32" s="53"/>
      <c r="S32" s="53"/>
      <c r="T32" s="53"/>
      <c r="U32" s="53"/>
    </row>
    <row r="33" spans="1:21" ht="84" x14ac:dyDescent="0.65">
      <c r="A33" s="63" t="s">
        <v>303</v>
      </c>
      <c r="B33" s="69">
        <f t="shared" ref="B33:H33" si="15">(B26-B25)/B25*100</f>
        <v>-21.515925434249866</v>
      </c>
      <c r="C33" s="69">
        <f t="shared" si="15"/>
        <v>-5.8334088960516102</v>
      </c>
      <c r="D33" s="69">
        <f t="shared" si="15"/>
        <v>5.8276374198454652</v>
      </c>
      <c r="E33" s="69">
        <f t="shared" si="15"/>
        <v>25.016842846059834</v>
      </c>
      <c r="F33" s="69">
        <f t="shared" si="15"/>
        <v>137.44168518653896</v>
      </c>
      <c r="G33" s="69">
        <f t="shared" si="15"/>
        <v>-0.88170095306744201</v>
      </c>
      <c r="H33" s="69">
        <f t="shared" si="15"/>
        <v>8.7522266033158047</v>
      </c>
      <c r="I33" s="63" t="s">
        <v>304</v>
      </c>
      <c r="J33" s="147"/>
      <c r="K33" s="53"/>
      <c r="L33" s="53"/>
      <c r="M33" s="53"/>
      <c r="N33" s="53"/>
      <c r="O33" s="53"/>
      <c r="P33" s="53"/>
      <c r="Q33" s="53"/>
      <c r="R33" s="53"/>
      <c r="S33" s="53"/>
      <c r="T33" s="53"/>
      <c r="U33" s="53"/>
    </row>
    <row r="34" spans="1:21" ht="84" x14ac:dyDescent="0.65">
      <c r="A34" s="63" t="s">
        <v>305</v>
      </c>
      <c r="B34" s="69">
        <f t="shared" ref="B34:H34" si="16">(B28-B27)/B27*100</f>
        <v>-22.641643168604016</v>
      </c>
      <c r="C34" s="69">
        <f t="shared" si="16"/>
        <v>28.864724402304166</v>
      </c>
      <c r="D34" s="69">
        <f t="shared" si="16"/>
        <v>14.566792511836727</v>
      </c>
      <c r="E34" s="69">
        <f t="shared" si="16"/>
        <v>-14.673567280446992</v>
      </c>
      <c r="F34" s="69">
        <f t="shared" si="16"/>
        <v>-39.812502894772784</v>
      </c>
      <c r="G34" s="69">
        <f t="shared" si="16"/>
        <v>3.4572490820761423</v>
      </c>
      <c r="H34" s="69">
        <f t="shared" si="16"/>
        <v>10.361197619462361</v>
      </c>
      <c r="I34" s="63" t="s">
        <v>306</v>
      </c>
      <c r="J34" s="148"/>
      <c r="K34" s="53"/>
      <c r="L34" s="53"/>
      <c r="M34" s="53"/>
      <c r="N34" s="53"/>
      <c r="O34" s="53"/>
      <c r="P34" s="53"/>
      <c r="Q34" s="53"/>
      <c r="R34" s="53"/>
      <c r="S34" s="53"/>
      <c r="T34" s="53"/>
      <c r="U34" s="53"/>
    </row>
    <row r="35" spans="1:21" ht="16.8" x14ac:dyDescent="0.65">
      <c r="A35" s="54"/>
      <c r="B35" s="53"/>
      <c r="C35" s="53"/>
      <c r="D35" s="53"/>
      <c r="E35" s="53"/>
      <c r="F35" s="53"/>
      <c r="G35" s="53"/>
      <c r="H35" s="53"/>
      <c r="I35" s="54"/>
      <c r="J35" s="54"/>
      <c r="K35" s="53"/>
      <c r="L35" s="53"/>
      <c r="M35" s="53"/>
      <c r="N35" s="53"/>
      <c r="O35" s="53"/>
      <c r="P35" s="53"/>
      <c r="Q35" s="53"/>
      <c r="R35" s="53"/>
      <c r="S35" s="53"/>
      <c r="T35" s="53"/>
      <c r="U35" s="53"/>
    </row>
    <row r="36" spans="1:21" ht="16.8" x14ac:dyDescent="0.65">
      <c r="A36" s="161" t="s">
        <v>307</v>
      </c>
      <c r="B36" s="153"/>
      <c r="C36" s="153"/>
      <c r="D36" s="153"/>
      <c r="E36" s="153"/>
      <c r="F36" s="153"/>
      <c r="G36" s="153"/>
      <c r="H36" s="153"/>
      <c r="I36" s="153"/>
      <c r="J36" s="153"/>
      <c r="K36" s="53"/>
      <c r="L36" s="53"/>
      <c r="M36" s="53"/>
      <c r="N36" s="53"/>
      <c r="O36" s="53"/>
      <c r="P36" s="53"/>
      <c r="Q36" s="53"/>
      <c r="R36" s="53"/>
      <c r="S36" s="53"/>
      <c r="T36" s="53"/>
      <c r="U36" s="53"/>
    </row>
    <row r="37" spans="1:21" ht="84" x14ac:dyDescent="0.65">
      <c r="A37" s="63" t="s">
        <v>308</v>
      </c>
      <c r="B37" s="69">
        <f>'Stock Price from 1 April 2022 t'!F911</f>
        <v>-9.2465163631213709</v>
      </c>
      <c r="C37" s="69">
        <f>'Stock Price from 1 April 2022 t'!M911</f>
        <v>10.09231960708361</v>
      </c>
      <c r="D37" s="69">
        <f>'Stock Price from 1 April 2022 t'!T911</f>
        <v>12.206829764975268</v>
      </c>
      <c r="E37" s="69">
        <f>'Stock Price from 1 April 2022 t'!AA911</f>
        <v>0.51480372464629554</v>
      </c>
      <c r="F37" s="69">
        <f>'Stock Price from 1 April 2022 t'!AH911</f>
        <v>48.880525210366166</v>
      </c>
      <c r="G37" s="69">
        <f>'Stock Price from 1 April 2022 t'!AJ911</f>
        <v>3.0136740010260787</v>
      </c>
      <c r="H37" s="69">
        <f>'Stock Price from 1 April 2022 t'!AS911</f>
        <v>12.131736662386627</v>
      </c>
      <c r="I37" s="63" t="s">
        <v>309</v>
      </c>
      <c r="J37" s="63" t="s">
        <v>310</v>
      </c>
      <c r="K37" s="53"/>
      <c r="L37" s="53"/>
      <c r="M37" s="53"/>
      <c r="N37" s="53"/>
      <c r="O37" s="53"/>
      <c r="P37" s="53"/>
      <c r="Q37" s="53"/>
      <c r="R37" s="53"/>
      <c r="S37" s="53"/>
      <c r="T37" s="53"/>
      <c r="U37" s="53"/>
    </row>
    <row r="38" spans="1:21" ht="84" x14ac:dyDescent="0.65">
      <c r="A38" s="63" t="s">
        <v>311</v>
      </c>
      <c r="B38" s="69">
        <f>'Stock Price from 1 April 2022 t'!F912</f>
        <v>30.596816491511873</v>
      </c>
      <c r="C38" s="69">
        <f>'Stock Price from 1 April 2022 t'!M912</f>
        <v>21.537311135522007</v>
      </c>
      <c r="D38" s="69">
        <f>'Stock Price from 1 April 2022 t'!T912</f>
        <v>20.028048735258945</v>
      </c>
      <c r="E38" s="69">
        <f>'Stock Price from 1 April 2022 t'!AA912</f>
        <v>24.813128203498088</v>
      </c>
      <c r="F38" s="69">
        <f>'Stock Price from 1 April 2022 t'!AH912</f>
        <v>34.568796683733346</v>
      </c>
      <c r="G38" s="69">
        <f>'Stock Price from 1 April 2022 t'!AJ912</f>
        <v>16.726027787873125</v>
      </c>
      <c r="H38" s="69">
        <f>'Stock Price from 1 April 2022 t'!AS912</f>
        <v>12.901206801936052</v>
      </c>
      <c r="I38" s="63" t="s">
        <v>312</v>
      </c>
      <c r="J38" s="63" t="s">
        <v>310</v>
      </c>
      <c r="K38" s="53"/>
      <c r="L38" s="53"/>
      <c r="M38" s="53"/>
      <c r="N38" s="53"/>
      <c r="O38" s="53"/>
      <c r="P38" s="53"/>
      <c r="Q38" s="53"/>
      <c r="R38" s="53"/>
      <c r="S38" s="53"/>
      <c r="T38" s="53"/>
      <c r="U38" s="53"/>
    </row>
    <row r="39" spans="1:21" ht="67.2" x14ac:dyDescent="0.65">
      <c r="A39" s="63" t="s">
        <v>313</v>
      </c>
      <c r="B39" s="69">
        <f>((AVERAGE('Stock Price from 1 April 2022 t'!F6:F191)+1)^252-1)*100</f>
        <v>-31.950346873103761</v>
      </c>
      <c r="C39" s="69">
        <f>((AVERAGE('Stock Price from 1 April 2022 t'!M6:M191)+1)^252-1)*100</f>
        <v>-1.8390761476081763</v>
      </c>
      <c r="D39" s="69">
        <f>((AVERAGE('Stock Price from 1 April 2022 t'!T6:T191)+1)^252-1)*100</f>
        <v>16.349157569583639</v>
      </c>
      <c r="E39" s="69">
        <f>((AVERAGE('Stock Price from 1 April 2022 t'!AA6:AA191)+1)^252-1)*100</f>
        <v>-21.947327421596807</v>
      </c>
      <c r="F39" s="69">
        <f>((AVERAGE('Stock Price from 1 April 2022 t'!AH6:AH191)+1)^252-1)*100</f>
        <v>15.173565792224952</v>
      </c>
      <c r="G39" s="69">
        <f>((AVERAGE('Stock Price from 1 April 2022 t'!AJ6:AJ191)+1)^252-1)*100</f>
        <v>-12.660312136245278</v>
      </c>
      <c r="H39" s="69">
        <f>((AVERAGE('Stock Price from 1 April 2022 t'!AS6:AS191)+1)^252-1)*100</f>
        <v>4.6003415817420956</v>
      </c>
      <c r="I39" s="63" t="s">
        <v>314</v>
      </c>
      <c r="J39" s="69"/>
      <c r="K39" s="53"/>
      <c r="L39" s="53"/>
      <c r="M39" s="53"/>
      <c r="N39" s="53"/>
      <c r="O39" s="53"/>
      <c r="P39" s="53"/>
      <c r="Q39" s="53"/>
      <c r="R39" s="53"/>
      <c r="S39" s="53"/>
      <c r="T39" s="53"/>
      <c r="U39" s="53"/>
    </row>
    <row r="40" spans="1:21" ht="84" x14ac:dyDescent="0.65">
      <c r="A40" s="63" t="s">
        <v>315</v>
      </c>
      <c r="B40" s="69">
        <f>((AVERAGE('Stock Price from 1 April 2022 t'!F192:F436)+1)^252-1)*100</f>
        <v>44.68629004547671</v>
      </c>
      <c r="C40" s="69">
        <f>((AVERAGE('Stock Price from 1 April 2022 t'!M192:M436)+1)^252-1)*100</f>
        <v>12.414669260325638</v>
      </c>
      <c r="D40" s="69">
        <f>((AVERAGE('Stock Price from 1 April 2022 t'!T192:T436)+1)^252-1)*100</f>
        <v>7.9406411743742966</v>
      </c>
      <c r="E40" s="69">
        <f>((AVERAGE('Stock Price from 1 April 2022 t'!AA192:AA436)+1)^252-1)*100</f>
        <v>8.0961400282896445</v>
      </c>
      <c r="F40" s="69">
        <f>((AVERAGE('Stock Price from 1 April 2022 t'!AH192:AH436)+1)^252-1)*100</f>
        <v>139.13309158719488</v>
      </c>
      <c r="G40" s="69">
        <f>((AVERAGE('Stock Price from 1 April 2022 t'!AJ192:AJ436)+1)^252-1)*100</f>
        <v>20.571753249055959</v>
      </c>
      <c r="H40" s="69">
        <f>((AVERAGE('Stock Price from 1 April 2022 t'!AS192:AS436)+1)^252-1)*100</f>
        <v>21.224625471293379</v>
      </c>
      <c r="I40" s="63" t="s">
        <v>316</v>
      </c>
      <c r="J40" s="69"/>
      <c r="K40" s="53"/>
      <c r="L40" s="53"/>
      <c r="M40" s="53"/>
      <c r="N40" s="53"/>
      <c r="O40" s="53"/>
      <c r="P40" s="53"/>
      <c r="Q40" s="53"/>
      <c r="R40" s="53"/>
      <c r="S40" s="53"/>
      <c r="T40" s="53"/>
      <c r="U40" s="53"/>
    </row>
    <row r="41" spans="1:21" ht="67.2" x14ac:dyDescent="0.65">
      <c r="A41" s="63" t="s">
        <v>317</v>
      </c>
      <c r="B41" s="69">
        <f>((AVERAGE('Stock Price from 1 April 2022 t'!F437:F682)+1)^252-1)*100</f>
        <v>-18.155404446750012</v>
      </c>
      <c r="C41" s="69">
        <f>((AVERAGE('Stock Price from 1 April 2022 t'!M437:M682)+1)^252-1)*100</f>
        <v>-3.2449370137725642</v>
      </c>
      <c r="D41" s="69">
        <f>((AVERAGE('Stock Price from 1 April 2022 t'!T437:T682)+1)^252-1)*100</f>
        <v>7.9181745937865422</v>
      </c>
      <c r="E41" s="69">
        <f>((AVERAGE('Stock Price from 1 April 2022 t'!AA437:AA682)+1)^252-1)*100</f>
        <v>29.687633337935114</v>
      </c>
      <c r="F41" s="69">
        <f>((AVERAGE('Stock Price from 1 April 2022 t'!AH437:AH682)+1)^252-1)*100</f>
        <v>155.23309259713037</v>
      </c>
      <c r="G41" s="69">
        <f>((AVERAGE('Stock Price from 1 April 2022 t'!AJ437:AJ682)+1)^252-1)*100</f>
        <v>-0.82566998260599211</v>
      </c>
      <c r="H41" s="69">
        <f>((AVERAGE('Stock Price from 1 April 2022 t'!AS437:AS682)+1)^252-1)*100</f>
        <v>10.241484359411434</v>
      </c>
      <c r="I41" s="63" t="s">
        <v>318</v>
      </c>
      <c r="J41" s="69"/>
      <c r="K41" s="53"/>
      <c r="L41" s="53"/>
      <c r="M41" s="53"/>
      <c r="N41" s="53"/>
      <c r="O41" s="53"/>
      <c r="P41" s="53"/>
      <c r="Q41" s="53"/>
      <c r="R41" s="53"/>
      <c r="S41" s="53"/>
      <c r="T41" s="53"/>
      <c r="U41" s="53"/>
    </row>
    <row r="42" spans="1:21" ht="84" x14ac:dyDescent="0.65">
      <c r="A42" s="63" t="s">
        <v>319</v>
      </c>
      <c r="B42" s="69">
        <f>((AVERAGE('Stock Price from 1 April 2022 t'!F683:F908)+1)^252-1)*100</f>
        <v>-22.423989299032389</v>
      </c>
      <c r="C42" s="69">
        <f>((AVERAGE('Stock Price from 1 April 2022 t'!M683:M908)+1)^252-1)*100</f>
        <v>36.116918254145162</v>
      </c>
      <c r="D42" s="69">
        <f>((AVERAGE('Stock Price from 1 April 2022 t'!T683:T908)+1)^252-1)*100</f>
        <v>18.502520439402794</v>
      </c>
      <c r="E42" s="69">
        <f>((AVERAGE('Stock Price from 1 April 2022 t'!AA683:AA908)+1)^252-1)*100</f>
        <v>-13.342998214652601</v>
      </c>
      <c r="F42" s="69">
        <f>((AVERAGE('Stock Price from 1 April 2022 t'!AH683:AH908)+1)^252-1)*100</f>
        <v>-38.982072471522258</v>
      </c>
      <c r="G42" s="69">
        <f>((AVERAGE('Stock Price from 1 April 2022 t'!AJ683:AJ908)+1)^252-1)*100</f>
        <v>3.6824764343032168</v>
      </c>
      <c r="H42" s="69">
        <f>((AVERAGE('Stock Price from 1 April 2022 t'!AS683:AS908)+1)^252-1)*100</f>
        <v>11.147063036625827</v>
      </c>
      <c r="I42" s="63" t="s">
        <v>320</v>
      </c>
      <c r="J42" s="69"/>
      <c r="K42" s="53"/>
      <c r="L42" s="53"/>
      <c r="M42" s="53"/>
      <c r="N42" s="53"/>
      <c r="O42" s="53"/>
      <c r="P42" s="53"/>
      <c r="Q42" s="53"/>
      <c r="R42" s="53"/>
      <c r="S42" s="53"/>
      <c r="T42" s="53"/>
      <c r="U42" s="53"/>
    </row>
    <row r="43" spans="1:21" ht="33.6" x14ac:dyDescent="0.65">
      <c r="A43" s="63" t="s">
        <v>321</v>
      </c>
      <c r="B43" s="69">
        <f>(STDEV('Stock Price from 1 April 2022 t'!F6:F191)*SQRT(252)*100)</f>
        <v>40.575001217513481</v>
      </c>
      <c r="C43" s="69">
        <f>(STDEV('Stock Price from 1 April 2022 t'!M6:M191)*SQRT(252)*100)</f>
        <v>25.884745784762149</v>
      </c>
      <c r="D43" s="69">
        <f>(STDEV('Stock Price from 1 April 2022 t'!T6:T191)*SQRT(252)*100)</f>
        <v>24.619298369485566</v>
      </c>
      <c r="E43" s="69">
        <f>(STDEV('Stock Price from 1 April 2022 t'!AA6:AA191)*SQRT(252)*100)</f>
        <v>27.945643035597882</v>
      </c>
      <c r="F43" s="69">
        <f>(STDEV('Stock Price from 1 April 2022 t'!AH6:AH191)*SQRT(252)*100)</f>
        <v>32.856706222910688</v>
      </c>
      <c r="G43" s="69">
        <f>(STDEV('Stock Price from 1 April 2022 t'!AJ6:AJ191)*SQRT(252)*100)</f>
        <v>20.732812597480237</v>
      </c>
      <c r="H43" s="69">
        <f>(STDEV('Stock Price from 1 April 2022 t'!AS6:AS191)*SQRT(252)*100)</f>
        <v>15.617383942919997</v>
      </c>
      <c r="I43" s="159" t="s">
        <v>322</v>
      </c>
      <c r="J43" s="69"/>
      <c r="K43" s="53"/>
      <c r="L43" s="53"/>
      <c r="M43" s="53"/>
      <c r="N43" s="53"/>
      <c r="O43" s="53"/>
      <c r="P43" s="53"/>
      <c r="Q43" s="53"/>
      <c r="R43" s="53"/>
      <c r="S43" s="53"/>
      <c r="T43" s="53"/>
      <c r="U43" s="53"/>
    </row>
    <row r="44" spans="1:21" ht="50.4" x14ac:dyDescent="0.65">
      <c r="A44" s="63" t="s">
        <v>323</v>
      </c>
      <c r="B44" s="69">
        <f>(STDEV('Stock Price from 1 April 2022 t'!F192:F436)*SQRT(252)*100)</f>
        <v>20.578339395385207</v>
      </c>
      <c r="C44" s="69">
        <f>(STDEV('Stock Price from 1 April 2022 t'!M192:M436)*SQRT(252)*100)</f>
        <v>17.418984587941441</v>
      </c>
      <c r="D44" s="69">
        <f>(STDEV('Stock Price from 1 April 2022 t'!T92:T436)*SQRT(252)*100)</f>
        <v>17.798203765267157</v>
      </c>
      <c r="E44" s="69">
        <f>(STDEV('Stock Price from 1 April 2022 t'!AA192:AA436)*SQRT(252)*100)</f>
        <v>23.301968098926171</v>
      </c>
      <c r="F44" s="69">
        <f>(STDEV('Stock Price from 1 April 2022 t'!AH192:AH436)*SQRT(252)*100)</f>
        <v>25.568755254135883</v>
      </c>
      <c r="G44" s="69">
        <f>(STDEV('Stock Price from 1 April 2022 t'!AJ192:AJ436)*SQRT(252)*100)</f>
        <v>12.776115720488137</v>
      </c>
      <c r="H44" s="69">
        <f>(STDEV('Stock Price from 1 April 2022 t'!AS192:AS436)*SQRT(252)*100)</f>
        <v>9.8146234727067885</v>
      </c>
      <c r="I44" s="147"/>
      <c r="J44" s="69"/>
      <c r="K44" s="53"/>
      <c r="L44" s="53"/>
      <c r="M44" s="53"/>
      <c r="N44" s="53"/>
      <c r="O44" s="53"/>
      <c r="P44" s="53"/>
      <c r="Q44" s="53"/>
      <c r="R44" s="53"/>
      <c r="S44" s="53"/>
      <c r="T44" s="53"/>
      <c r="U44" s="53"/>
    </row>
    <row r="45" spans="1:21" ht="50.4" x14ac:dyDescent="0.65">
      <c r="A45" s="63" t="s">
        <v>324</v>
      </c>
      <c r="B45" s="69">
        <f>(STDEV('Stock Price from 1 April 2022 t'!F437:F682)*SQRT(252)*100)</f>
        <v>31.89606564489878</v>
      </c>
      <c r="C45" s="69">
        <f>(STDEV('Stock Price from 1 April 2022 t'!M437:M682)*SQRT(252)*100)</f>
        <v>22.906085200955868</v>
      </c>
      <c r="D45" s="69">
        <f>(STDEV('Stock Price from 1 April 2022 t'!T437:T682)*SQRT(252)*100)</f>
        <v>22.373695443642706</v>
      </c>
      <c r="E45" s="69">
        <f>(STDEV('Stock Price from 1 April 2022 t'!AA437:AA682)*SQRT(252)*100)</f>
        <v>22.873176472698745</v>
      </c>
      <c r="F45" s="69">
        <f>(STDEV('Stock Price from 1 April 2022 t'!AH437:AH682)*SQRT(252)*100)</f>
        <v>37.937782052174917</v>
      </c>
      <c r="G45" s="69">
        <f>(STDEV('Stock Price from 1 April 2022 t'!AJ437:AJ682)*SQRT(252)*100)</f>
        <v>16.752291579754942</v>
      </c>
      <c r="H45" s="69">
        <f>(STDEV('Stock Price from 1 April 2022 t'!AS437:AS682)*SQRT(252)*100)</f>
        <v>14.067891114808873</v>
      </c>
      <c r="I45" s="147"/>
      <c r="J45" s="69"/>
      <c r="K45" s="53"/>
      <c r="L45" s="53"/>
      <c r="M45" s="53"/>
      <c r="N45" s="53"/>
      <c r="O45" s="53"/>
      <c r="P45" s="53"/>
      <c r="Q45" s="53"/>
      <c r="R45" s="53"/>
      <c r="S45" s="53"/>
      <c r="T45" s="53"/>
      <c r="U45" s="53"/>
    </row>
    <row r="46" spans="1:21" ht="50.4" x14ac:dyDescent="0.65">
      <c r="A46" s="63" t="s">
        <v>325</v>
      </c>
      <c r="B46" s="69">
        <f>(STDEV('Stock Price from 1 April 2022 t'!F683:F908)*SQRT(252)*100)</f>
        <v>28.613758947973682</v>
      </c>
      <c r="C46" s="69">
        <f>(STDEV('Stock Price from 1 April 2022 t'!M683:M908)*SQRT(252)*100)</f>
        <v>20.132012837392974</v>
      </c>
      <c r="D46" s="69">
        <f>(STDEV('Stock Price from 1 April 2022 t'!T683:T908)*SQRT(252)*100)</f>
        <v>16.039198574201112</v>
      </c>
      <c r="E46" s="69">
        <f>(STDEV('Stock Price from 1 April 2022 t'!AA683:AA908)*SQRT(252)*100)</f>
        <v>25.721072896324781</v>
      </c>
      <c r="F46" s="69">
        <f>(STDEV('Stock Price from 1 April 2022 t'!AH683:AH908)*SQRT(252)*100)</f>
        <v>39.629754138744609</v>
      </c>
      <c r="G46" s="69">
        <f>(STDEV('Stock Price from 1 April 2022 t'!AJ683:AJ908)*SQRT(252)*100)</f>
        <v>16.836514737967793</v>
      </c>
      <c r="H46" s="69">
        <f>(STDEV('Stock Price from 1 April 2022 t'!AS683:AS908)*SQRT(252)*100)</f>
        <v>12.095710337403572</v>
      </c>
      <c r="I46" s="148"/>
      <c r="J46" s="69"/>
      <c r="K46" s="53"/>
      <c r="L46" s="53"/>
      <c r="M46" s="53"/>
      <c r="N46" s="53"/>
      <c r="O46" s="53"/>
      <c r="P46" s="53"/>
      <c r="Q46" s="53"/>
      <c r="R46" s="53"/>
      <c r="S46" s="53"/>
      <c r="T46" s="53"/>
      <c r="U46" s="53"/>
    </row>
    <row r="47" spans="1:21" ht="67.2" x14ac:dyDescent="0.65">
      <c r="A47" s="63" t="s">
        <v>326</v>
      </c>
      <c r="B47" s="69">
        <f>_xlfn.COVARIANCE.P('Stock Price from 1 April 2022 t'!F6:F908,'Stock Price from 1 April 2022 t'!$AS$6:$AS$908)/VARP('Stock Price from 1 April 2022 t'!F6:F908,'Stock Price from 1 April 2022 t'!$AS$6:$AS$908)</f>
        <v>0.26477508042843312</v>
      </c>
      <c r="C47" s="69">
        <f>_xlfn.COVARIANCE.P('Stock Price from 1 April 2022 t'!M6:M908,'Stock Price from 1 April 2022 t'!$AS$6:$AS$908)/VARP('Stock Price from 1 April 2022 t'!M6:M908,'Stock Price from 1 April 2022 t'!$AS$6:$AS$908)</f>
        <v>0.61367068898115829</v>
      </c>
      <c r="D47" s="69">
        <f>_xlfn.COVARIANCE.P('Stock Price from 1 April 2022 t'!T6:T908,'Stock Price from 1 April 2022 t'!$AS$6:$AS$908)/VARP('Stock Price from 1 April 2022 t'!T6:T908,'Stock Price from 1 April 2022 t'!$AS$6:$AS$908)</f>
        <v>0.6035243431320827</v>
      </c>
      <c r="E47" s="69">
        <f>_xlfn.COVARIANCE.P('Stock Price from 1 April 2022 t'!AA6:AA908,'Stock Price from 1 April 2022 t'!$AS$6:$AS$908)/VARP('Stock Price from 1 April 2022 t'!AA6:AA908,'Stock Price from 1 April 2022 t'!$AS$6:$AS$908)</f>
        <v>0.45969912780958755</v>
      </c>
      <c r="F47" s="69">
        <f>_xlfn.COVARIANCE.P('Stock Price from 1 April 2022 t'!AH6:AH908,'Stock Price from 1 April 2022 t'!$AS$6:$AS$908)/VARP('Stock Price from 1 April 2022 t'!AH6:AH908,'Stock Price from 1 April 2022 t'!$AS$6:$AS$908)</f>
        <v>0.2787338327859738</v>
      </c>
      <c r="G47" s="69">
        <f>_xlfn.COVARIANCE.P('Stock Price from 1 April 2022 t'!AJ6:AJ908,'Stock Price from 1 April 2022 t'!$AS$6:$AS$908)/VARP('Stock Price from 1 April 2022 t'!AJ6:AJ908,'Stock Price from 1 April 2022 t'!$AS$6:$AS$908)</f>
        <v>0.77651721852546474</v>
      </c>
      <c r="H47" s="69">
        <f>_xlfn.COVARIANCE.P('Stock Price from 1 April 2022 t'!AS6:AS908,'Stock Price from 1 April 2022 t'!$AS$6:$AS$908)/VARP('Stock Price from 1 April 2022 t'!AS6:AS908,'Stock Price from 1 April 2022 t'!$AS$6:$AS$908)</f>
        <v>1.0000000000000027</v>
      </c>
      <c r="I47" s="63" t="s">
        <v>327</v>
      </c>
      <c r="J47" s="146" t="s">
        <v>328</v>
      </c>
      <c r="K47" s="53"/>
      <c r="L47" s="53"/>
      <c r="M47" s="53"/>
      <c r="N47" s="53"/>
      <c r="O47" s="53"/>
      <c r="P47" s="53"/>
      <c r="Q47" s="53"/>
      <c r="R47" s="53"/>
      <c r="S47" s="53"/>
      <c r="T47" s="53"/>
      <c r="U47" s="53"/>
    </row>
    <row r="48" spans="1:21" ht="33.6" x14ac:dyDescent="0.65">
      <c r="A48" s="63" t="s">
        <v>329</v>
      </c>
      <c r="B48" s="69"/>
      <c r="C48" s="69"/>
      <c r="D48" s="69"/>
      <c r="E48" s="69"/>
      <c r="F48" s="69"/>
      <c r="G48" s="69">
        <f>_xlfn.COVARIANCE.P('Stock Price from 1 April 2022 t'!AJ6:AJ191,'Stock Price from 1 April 2022 t'!AS6:AS191)/VARP('Stock Price from 1 April 2022 t'!AJ6:AJ191)</f>
        <v>0.5789747110857284</v>
      </c>
      <c r="H48" s="69">
        <v>1</v>
      </c>
      <c r="I48" s="159" t="s">
        <v>330</v>
      </c>
      <c r="J48" s="147"/>
      <c r="K48" s="53"/>
      <c r="L48" s="53"/>
      <c r="M48" s="53"/>
      <c r="N48" s="53"/>
      <c r="O48" s="53"/>
      <c r="P48" s="53"/>
      <c r="Q48" s="53"/>
      <c r="R48" s="53"/>
      <c r="S48" s="53"/>
      <c r="T48" s="53"/>
      <c r="U48" s="53"/>
    </row>
    <row r="49" spans="1:21" ht="33.6" x14ac:dyDescent="0.65">
      <c r="A49" s="63" t="s">
        <v>331</v>
      </c>
      <c r="B49" s="69"/>
      <c r="C49" s="69"/>
      <c r="D49" s="69"/>
      <c r="E49" s="69"/>
      <c r="F49" s="69"/>
      <c r="G49" s="69">
        <f>_xlfn.COVARIANCE.P('Stock Price from 1 April 2022 t'!AJ192:AJ436,'Stock Price from 1 April 2022 t'!AS192:AS436)/VARP('Stock Price from 1 April 2022 t'!AJ192:AJ436)</f>
        <v>0.62429081550467092</v>
      </c>
      <c r="H49" s="69">
        <v>1</v>
      </c>
      <c r="I49" s="147"/>
      <c r="J49" s="147"/>
      <c r="K49" s="53"/>
      <c r="L49" s="53"/>
      <c r="M49" s="53"/>
      <c r="N49" s="53"/>
      <c r="O49" s="53"/>
      <c r="P49" s="53"/>
      <c r="Q49" s="53"/>
      <c r="R49" s="53"/>
      <c r="S49" s="53"/>
      <c r="T49" s="53"/>
      <c r="U49" s="53"/>
    </row>
    <row r="50" spans="1:21" ht="33.6" x14ac:dyDescent="0.65">
      <c r="A50" s="63" t="s">
        <v>332</v>
      </c>
      <c r="B50" s="69"/>
      <c r="C50" s="69"/>
      <c r="D50" s="69"/>
      <c r="E50" s="69"/>
      <c r="F50" s="69"/>
      <c r="G50" s="69">
        <f>_xlfn.COVARIANCE.P('Stock Price from 1 April 2022 t'!AJ437:AJ682,'Stock Price from 1 April 2022 t'!AS437:AS682)/VARP('Stock Price from 1 April 2022 t'!AJ437:AJ682)</f>
        <v>0.66956232741509725</v>
      </c>
      <c r="H50" s="69">
        <v>1</v>
      </c>
      <c r="I50" s="147"/>
      <c r="J50" s="147"/>
      <c r="K50" s="53"/>
      <c r="L50" s="53"/>
      <c r="M50" s="53"/>
      <c r="N50" s="53"/>
      <c r="O50" s="53"/>
      <c r="P50" s="53"/>
      <c r="Q50" s="53"/>
      <c r="R50" s="53"/>
      <c r="S50" s="53"/>
      <c r="T50" s="53"/>
      <c r="U50" s="53"/>
    </row>
    <row r="51" spans="1:21" ht="33.6" x14ac:dyDescent="0.65">
      <c r="A51" s="63" t="s">
        <v>333</v>
      </c>
      <c r="B51" s="69"/>
      <c r="C51" s="69"/>
      <c r="D51" s="69"/>
      <c r="E51" s="69"/>
      <c r="F51" s="69"/>
      <c r="G51" s="69">
        <f>_xlfn.COVARIANCE.P('Stock Price from 1 April 2022 t'!AJ683:AJ981,'Stock Price from 1 April 2022 t'!AS683:AS981)/VARP('Stock Price from 1 April 2022 t'!AJ683:AJ981)</f>
        <v>0.87127502807510893</v>
      </c>
      <c r="H51" s="69">
        <v>1</v>
      </c>
      <c r="I51" s="148"/>
      <c r="J51" s="148"/>
      <c r="K51" s="53"/>
      <c r="L51" s="53"/>
      <c r="M51" s="53"/>
      <c r="N51" s="53"/>
      <c r="O51" s="53"/>
      <c r="P51" s="53"/>
      <c r="Q51" s="53"/>
      <c r="R51" s="53"/>
      <c r="S51" s="53"/>
      <c r="T51" s="53"/>
      <c r="U51" s="53"/>
    </row>
    <row r="52" spans="1:21" ht="16.8" x14ac:dyDescent="0.65">
      <c r="A52" s="63" t="s">
        <v>334</v>
      </c>
      <c r="B52" s="69">
        <v>6.5</v>
      </c>
      <c r="C52" s="69">
        <v>6.5</v>
      </c>
      <c r="D52" s="69">
        <v>6.5</v>
      </c>
      <c r="E52" s="69">
        <v>6.5</v>
      </c>
      <c r="F52" s="69">
        <v>6.5</v>
      </c>
      <c r="G52" s="63">
        <v>6.5</v>
      </c>
      <c r="H52" s="69">
        <v>6.5</v>
      </c>
      <c r="I52" s="69" t="s">
        <v>335</v>
      </c>
      <c r="J52" s="69"/>
      <c r="K52" s="53"/>
      <c r="L52" s="53"/>
      <c r="M52" s="53"/>
      <c r="N52" s="53"/>
      <c r="O52" s="53"/>
      <c r="P52" s="53"/>
      <c r="Q52" s="53"/>
      <c r="R52" s="53"/>
      <c r="S52" s="53"/>
      <c r="T52" s="53"/>
      <c r="U52" s="53"/>
    </row>
    <row r="53" spans="1:21" ht="16.8" x14ac:dyDescent="0.65">
      <c r="A53" s="54"/>
      <c r="B53" s="53"/>
      <c r="C53" s="53"/>
      <c r="D53" s="53"/>
      <c r="E53" s="53"/>
      <c r="F53" s="53"/>
      <c r="G53" s="72"/>
      <c r="H53" s="73"/>
      <c r="I53" s="53"/>
      <c r="J53" s="53"/>
      <c r="K53" s="53"/>
      <c r="L53" s="53"/>
      <c r="M53" s="53"/>
      <c r="N53" s="53"/>
      <c r="O53" s="53"/>
      <c r="P53" s="53"/>
      <c r="Q53" s="53"/>
      <c r="R53" s="53"/>
      <c r="S53" s="53"/>
      <c r="T53" s="53"/>
      <c r="U53" s="53"/>
    </row>
    <row r="54" spans="1:21" ht="16.8" x14ac:dyDescent="0.65">
      <c r="A54" s="158" t="s">
        <v>336</v>
      </c>
      <c r="B54" s="153"/>
      <c r="C54" s="153"/>
      <c r="D54" s="153"/>
      <c r="E54" s="153"/>
      <c r="F54" s="153"/>
      <c r="G54" s="153"/>
      <c r="H54" s="153"/>
      <c r="I54" s="153"/>
      <c r="J54" s="153"/>
      <c r="K54" s="53"/>
      <c r="L54" s="53"/>
      <c r="M54" s="53"/>
      <c r="N54" s="53"/>
      <c r="O54" s="53"/>
      <c r="P54" s="53"/>
      <c r="Q54" s="53"/>
      <c r="R54" s="53"/>
      <c r="S54" s="53"/>
      <c r="T54" s="53"/>
      <c r="U54" s="53"/>
    </row>
    <row r="55" spans="1:21" ht="84" x14ac:dyDescent="0.65">
      <c r="A55" s="63" t="s">
        <v>337</v>
      </c>
      <c r="B55" s="69">
        <f t="shared" ref="B55:H55" si="17">(B37-B52)/B38</f>
        <v>-0.51464557979388958</v>
      </c>
      <c r="C55" s="69">
        <f t="shared" si="17"/>
        <v>0.16679517626314599</v>
      </c>
      <c r="D55" s="69">
        <f t="shared" si="17"/>
        <v>0.28494187528755699</v>
      </c>
      <c r="E55" s="69">
        <f t="shared" si="17"/>
        <v>-0.241210871368888</v>
      </c>
      <c r="F55" s="69">
        <f t="shared" si="17"/>
        <v>1.225976292958693</v>
      </c>
      <c r="G55" s="63">
        <f t="shared" si="17"/>
        <v>-0.20843717607007761</v>
      </c>
      <c r="H55" s="69">
        <f t="shared" si="17"/>
        <v>0.43652789609895148</v>
      </c>
      <c r="I55" s="63" t="s">
        <v>338</v>
      </c>
      <c r="J55" s="159" t="s">
        <v>339</v>
      </c>
      <c r="K55" s="53"/>
      <c r="L55" s="53"/>
      <c r="M55" s="53"/>
      <c r="N55" s="53"/>
      <c r="O55" s="53"/>
      <c r="P55" s="53"/>
      <c r="Q55" s="53"/>
      <c r="R55" s="53"/>
      <c r="S55" s="53"/>
      <c r="T55" s="53"/>
      <c r="U55" s="53"/>
    </row>
    <row r="56" spans="1:21" ht="84" x14ac:dyDescent="0.65">
      <c r="A56" s="63" t="s">
        <v>340</v>
      </c>
      <c r="B56" s="69">
        <f t="shared" ref="B56:H56" si="18">(B37-B52)/(100*B47)</f>
        <v>-0.59471292908841344</v>
      </c>
      <c r="C56" s="69">
        <f t="shared" si="18"/>
        <v>5.8538230219985395E-2</v>
      </c>
      <c r="D56" s="69">
        <f t="shared" si="18"/>
        <v>9.4558402323240087E-2</v>
      </c>
      <c r="E56" s="69">
        <f t="shared" si="18"/>
        <v>-0.13019812119010238</v>
      </c>
      <c r="F56" s="69">
        <f t="shared" si="18"/>
        <v>1.5204657714769816</v>
      </c>
      <c r="G56" s="63">
        <f t="shared" si="18"/>
        <v>-4.4896956767992033E-2</v>
      </c>
      <c r="H56" s="69">
        <f t="shared" si="18"/>
        <v>5.6317366623866119E-2</v>
      </c>
      <c r="I56" s="63" t="s">
        <v>341</v>
      </c>
      <c r="J56" s="147"/>
      <c r="K56" s="53"/>
      <c r="L56" s="53"/>
      <c r="M56" s="53"/>
      <c r="N56" s="53"/>
      <c r="O56" s="53"/>
      <c r="P56" s="53"/>
      <c r="Q56" s="53"/>
      <c r="R56" s="53"/>
      <c r="S56" s="53"/>
      <c r="T56" s="53"/>
      <c r="U56" s="53"/>
    </row>
    <row r="57" spans="1:21" ht="84" x14ac:dyDescent="0.65">
      <c r="A57" s="63" t="s">
        <v>342</v>
      </c>
      <c r="B57" s="69">
        <f t="shared" ref="B57:H57" si="19">B37-(B52+B47*($H$37-B52))</f>
        <v>-17.237659890856545</v>
      </c>
      <c r="C57" s="69">
        <f t="shared" si="19"/>
        <v>0.13628788931636038</v>
      </c>
      <c r="D57" s="69">
        <f t="shared" si="19"/>
        <v>2.3079395951155099</v>
      </c>
      <c r="E57" s="69">
        <f t="shared" si="19"/>
        <v>-8.5741007071061155</v>
      </c>
      <c r="F57" s="69">
        <f t="shared" si="19"/>
        <v>40.810769665217855</v>
      </c>
      <c r="G57" s="69">
        <f t="shared" si="19"/>
        <v>-7.8594664875182687</v>
      </c>
      <c r="H57" s="69">
        <f t="shared" si="19"/>
        <v>-1.5987211554602254E-14</v>
      </c>
      <c r="I57" s="63" t="s">
        <v>343</v>
      </c>
      <c r="J57" s="148"/>
      <c r="K57" s="53"/>
      <c r="L57" s="53"/>
      <c r="M57" s="53"/>
      <c r="N57" s="53"/>
      <c r="O57" s="53"/>
      <c r="P57" s="53"/>
      <c r="Q57" s="53"/>
      <c r="R57" s="53"/>
      <c r="S57" s="53"/>
      <c r="T57" s="53"/>
      <c r="U57" s="53"/>
    </row>
    <row r="58" spans="1:21" ht="16.8" x14ac:dyDescent="0.65">
      <c r="A58" s="54"/>
      <c r="B58" s="53"/>
      <c r="C58" s="53"/>
      <c r="D58" s="53"/>
      <c r="E58" s="53"/>
      <c r="F58" s="53"/>
      <c r="G58" s="54"/>
      <c r="H58" s="53"/>
      <c r="I58" s="53"/>
      <c r="J58" s="53"/>
      <c r="K58" s="53"/>
      <c r="L58" s="53"/>
      <c r="M58" s="53"/>
      <c r="N58" s="53"/>
      <c r="O58" s="53"/>
      <c r="P58" s="53"/>
      <c r="Q58" s="53"/>
      <c r="R58" s="53"/>
      <c r="S58" s="53"/>
      <c r="T58" s="53"/>
      <c r="U58" s="53"/>
    </row>
    <row r="59" spans="1:21" ht="16.8" x14ac:dyDescent="0.65">
      <c r="A59" s="158" t="s">
        <v>344</v>
      </c>
      <c r="B59" s="153"/>
      <c r="C59" s="153"/>
      <c r="D59" s="153"/>
      <c r="E59" s="153"/>
      <c r="F59" s="153"/>
      <c r="G59" s="153"/>
      <c r="H59" s="153"/>
      <c r="I59" s="153"/>
      <c r="J59" s="153"/>
      <c r="K59" s="53"/>
      <c r="L59" s="53"/>
      <c r="M59" s="53"/>
      <c r="N59" s="53"/>
      <c r="O59" s="53"/>
      <c r="P59" s="53"/>
      <c r="Q59" s="53"/>
      <c r="R59" s="53"/>
      <c r="S59" s="53"/>
      <c r="T59" s="53"/>
      <c r="U59" s="53"/>
    </row>
    <row r="60" spans="1:21" ht="67.2" x14ac:dyDescent="0.65">
      <c r="A60" s="63" t="s">
        <v>345</v>
      </c>
      <c r="B60" s="69"/>
      <c r="C60" s="69"/>
      <c r="D60" s="69"/>
      <c r="E60" s="69"/>
      <c r="F60" s="69"/>
      <c r="G60" s="63">
        <f t="shared" ref="G60:H60" si="20">(G39-G$52)/G43</f>
        <v>-0.92415402136871327</v>
      </c>
      <c r="H60" s="63">
        <f t="shared" si="20"/>
        <v>-0.12163742821467213</v>
      </c>
      <c r="I60" s="63" t="s">
        <v>346</v>
      </c>
      <c r="J60" s="159" t="s">
        <v>347</v>
      </c>
      <c r="K60" s="53"/>
      <c r="L60" s="53"/>
      <c r="M60" s="53"/>
      <c r="N60" s="53"/>
      <c r="O60" s="53"/>
      <c r="P60" s="53"/>
      <c r="Q60" s="53"/>
      <c r="R60" s="53"/>
      <c r="S60" s="53"/>
      <c r="T60" s="53"/>
      <c r="U60" s="53"/>
    </row>
    <row r="61" spans="1:21" ht="67.2" x14ac:dyDescent="0.65">
      <c r="A61" s="63" t="s">
        <v>348</v>
      </c>
      <c r="B61" s="69"/>
      <c r="C61" s="69"/>
      <c r="D61" s="69"/>
      <c r="E61" s="69"/>
      <c r="F61" s="69"/>
      <c r="G61" s="63">
        <f t="shared" ref="G61:H61" si="21">(G40-G$52)/G44</f>
        <v>1.1014109105547707</v>
      </c>
      <c r="H61" s="63">
        <f t="shared" si="21"/>
        <v>1.5002741075335877</v>
      </c>
      <c r="I61" s="63" t="s">
        <v>349</v>
      </c>
      <c r="J61" s="147"/>
      <c r="K61" s="53"/>
      <c r="L61" s="53"/>
      <c r="M61" s="53"/>
      <c r="N61" s="53"/>
      <c r="O61" s="53"/>
      <c r="P61" s="53"/>
      <c r="Q61" s="53"/>
      <c r="R61" s="53"/>
      <c r="S61" s="53"/>
      <c r="T61" s="53"/>
      <c r="U61" s="53"/>
    </row>
    <row r="62" spans="1:21" ht="50.4" x14ac:dyDescent="0.65">
      <c r="A62" s="63" t="s">
        <v>350</v>
      </c>
      <c r="B62" s="69"/>
      <c r="C62" s="69"/>
      <c r="D62" s="69"/>
      <c r="E62" s="69"/>
      <c r="F62" s="69"/>
      <c r="G62" s="63">
        <f t="shared" ref="G62:H62" si="22">(G41-G$52)/G45</f>
        <v>-0.43729360533928546</v>
      </c>
      <c r="H62" s="63">
        <f t="shared" si="22"/>
        <v>0.26595914973160961</v>
      </c>
      <c r="I62" s="63" t="s">
        <v>351</v>
      </c>
      <c r="J62" s="147"/>
      <c r="K62" s="53"/>
      <c r="L62" s="53"/>
      <c r="M62" s="53"/>
      <c r="N62" s="53"/>
      <c r="O62" s="53"/>
      <c r="P62" s="53"/>
      <c r="Q62" s="53"/>
      <c r="R62" s="53"/>
      <c r="S62" s="53"/>
      <c r="T62" s="53"/>
      <c r="U62" s="53"/>
    </row>
    <row r="63" spans="1:21" ht="50.4" x14ac:dyDescent="0.65">
      <c r="A63" s="63" t="s">
        <v>352</v>
      </c>
      <c r="B63" s="69"/>
      <c r="C63" s="69"/>
      <c r="D63" s="69"/>
      <c r="E63" s="69"/>
      <c r="F63" s="69"/>
      <c r="G63" s="63">
        <f t="shared" ref="G63:H63" si="23">(G42-G$52)/G46</f>
        <v>-0.16734601011829511</v>
      </c>
      <c r="H63" s="63">
        <f t="shared" si="23"/>
        <v>0.38419099887467634</v>
      </c>
      <c r="I63" s="63" t="s">
        <v>353</v>
      </c>
      <c r="J63" s="147"/>
      <c r="K63" s="53"/>
      <c r="L63" s="53"/>
      <c r="M63" s="53"/>
      <c r="N63" s="53"/>
      <c r="O63" s="53"/>
      <c r="P63" s="53"/>
      <c r="Q63" s="53"/>
      <c r="R63" s="53"/>
      <c r="S63" s="53"/>
      <c r="T63" s="53"/>
      <c r="U63" s="53"/>
    </row>
    <row r="64" spans="1:21" ht="50.4" x14ac:dyDescent="0.65">
      <c r="A64" s="63" t="s">
        <v>354</v>
      </c>
      <c r="B64" s="69"/>
      <c r="C64" s="69"/>
      <c r="D64" s="69"/>
      <c r="E64" s="69"/>
      <c r="F64" s="69"/>
      <c r="G64" s="63">
        <f t="shared" ref="G64:H64" si="24">(G39-G$52)/(G48*100)</f>
        <v>-0.33093521650219754</v>
      </c>
      <c r="H64" s="63">
        <f t="shared" si="24"/>
        <v>-1.8996584182579043E-2</v>
      </c>
      <c r="I64" s="63" t="s">
        <v>355</v>
      </c>
      <c r="J64" s="147"/>
      <c r="K64" s="53"/>
      <c r="L64" s="53"/>
      <c r="M64" s="53"/>
      <c r="N64" s="53"/>
      <c r="O64" s="53"/>
      <c r="P64" s="53"/>
      <c r="Q64" s="53"/>
      <c r="R64" s="53"/>
      <c r="S64" s="53"/>
      <c r="T64" s="53"/>
      <c r="U64" s="53"/>
    </row>
    <row r="65" spans="1:21" ht="50.4" x14ac:dyDescent="0.65">
      <c r="A65" s="63" t="s">
        <v>356</v>
      </c>
      <c r="B65" s="69"/>
      <c r="C65" s="69"/>
      <c r="D65" s="69"/>
      <c r="E65" s="69"/>
      <c r="F65" s="69"/>
      <c r="G65" s="63">
        <f t="shared" ref="G65:H65" si="25">(G40-G$52)/(G49*100)</f>
        <v>0.22540381661198211</v>
      </c>
      <c r="H65" s="63">
        <f t="shared" si="25"/>
        <v>0.14724625471293379</v>
      </c>
      <c r="I65" s="63" t="s">
        <v>357</v>
      </c>
      <c r="J65" s="147"/>
      <c r="K65" s="53"/>
      <c r="L65" s="53"/>
      <c r="M65" s="53"/>
      <c r="N65" s="53"/>
      <c r="O65" s="53"/>
      <c r="P65" s="53"/>
      <c r="Q65" s="53"/>
      <c r="R65" s="53"/>
      <c r="S65" s="53"/>
      <c r="T65" s="53"/>
      <c r="U65" s="53"/>
    </row>
    <row r="66" spans="1:21" ht="50.4" x14ac:dyDescent="0.65">
      <c r="A66" s="63" t="s">
        <v>358</v>
      </c>
      <c r="B66" s="69"/>
      <c r="C66" s="69"/>
      <c r="D66" s="69"/>
      <c r="E66" s="69"/>
      <c r="F66" s="69"/>
      <c r="G66" s="63">
        <f t="shared" ref="G66:H66" si="26">(G41-G$52)/(G50*100)</f>
        <v>-0.10940982911758745</v>
      </c>
      <c r="H66" s="63">
        <f t="shared" si="26"/>
        <v>3.7414843594114337E-2</v>
      </c>
      <c r="I66" s="63" t="s">
        <v>359</v>
      </c>
      <c r="J66" s="147"/>
      <c r="K66" s="53"/>
      <c r="L66" s="53"/>
      <c r="M66" s="53"/>
      <c r="N66" s="53"/>
      <c r="O66" s="53"/>
      <c r="P66" s="53"/>
      <c r="Q66" s="53"/>
      <c r="R66" s="53"/>
      <c r="S66" s="53"/>
      <c r="T66" s="53"/>
      <c r="U66" s="53"/>
    </row>
    <row r="67" spans="1:21" ht="50.4" x14ac:dyDescent="0.65">
      <c r="A67" s="63" t="s">
        <v>360</v>
      </c>
      <c r="B67" s="69"/>
      <c r="C67" s="69"/>
      <c r="D67" s="69"/>
      <c r="E67" s="69"/>
      <c r="F67" s="69"/>
      <c r="G67" s="63">
        <f t="shared" ref="G67:H67" si="27">(G42-G$52)/(G51*100)</f>
        <v>-3.2337935495769729E-2</v>
      </c>
      <c r="H67" s="63">
        <f t="shared" si="27"/>
        <v>4.6470630366258273E-2</v>
      </c>
      <c r="I67" s="63" t="s">
        <v>361</v>
      </c>
      <c r="J67" s="147"/>
      <c r="K67" s="53"/>
      <c r="L67" s="53"/>
      <c r="M67" s="53"/>
      <c r="N67" s="53"/>
      <c r="O67" s="53"/>
      <c r="P67" s="53"/>
      <c r="Q67" s="53"/>
      <c r="R67" s="53"/>
      <c r="S67" s="53"/>
      <c r="T67" s="53"/>
      <c r="U67" s="53"/>
    </row>
    <row r="68" spans="1:21" ht="50.4" x14ac:dyDescent="0.65">
      <c r="A68" s="63" t="s">
        <v>362</v>
      </c>
      <c r="B68" s="69"/>
      <c r="C68" s="69"/>
      <c r="D68" s="69"/>
      <c r="E68" s="69"/>
      <c r="F68" s="69"/>
      <c r="G68" s="63">
        <f t="shared" ref="G68:G71" si="28">(G39-(G$52+G48*(H39-G$52)))</f>
        <v>-18.060457952372836</v>
      </c>
      <c r="H68" s="69">
        <v>0</v>
      </c>
      <c r="I68" s="63" t="s">
        <v>363</v>
      </c>
      <c r="J68" s="147"/>
      <c r="K68" s="53"/>
      <c r="L68" s="53"/>
      <c r="M68" s="53"/>
      <c r="N68" s="53"/>
      <c r="O68" s="53"/>
      <c r="P68" s="53"/>
      <c r="Q68" s="53"/>
      <c r="R68" s="53"/>
      <c r="S68" s="53"/>
      <c r="T68" s="53"/>
      <c r="U68" s="53"/>
    </row>
    <row r="69" spans="1:21" ht="50.4" x14ac:dyDescent="0.65">
      <c r="A69" s="63" t="s">
        <v>364</v>
      </c>
      <c r="B69" s="69"/>
      <c r="C69" s="69"/>
      <c r="D69" s="69"/>
      <c r="E69" s="69"/>
      <c r="F69" s="69"/>
      <c r="G69" s="63">
        <f t="shared" si="28"/>
        <v>4.8793048055813664</v>
      </c>
      <c r="H69" s="69">
        <v>0</v>
      </c>
      <c r="I69" s="63" t="s">
        <v>365</v>
      </c>
      <c r="J69" s="147"/>
      <c r="K69" s="53"/>
      <c r="L69" s="53"/>
      <c r="M69" s="53"/>
      <c r="N69" s="53"/>
      <c r="O69" s="53"/>
      <c r="P69" s="53"/>
      <c r="Q69" s="53"/>
      <c r="R69" s="53"/>
      <c r="S69" s="53"/>
      <c r="T69" s="53"/>
      <c r="U69" s="53"/>
    </row>
    <row r="70" spans="1:21" ht="50.4" x14ac:dyDescent="0.65">
      <c r="A70" s="63" t="s">
        <v>366</v>
      </c>
      <c r="B70" s="69"/>
      <c r="C70" s="69"/>
      <c r="D70" s="69"/>
      <c r="E70" s="69"/>
      <c r="F70" s="69"/>
      <c r="G70" s="63">
        <f t="shared" si="28"/>
        <v>-9.8308269582806957</v>
      </c>
      <c r="H70" s="69">
        <v>0</v>
      </c>
      <c r="I70" s="63" t="s">
        <v>367</v>
      </c>
      <c r="J70" s="147"/>
      <c r="K70" s="53"/>
      <c r="L70" s="53"/>
      <c r="M70" s="53"/>
      <c r="N70" s="53"/>
      <c r="O70" s="53"/>
      <c r="P70" s="53"/>
      <c r="Q70" s="53"/>
      <c r="R70" s="53"/>
      <c r="S70" s="53"/>
      <c r="T70" s="53"/>
      <c r="U70" s="53"/>
    </row>
    <row r="71" spans="1:21" ht="67.2" x14ac:dyDescent="0.65">
      <c r="A71" s="63" t="s">
        <v>368</v>
      </c>
      <c r="B71" s="69"/>
      <c r="C71" s="69"/>
      <c r="D71" s="69"/>
      <c r="E71" s="69"/>
      <c r="F71" s="69"/>
      <c r="G71" s="63">
        <f t="shared" si="28"/>
        <v>-6.8663935433997505</v>
      </c>
      <c r="H71" s="69">
        <v>0</v>
      </c>
      <c r="I71" s="63" t="s">
        <v>369</v>
      </c>
      <c r="J71" s="148"/>
      <c r="K71" s="53"/>
      <c r="L71" s="53"/>
      <c r="M71" s="53"/>
      <c r="N71" s="53"/>
      <c r="O71" s="53"/>
      <c r="P71" s="53"/>
      <c r="Q71" s="53"/>
      <c r="R71" s="53"/>
      <c r="S71" s="53"/>
      <c r="T71" s="53"/>
      <c r="U71" s="53"/>
    </row>
    <row r="72" spans="1:21" ht="16.8" x14ac:dyDescent="0.65">
      <c r="A72" s="54"/>
      <c r="B72" s="53"/>
      <c r="C72" s="53"/>
      <c r="D72" s="53"/>
      <c r="E72" s="53"/>
      <c r="F72" s="53"/>
      <c r="G72" s="54"/>
      <c r="H72" s="53"/>
      <c r="I72" s="53"/>
      <c r="J72" s="53"/>
      <c r="K72" s="53"/>
      <c r="L72" s="53"/>
      <c r="M72" s="53"/>
      <c r="N72" s="53"/>
      <c r="O72" s="53"/>
      <c r="P72" s="53"/>
      <c r="Q72" s="53"/>
      <c r="R72" s="53"/>
      <c r="S72" s="53"/>
      <c r="T72" s="53"/>
      <c r="U72" s="53"/>
    </row>
    <row r="73" spans="1:21" ht="16.8" x14ac:dyDescent="0.65">
      <c r="A73" s="158" t="s">
        <v>370</v>
      </c>
      <c r="B73" s="153"/>
      <c r="C73" s="153"/>
      <c r="D73" s="153"/>
      <c r="E73" s="153"/>
      <c r="F73" s="153"/>
      <c r="G73" s="153"/>
      <c r="H73" s="153"/>
      <c r="I73" s="153"/>
      <c r="J73" s="153"/>
      <c r="K73" s="53"/>
      <c r="L73" s="53"/>
      <c r="M73" s="53"/>
      <c r="N73" s="53"/>
      <c r="O73" s="53"/>
      <c r="P73" s="53"/>
      <c r="Q73" s="53"/>
      <c r="R73" s="53"/>
      <c r="S73" s="53"/>
      <c r="T73" s="53"/>
      <c r="U73" s="53"/>
    </row>
    <row r="74" spans="1:21" ht="148.5" customHeight="1" x14ac:dyDescent="0.65">
      <c r="A74" s="63" t="s">
        <v>371</v>
      </c>
      <c r="B74" s="69">
        <f t="shared" ref="B74:H74" si="29">(B28-B21)/B21*100</f>
        <v>-40.130519742606459</v>
      </c>
      <c r="C74" s="69">
        <f t="shared" si="29"/>
        <v>29.712300583288116</v>
      </c>
      <c r="D74" s="69">
        <f t="shared" si="29"/>
        <v>40.665327548724477</v>
      </c>
      <c r="E74" s="69">
        <f t="shared" si="29"/>
        <v>-8.7035041184466611</v>
      </c>
      <c r="F74" s="69">
        <f t="shared" si="29"/>
        <v>236.4569726347531</v>
      </c>
      <c r="G74" s="69">
        <f t="shared" si="29"/>
        <v>6.4248049666491713</v>
      </c>
      <c r="H74" s="69">
        <f t="shared" si="29"/>
        <v>48.286831272759237</v>
      </c>
      <c r="I74" s="159" t="s">
        <v>372</v>
      </c>
      <c r="J74" s="146" t="s">
        <v>373</v>
      </c>
      <c r="K74" s="53"/>
      <c r="L74" s="53"/>
      <c r="M74" s="53"/>
      <c r="N74" s="53"/>
      <c r="O74" s="53"/>
      <c r="P74" s="53"/>
      <c r="Q74" s="53"/>
      <c r="R74" s="53"/>
      <c r="S74" s="53"/>
      <c r="T74" s="53"/>
      <c r="U74" s="53"/>
    </row>
    <row r="75" spans="1:21" ht="16.8" x14ac:dyDescent="0.65">
      <c r="A75" s="63" t="s">
        <v>374</v>
      </c>
      <c r="B75" s="69">
        <v>30.579876793484157</v>
      </c>
      <c r="C75" s="69">
        <v>21.525391840513191</v>
      </c>
      <c r="D75" s="69">
        <v>20.016970486831234</v>
      </c>
      <c r="E75" s="69">
        <v>24.79938514729519</v>
      </c>
      <c r="F75" s="69">
        <v>34.549751072871224</v>
      </c>
      <c r="G75" s="63">
        <v>16.716765013793829</v>
      </c>
      <c r="H75" s="69">
        <v>12.915368627703309</v>
      </c>
      <c r="I75" s="148"/>
      <c r="J75" s="148"/>
      <c r="K75" s="53"/>
      <c r="L75" s="53"/>
      <c r="M75" s="53"/>
      <c r="N75" s="53"/>
      <c r="O75" s="53"/>
      <c r="P75" s="53"/>
      <c r="Q75" s="53"/>
      <c r="R75" s="53"/>
      <c r="S75" s="53"/>
      <c r="T75" s="53"/>
      <c r="U75" s="53"/>
    </row>
    <row r="76" spans="1:21" ht="16.8" x14ac:dyDescent="0.65">
      <c r="A76" s="54"/>
      <c r="B76" s="53"/>
      <c r="C76" s="53"/>
      <c r="D76" s="53"/>
      <c r="E76" s="53"/>
      <c r="F76" s="53"/>
      <c r="G76" s="54"/>
      <c r="H76" s="53"/>
      <c r="I76" s="54"/>
      <c r="J76" s="53"/>
      <c r="K76" s="53"/>
      <c r="L76" s="53"/>
      <c r="M76" s="53"/>
      <c r="N76" s="53"/>
      <c r="O76" s="53"/>
      <c r="P76" s="53"/>
      <c r="Q76" s="53"/>
      <c r="R76" s="53"/>
      <c r="S76" s="53"/>
      <c r="T76" s="53"/>
      <c r="U76" s="53"/>
    </row>
    <row r="77" spans="1:21" ht="16.8" x14ac:dyDescent="0.65">
      <c r="A77" s="158" t="s">
        <v>375</v>
      </c>
      <c r="B77" s="153"/>
      <c r="C77" s="153"/>
      <c r="D77" s="153"/>
      <c r="E77" s="153"/>
      <c r="F77" s="153"/>
      <c r="G77" s="153"/>
      <c r="H77" s="153"/>
      <c r="I77" s="153"/>
      <c r="J77" s="153"/>
      <c r="K77" s="53"/>
      <c r="L77" s="53"/>
      <c r="M77" s="53"/>
      <c r="N77" s="53"/>
      <c r="O77" s="53"/>
      <c r="P77" s="53"/>
      <c r="Q77" s="53"/>
      <c r="R77" s="53"/>
      <c r="S77" s="53"/>
      <c r="T77" s="53"/>
      <c r="U77" s="53"/>
    </row>
    <row r="78" spans="1:21" ht="16.8" x14ac:dyDescent="0.65">
      <c r="A78" s="74" t="s">
        <v>376</v>
      </c>
      <c r="B78" s="75" t="s">
        <v>241</v>
      </c>
      <c r="C78" s="74" t="s">
        <v>377</v>
      </c>
      <c r="D78" s="74" t="s">
        <v>376</v>
      </c>
      <c r="E78" s="75" t="s">
        <v>241</v>
      </c>
      <c r="F78" s="74" t="s">
        <v>377</v>
      </c>
      <c r="G78" s="160" t="s">
        <v>378</v>
      </c>
      <c r="H78" s="153"/>
      <c r="I78" s="153"/>
      <c r="J78" s="76"/>
      <c r="K78" s="53"/>
      <c r="L78" s="53"/>
      <c r="M78" s="53"/>
      <c r="N78" s="53"/>
      <c r="O78" s="53"/>
      <c r="P78" s="53"/>
      <c r="Q78" s="53"/>
      <c r="R78" s="53"/>
      <c r="S78" s="53"/>
      <c r="T78" s="53"/>
      <c r="U78" s="53"/>
    </row>
    <row r="79" spans="1:21" ht="67.2" x14ac:dyDescent="0.65">
      <c r="A79" s="63" t="s">
        <v>371</v>
      </c>
      <c r="B79" s="69">
        <v>-40.130519742606459</v>
      </c>
      <c r="C79" s="69">
        <v>6.4248049666491713</v>
      </c>
      <c r="D79" s="63" t="s">
        <v>321</v>
      </c>
      <c r="E79" s="69">
        <v>40.575001217513481</v>
      </c>
      <c r="F79" s="69">
        <v>20.732812597685584</v>
      </c>
      <c r="G79" s="149" t="s">
        <v>379</v>
      </c>
      <c r="H79" s="150"/>
      <c r="I79" s="151"/>
      <c r="J79" s="146" t="s">
        <v>380</v>
      </c>
      <c r="K79" s="53"/>
      <c r="L79" s="53"/>
      <c r="M79" s="53"/>
      <c r="N79" s="53"/>
      <c r="O79" s="53"/>
      <c r="P79" s="53"/>
      <c r="Q79" s="53"/>
      <c r="R79" s="53"/>
      <c r="S79" s="53"/>
      <c r="T79" s="53"/>
      <c r="U79" s="53"/>
    </row>
    <row r="80" spans="1:21" ht="67.2" x14ac:dyDescent="0.65">
      <c r="A80" s="63" t="s">
        <v>374</v>
      </c>
      <c r="B80" s="69">
        <v>30.579876793484157</v>
      </c>
      <c r="C80" s="63">
        <v>16.716765013793829</v>
      </c>
      <c r="D80" s="63" t="s">
        <v>323</v>
      </c>
      <c r="E80" s="69">
        <v>20.578339395385203</v>
      </c>
      <c r="F80" s="69">
        <v>12.776115720681599</v>
      </c>
      <c r="G80" s="152"/>
      <c r="H80" s="153"/>
      <c r="I80" s="154"/>
      <c r="J80" s="147"/>
      <c r="K80" s="53"/>
      <c r="L80" s="53"/>
      <c r="M80" s="53"/>
      <c r="N80" s="53"/>
      <c r="O80" s="53"/>
      <c r="P80" s="53"/>
      <c r="Q80" s="53"/>
      <c r="R80" s="53"/>
      <c r="S80" s="53"/>
      <c r="T80" s="53"/>
      <c r="U80" s="53"/>
    </row>
    <row r="81" spans="1:21" ht="67.2" x14ac:dyDescent="0.65">
      <c r="A81" s="63" t="s">
        <v>308</v>
      </c>
      <c r="B81" s="69">
        <v>-9.2367736961063596</v>
      </c>
      <c r="C81" s="69">
        <v>3.0102908089864489</v>
      </c>
      <c r="D81" s="63" t="s">
        <v>324</v>
      </c>
      <c r="E81" s="69">
        <v>31.896065644898808</v>
      </c>
      <c r="F81" s="69">
        <v>16.752291579960016</v>
      </c>
      <c r="G81" s="152"/>
      <c r="H81" s="153"/>
      <c r="I81" s="154"/>
      <c r="J81" s="147"/>
      <c r="K81" s="53"/>
      <c r="L81" s="53"/>
      <c r="M81" s="53"/>
      <c r="N81" s="53"/>
      <c r="O81" s="53"/>
      <c r="P81" s="53"/>
      <c r="Q81" s="53"/>
      <c r="R81" s="53"/>
      <c r="S81" s="53"/>
      <c r="T81" s="53"/>
      <c r="U81" s="53"/>
    </row>
    <row r="82" spans="1:21" ht="67.2" x14ac:dyDescent="0.65">
      <c r="A82" s="63" t="s">
        <v>311</v>
      </c>
      <c r="B82" s="69">
        <v>30.579876793484157</v>
      </c>
      <c r="C82" s="69">
        <v>16.716765013793829</v>
      </c>
      <c r="D82" s="63" t="s">
        <v>325</v>
      </c>
      <c r="E82" s="69">
        <v>28.550581166963081</v>
      </c>
      <c r="F82" s="69">
        <v>16.799231321090918</v>
      </c>
      <c r="G82" s="152"/>
      <c r="H82" s="153"/>
      <c r="I82" s="154"/>
      <c r="J82" s="147"/>
      <c r="K82" s="53"/>
      <c r="L82" s="53"/>
      <c r="M82" s="53"/>
      <c r="N82" s="53"/>
      <c r="O82" s="53"/>
      <c r="P82" s="53"/>
      <c r="Q82" s="53"/>
      <c r="R82" s="53"/>
      <c r="S82" s="53"/>
      <c r="T82" s="53"/>
      <c r="U82" s="53"/>
    </row>
    <row r="83" spans="1:21" ht="50.4" x14ac:dyDescent="0.65">
      <c r="A83" s="63" t="s">
        <v>313</v>
      </c>
      <c r="B83" s="69">
        <v>-31.950346873103573</v>
      </c>
      <c r="C83" s="69">
        <v>-12.66031213687816</v>
      </c>
      <c r="D83" s="63" t="s">
        <v>337</v>
      </c>
      <c r="E83" s="69">
        <v>-0.51461206996947384</v>
      </c>
      <c r="F83" s="63">
        <v>-0.20875505446981038</v>
      </c>
      <c r="G83" s="152"/>
      <c r="H83" s="153"/>
      <c r="I83" s="154"/>
      <c r="J83" s="147"/>
      <c r="K83" s="53"/>
      <c r="L83" s="53"/>
      <c r="M83" s="53"/>
      <c r="N83" s="53"/>
      <c r="O83" s="53"/>
      <c r="P83" s="53"/>
      <c r="Q83" s="53"/>
      <c r="R83" s="53"/>
      <c r="S83" s="53"/>
      <c r="T83" s="53"/>
      <c r="U83" s="53"/>
    </row>
    <row r="84" spans="1:21" ht="50.4" x14ac:dyDescent="0.65">
      <c r="A84" s="63" t="s">
        <v>315</v>
      </c>
      <c r="B84" s="69">
        <v>44.686290045477129</v>
      </c>
      <c r="C84" s="69">
        <v>20.571753249205436</v>
      </c>
      <c r="D84" s="63" t="s">
        <v>340</v>
      </c>
      <c r="E84" s="69">
        <v>-0.59459824257603966</v>
      </c>
      <c r="F84" s="63">
        <f>(F65-F80)/(100*F75)</f>
        <v>-3.6978893693719026E-3</v>
      </c>
      <c r="G84" s="152"/>
      <c r="H84" s="153"/>
      <c r="I84" s="154"/>
      <c r="J84" s="147"/>
      <c r="K84" s="53"/>
      <c r="L84" s="53"/>
      <c r="M84" s="53"/>
      <c r="N84" s="53"/>
      <c r="O84" s="53"/>
      <c r="P84" s="53"/>
      <c r="Q84" s="53"/>
      <c r="R84" s="53"/>
      <c r="S84" s="53"/>
      <c r="T84" s="53"/>
      <c r="U84" s="53"/>
    </row>
    <row r="85" spans="1:21" ht="50.4" x14ac:dyDescent="0.65">
      <c r="A85" s="63" t="s">
        <v>317</v>
      </c>
      <c r="B85" s="69">
        <v>-18.155404446749912</v>
      </c>
      <c r="C85" s="69">
        <v>-0.82566998282836979</v>
      </c>
      <c r="D85" s="63" t="s">
        <v>342</v>
      </c>
      <c r="E85" s="69">
        <v>-17.343651725433645</v>
      </c>
      <c r="F85" s="69">
        <f>F65-(F80+F75*($H$37-F80))</f>
        <v>9.4870203399808375</v>
      </c>
      <c r="G85" s="152"/>
      <c r="H85" s="153"/>
      <c r="I85" s="154"/>
      <c r="J85" s="147"/>
      <c r="K85" s="53"/>
      <c r="L85" s="53"/>
      <c r="M85" s="53"/>
      <c r="N85" s="53"/>
      <c r="O85" s="53"/>
      <c r="P85" s="53"/>
      <c r="Q85" s="53"/>
      <c r="R85" s="53"/>
      <c r="S85" s="53"/>
      <c r="T85" s="53"/>
      <c r="U85" s="53"/>
    </row>
    <row r="86" spans="1:21" ht="50.4" x14ac:dyDescent="0.65">
      <c r="A86" s="63" t="s">
        <v>319</v>
      </c>
      <c r="B86" s="69">
        <v>-22.337124142725262</v>
      </c>
      <c r="C86" s="69">
        <v>3.6659614748195679</v>
      </c>
      <c r="D86" s="69" t="s">
        <v>326</v>
      </c>
      <c r="E86" s="69">
        <v>0.26466229748558123</v>
      </c>
      <c r="F86" s="69">
        <v>0.77551594274126234</v>
      </c>
      <c r="G86" s="155"/>
      <c r="H86" s="156"/>
      <c r="I86" s="157"/>
      <c r="J86" s="148"/>
      <c r="K86" s="53"/>
      <c r="L86" s="53"/>
      <c r="M86" s="53"/>
      <c r="N86" s="53"/>
      <c r="O86" s="53"/>
      <c r="P86" s="53"/>
      <c r="Q86" s="53"/>
      <c r="R86" s="53"/>
      <c r="S86" s="53"/>
      <c r="T86" s="53"/>
      <c r="U86" s="53"/>
    </row>
    <row r="87" spans="1:21" ht="16.8" x14ac:dyDescent="0.65">
      <c r="A87" s="54"/>
      <c r="B87" s="53"/>
      <c r="C87" s="53"/>
      <c r="D87" s="53"/>
      <c r="E87" s="53"/>
      <c r="F87" s="53"/>
      <c r="G87" s="54"/>
      <c r="H87" s="53"/>
      <c r="I87" s="53"/>
      <c r="J87" s="53"/>
      <c r="K87" s="53"/>
      <c r="L87" s="53"/>
      <c r="M87" s="53"/>
      <c r="N87" s="53"/>
      <c r="O87" s="53"/>
      <c r="P87" s="53"/>
      <c r="Q87" s="53"/>
      <c r="R87" s="53"/>
      <c r="S87" s="53"/>
      <c r="T87" s="53"/>
      <c r="U87" s="53"/>
    </row>
    <row r="88" spans="1:21" ht="16.8" x14ac:dyDescent="0.65">
      <c r="A88" s="54"/>
      <c r="B88" s="53"/>
      <c r="C88" s="53"/>
      <c r="D88" s="53"/>
      <c r="E88" s="53"/>
      <c r="F88" s="53"/>
      <c r="G88" s="54"/>
      <c r="H88" s="53"/>
      <c r="I88" s="53"/>
      <c r="J88" s="53"/>
      <c r="K88" s="53"/>
      <c r="L88" s="53"/>
      <c r="M88" s="53"/>
      <c r="N88" s="53"/>
      <c r="O88" s="53"/>
      <c r="P88" s="53"/>
      <c r="Q88" s="53"/>
      <c r="R88" s="53"/>
      <c r="S88" s="53"/>
      <c r="T88" s="53"/>
      <c r="U88" s="53"/>
    </row>
    <row r="89" spans="1:21" ht="16.8" x14ac:dyDescent="0.65">
      <c r="A89" s="54"/>
      <c r="B89" s="53"/>
      <c r="C89" s="53"/>
      <c r="D89" s="53"/>
      <c r="E89" s="53"/>
      <c r="F89" s="53"/>
      <c r="G89" s="54"/>
      <c r="H89" s="53"/>
      <c r="I89" s="53"/>
      <c r="J89" s="53"/>
      <c r="K89" s="53"/>
      <c r="L89" s="53"/>
      <c r="M89" s="53"/>
      <c r="N89" s="53"/>
      <c r="O89" s="53"/>
      <c r="P89" s="53"/>
      <c r="Q89" s="53"/>
      <c r="R89" s="53"/>
      <c r="S89" s="53"/>
      <c r="T89" s="53"/>
      <c r="U89" s="53"/>
    </row>
    <row r="90" spans="1:21" ht="16.8" x14ac:dyDescent="0.65">
      <c r="A90" s="77" t="s">
        <v>381</v>
      </c>
      <c r="B90" s="56" t="s">
        <v>241</v>
      </c>
      <c r="C90" s="56" t="s">
        <v>242</v>
      </c>
      <c r="D90" s="56" t="s">
        <v>243</v>
      </c>
      <c r="E90" s="56" t="s">
        <v>244</v>
      </c>
      <c r="F90" s="56" t="s">
        <v>245</v>
      </c>
      <c r="G90" s="54"/>
      <c r="H90" s="53"/>
      <c r="I90" s="54"/>
      <c r="J90" s="53"/>
      <c r="K90" s="53"/>
      <c r="L90" s="53"/>
      <c r="M90" s="53"/>
      <c r="N90" s="53"/>
      <c r="O90" s="53"/>
      <c r="P90" s="53"/>
      <c r="Q90" s="53"/>
      <c r="R90" s="53"/>
      <c r="S90" s="53"/>
      <c r="T90" s="53"/>
      <c r="U90" s="53"/>
    </row>
    <row r="91" spans="1:21" ht="16.8" x14ac:dyDescent="0.65">
      <c r="A91" s="69" t="s">
        <v>241</v>
      </c>
      <c r="B91" s="69">
        <f>CORREL('Stock Price from 1 April 2022 t'!$F$6:$F$908,'Stock Price from 1 April 2022 t'!F$6:F$908)</f>
        <v>0.99999999999999989</v>
      </c>
      <c r="C91" s="69">
        <f>CORREL('Stock Price from 1 April 2022 t'!$F$6:$F$908,'Stock Price from 1 April 2022 t'!M$6:M$908)</f>
        <v>0.22105629510064662</v>
      </c>
      <c r="D91" s="69">
        <f>CORREL('Stock Price from 1 April 2022 t'!$F$6:$F$908,'Stock Price from 1 April 2022 t'!T$6:T$908)</f>
        <v>0.197559312672345</v>
      </c>
      <c r="E91" s="69">
        <f>CORREL('Stock Price from 1 April 2022 t'!$F$6:$F$908,'Stock Price from 1 April 2022 t'!AA$6:AA$908)</f>
        <v>0.26302287610433439</v>
      </c>
      <c r="F91" s="69">
        <f>CORREL('Stock Price from 1 April 2022 t'!$F$6:$F$908,'Stock Price from 1 April 2022 t'!AH$6:AH$908)</f>
        <v>0.22454655791750452</v>
      </c>
      <c r="G91" s="54"/>
      <c r="H91" s="53"/>
      <c r="I91" s="53"/>
      <c r="J91" s="53"/>
      <c r="K91" s="53"/>
      <c r="L91" s="53"/>
      <c r="M91" s="53"/>
      <c r="N91" s="53"/>
      <c r="O91" s="53"/>
      <c r="P91" s="53"/>
      <c r="Q91" s="53"/>
      <c r="R91" s="53"/>
      <c r="S91" s="53"/>
      <c r="T91" s="53"/>
      <c r="U91" s="53"/>
    </row>
    <row r="92" spans="1:21" ht="16.8" x14ac:dyDescent="0.65">
      <c r="A92" s="69" t="s">
        <v>242</v>
      </c>
      <c r="B92" s="69">
        <f>CORREL('Stock Price from 1 April 2022 t'!$M$6:$M$908,'Stock Price from 1 April 2022 t'!F$6:F$908)</f>
        <v>0.22105629510064662</v>
      </c>
      <c r="C92" s="69">
        <f>CORREL('Stock Price from 1 April 2022 t'!$M$6:$M$908,'Stock Price from 1 April 2022 t'!M$6:M$908)</f>
        <v>0.99999999999999989</v>
      </c>
      <c r="D92" s="69">
        <f>CORREL('Stock Price from 1 April 2022 t'!$M$6:$M$908,'Stock Price from 1 April 2022 t'!T$6:T$908)</f>
        <v>0.33888844075462426</v>
      </c>
      <c r="E92" s="69">
        <f>CORREL('Stock Price from 1 April 2022 t'!$M$6:$M$908,'Stock Price from 1 April 2022 t'!AA$6:AA$908)</f>
        <v>0.2553899881712135</v>
      </c>
      <c r="F92" s="69">
        <f>CORREL('Stock Price from 1 April 2022 t'!$M$6:$M$908,'Stock Price from 1 April 2022 t'!AH$6:AH$908)</f>
        <v>0.29386801686666508</v>
      </c>
      <c r="G92" s="54"/>
      <c r="H92" s="53"/>
      <c r="I92" s="53"/>
      <c r="J92" s="53"/>
      <c r="K92" s="53"/>
      <c r="L92" s="53"/>
      <c r="M92" s="53"/>
      <c r="N92" s="53"/>
      <c r="O92" s="53"/>
      <c r="P92" s="53"/>
      <c r="Q92" s="53"/>
      <c r="R92" s="53"/>
      <c r="S92" s="53"/>
      <c r="T92" s="53"/>
      <c r="U92" s="53"/>
    </row>
    <row r="93" spans="1:21" ht="16.8" x14ac:dyDescent="0.65">
      <c r="A93" s="69" t="s">
        <v>243</v>
      </c>
      <c r="B93" s="69">
        <f>CORREL('Stock Price from 1 April 2022 t'!$T$6:$T$908,'Stock Price from 1 April 2022 t'!F$6:F$908)</f>
        <v>0.197559312672345</v>
      </c>
      <c r="C93" s="69">
        <f>CORREL('Stock Price from 1 April 2022 t'!$T$6:$T$908,'Stock Price from 1 April 2022 t'!M$6:M$908)</f>
        <v>0.33888844075462426</v>
      </c>
      <c r="D93" s="69">
        <f>CORREL('Stock Price from 1 April 2022 t'!$T$6:$T$908,'Stock Price from 1 April 2022 t'!T$6:T$908)</f>
        <v>1</v>
      </c>
      <c r="E93" s="69">
        <f>CORREL('Stock Price from 1 April 2022 t'!$T$6:$T$908,'Stock Price from 1 April 2022 t'!AA$6:AA$908)</f>
        <v>0.25556498531774097</v>
      </c>
      <c r="F93" s="69">
        <f>CORREL('Stock Price from 1 April 2022 t'!$T$6:$T$908,'Stock Price from 1 April 2022 t'!AH$6:AH$908)</f>
        <v>0.17934665707086545</v>
      </c>
      <c r="G93" s="54"/>
      <c r="H93" s="53"/>
      <c r="I93" s="53"/>
      <c r="J93" s="53"/>
      <c r="K93" s="53"/>
      <c r="L93" s="53"/>
      <c r="M93" s="53"/>
      <c r="N93" s="53"/>
      <c r="O93" s="53"/>
      <c r="P93" s="53"/>
      <c r="Q93" s="53"/>
      <c r="R93" s="53"/>
      <c r="S93" s="53"/>
      <c r="T93" s="53"/>
      <c r="U93" s="53"/>
    </row>
    <row r="94" spans="1:21" ht="16.8" x14ac:dyDescent="0.65">
      <c r="A94" s="69" t="s">
        <v>244</v>
      </c>
      <c r="B94" s="69">
        <f>CORREL('Stock Price from 1 April 2022 t'!$AA$6:$AA$908,'Stock Price from 1 April 2022 t'!F$6:F$908)</f>
        <v>0.26302287610433439</v>
      </c>
      <c r="C94" s="69">
        <f>CORREL('Stock Price from 1 April 2022 t'!$AA$6:$AA$908,'Stock Price from 1 April 2022 t'!M$6:M$908)</f>
        <v>0.2553899881712135</v>
      </c>
      <c r="D94" s="69">
        <f>CORREL('Stock Price from 1 April 2022 t'!$AA$6:$AA$908,'Stock Price from 1 April 2022 t'!T$6:T$908)</f>
        <v>0.25556498531774097</v>
      </c>
      <c r="E94" s="69">
        <f>CORREL('Stock Price from 1 April 2022 t'!$AA$6:$AA$908,'Stock Price from 1 April 2022 t'!AA$6:AA$908)</f>
        <v>0.99999999999999989</v>
      </c>
      <c r="F94" s="69">
        <f>CORREL('Stock Price from 1 April 2022 t'!$AA$6:$AA$908,'Stock Price from 1 April 2022 t'!AH$6:AH$908)</f>
        <v>0.18065740295955746</v>
      </c>
      <c r="G94" s="54"/>
      <c r="H94" s="53"/>
      <c r="I94" s="53"/>
      <c r="J94" s="53"/>
      <c r="K94" s="53"/>
      <c r="L94" s="53"/>
      <c r="M94" s="53"/>
      <c r="N94" s="53"/>
      <c r="O94" s="53"/>
      <c r="P94" s="53"/>
      <c r="Q94" s="53"/>
      <c r="R94" s="53"/>
      <c r="S94" s="53"/>
      <c r="T94" s="53"/>
      <c r="U94" s="53"/>
    </row>
    <row r="95" spans="1:21" ht="16.8" x14ac:dyDescent="0.65">
      <c r="A95" s="69" t="s">
        <v>245</v>
      </c>
      <c r="B95" s="69">
        <f>CORREL('Stock Price from 1 April 2022 t'!$AH$6:$AH$908,'Stock Price from 1 April 2022 t'!F$6:F$908)</f>
        <v>0.22454655791750452</v>
      </c>
      <c r="C95" s="69">
        <f>CORREL('Stock Price from 1 April 2022 t'!$AH$6:$AH$908,'Stock Price from 1 April 2022 t'!M$6:M$908)</f>
        <v>0.29386801686666508</v>
      </c>
      <c r="D95" s="69">
        <f>CORREL('Stock Price from 1 April 2022 t'!$AH$6:$AH$908,'Stock Price from 1 April 2022 t'!T6:T$908)</f>
        <v>0.17934665707086545</v>
      </c>
      <c r="E95" s="69">
        <f>CORREL('Stock Price from 1 April 2022 t'!$AH$6:$AH$908,'Stock Price from 1 April 2022 t'!AA$6:AA$908)</f>
        <v>0.18065740295955746</v>
      </c>
      <c r="F95" s="69">
        <f>CORREL('Stock Price from 1 April 2022 t'!$AH$6:$AH$908,'Stock Price from 1 April 2022 t'!AH$6:AH$908)</f>
        <v>0.99999999999999989</v>
      </c>
      <c r="G95" s="54"/>
      <c r="H95" s="53"/>
      <c r="I95" s="53"/>
      <c r="J95" s="53"/>
      <c r="K95" s="53"/>
      <c r="L95" s="53"/>
      <c r="M95" s="53"/>
      <c r="N95" s="53"/>
      <c r="O95" s="53"/>
      <c r="P95" s="53"/>
      <c r="Q95" s="53"/>
      <c r="R95" s="53"/>
      <c r="S95" s="53"/>
      <c r="T95" s="53"/>
      <c r="U95" s="53"/>
    </row>
    <row r="96" spans="1:21" ht="16.8" x14ac:dyDescent="0.65">
      <c r="A96" s="54"/>
      <c r="B96" s="53"/>
      <c r="C96" s="53"/>
      <c r="D96" s="53"/>
      <c r="E96" s="53"/>
      <c r="F96" s="53"/>
      <c r="G96" s="54"/>
      <c r="H96" s="53"/>
      <c r="I96" s="53"/>
      <c r="J96" s="53"/>
      <c r="K96" s="53"/>
      <c r="L96" s="53"/>
      <c r="M96" s="53"/>
      <c r="N96" s="53"/>
      <c r="O96" s="53"/>
      <c r="P96" s="53"/>
      <c r="Q96" s="53"/>
      <c r="R96" s="53"/>
      <c r="S96" s="53"/>
      <c r="T96" s="53"/>
      <c r="U96" s="53"/>
    </row>
    <row r="97" spans="1:21" ht="16.8" x14ac:dyDescent="0.65">
      <c r="A97" s="78" t="s">
        <v>382</v>
      </c>
      <c r="B97" s="56" t="s">
        <v>241</v>
      </c>
      <c r="C97" s="56" t="s">
        <v>242</v>
      </c>
      <c r="D97" s="56" t="s">
        <v>243</v>
      </c>
      <c r="E97" s="56" t="s">
        <v>244</v>
      </c>
      <c r="F97" s="56" t="s">
        <v>245</v>
      </c>
      <c r="G97" s="54"/>
      <c r="H97" s="79" t="s">
        <v>383</v>
      </c>
      <c r="I97" s="53"/>
      <c r="J97" s="53"/>
      <c r="K97" s="53"/>
      <c r="L97" s="53"/>
      <c r="M97" s="53"/>
      <c r="N97" s="53"/>
      <c r="O97" s="53"/>
      <c r="P97" s="53"/>
      <c r="Q97" s="53"/>
      <c r="R97" s="53"/>
      <c r="S97" s="53"/>
      <c r="T97" s="53"/>
      <c r="U97" s="53"/>
    </row>
    <row r="98" spans="1:21" ht="16.8" x14ac:dyDescent="0.65">
      <c r="A98" s="69" t="s">
        <v>241</v>
      </c>
      <c r="B98" s="69">
        <f>B38^2/10000</f>
        <v>9.3616517941525298E-2</v>
      </c>
      <c r="C98" s="69">
        <f t="shared" ref="C98:F98" si="30">$B$38*C38*C91/10000</f>
        <v>1.4567016455422032E-2</v>
      </c>
      <c r="D98" s="69">
        <f t="shared" si="30"/>
        <v>1.2106326651884701E-2</v>
      </c>
      <c r="E98" s="69">
        <f t="shared" si="30"/>
        <v>1.9968768564946095E-2</v>
      </c>
      <c r="F98" s="69">
        <f t="shared" si="30"/>
        <v>2.375018004228327E-2</v>
      </c>
      <c r="G98" s="54"/>
      <c r="H98" s="69">
        <f t="array" ref="H98:L102">MINVERSE(B98:F102)</f>
        <v>12.164965030631521</v>
      </c>
      <c r="I98" s="69">
        <v>-1.7277112811187165</v>
      </c>
      <c r="J98" s="69">
        <v>-1.6635080562607589</v>
      </c>
      <c r="K98" s="69">
        <v>-2.8261824400960491</v>
      </c>
      <c r="L98" s="69">
        <v>-1.562081354082034</v>
      </c>
      <c r="M98" s="53"/>
      <c r="N98" s="53"/>
      <c r="O98" s="53"/>
      <c r="P98" s="53"/>
      <c r="Q98" s="53"/>
      <c r="R98" s="53"/>
      <c r="S98" s="53"/>
      <c r="T98" s="53"/>
      <c r="U98" s="53"/>
    </row>
    <row r="99" spans="1:21" ht="16.8" x14ac:dyDescent="0.65">
      <c r="A99" s="69" t="s">
        <v>242</v>
      </c>
      <c r="B99" s="69">
        <f t="shared" ref="B99:F99" si="31">B38*$C$38*B92/10000</f>
        <v>1.4567016455422032E-2</v>
      </c>
      <c r="C99" s="69">
        <f t="shared" si="31"/>
        <v>4.6385577094828018E-2</v>
      </c>
      <c r="D99" s="69">
        <f t="shared" si="31"/>
        <v>1.4617963636363657E-2</v>
      </c>
      <c r="E99" s="69">
        <f t="shared" si="31"/>
        <v>1.3648246872582854E-2</v>
      </c>
      <c r="F99" s="69">
        <f t="shared" si="31"/>
        <v>2.1879030140772429E-2</v>
      </c>
      <c r="G99" s="54"/>
      <c r="H99" s="69">
        <v>-1.7277112811187165</v>
      </c>
      <c r="I99" s="69">
        <v>26.902467321785419</v>
      </c>
      <c r="J99" s="69">
        <v>-7.2563922549486826</v>
      </c>
      <c r="K99" s="69">
        <v>-3.0421596278787497</v>
      </c>
      <c r="L99" s="69">
        <v>-3.4336553818430557</v>
      </c>
      <c r="M99" s="53"/>
      <c r="N99" s="53"/>
      <c r="O99" s="53"/>
      <c r="P99" s="53"/>
      <c r="Q99" s="53"/>
      <c r="R99" s="53"/>
      <c r="S99" s="53"/>
      <c r="T99" s="53"/>
      <c r="U99" s="53"/>
    </row>
    <row r="100" spans="1:21" ht="16.8" x14ac:dyDescent="0.65">
      <c r="A100" s="69" t="s">
        <v>243</v>
      </c>
      <c r="B100" s="69">
        <f t="shared" ref="B100:F100" si="32">B38*$D$38*B93/10000</f>
        <v>1.2106326651884701E-2</v>
      </c>
      <c r="C100" s="69">
        <f t="shared" si="32"/>
        <v>1.4617963636363657E-2</v>
      </c>
      <c r="D100" s="69">
        <f t="shared" si="32"/>
        <v>4.0112273614190744E-2</v>
      </c>
      <c r="E100" s="69">
        <f t="shared" si="32"/>
        <v>1.2700520221729504E-2</v>
      </c>
      <c r="F100" s="69">
        <f t="shared" si="32"/>
        <v>1.2416985898004421E-2</v>
      </c>
      <c r="G100" s="54"/>
      <c r="H100" s="69">
        <v>-1.6635080562607587</v>
      </c>
      <c r="I100" s="69">
        <v>-7.2563922549486826</v>
      </c>
      <c r="J100" s="69">
        <v>29.539205076167921</v>
      </c>
      <c r="K100" s="69">
        <v>-3.7115002316989609</v>
      </c>
      <c r="L100" s="69">
        <v>-0.92889229953798047</v>
      </c>
      <c r="M100" s="53"/>
      <c r="N100" s="53"/>
      <c r="O100" s="53"/>
      <c r="P100" s="53"/>
      <c r="Q100" s="53"/>
      <c r="R100" s="53"/>
      <c r="S100" s="53"/>
      <c r="T100" s="53"/>
      <c r="U100" s="53"/>
    </row>
    <row r="101" spans="1:21" ht="16.8" x14ac:dyDescent="0.65">
      <c r="A101" s="69" t="s">
        <v>244</v>
      </c>
      <c r="B101" s="69">
        <f t="shared" ref="B101:F101" si="33">B38*$E$38*B94/10000</f>
        <v>1.9968768564946095E-2</v>
      </c>
      <c r="C101" s="69">
        <f t="shared" si="33"/>
        <v>1.3648246872582854E-2</v>
      </c>
      <c r="D101" s="69">
        <f t="shared" si="33"/>
        <v>1.2700520221729504E-2</v>
      </c>
      <c r="E101" s="69">
        <f t="shared" si="33"/>
        <v>6.1569133124323216E-2</v>
      </c>
      <c r="F101" s="69">
        <f t="shared" si="33"/>
        <v>1.5496069106378574E-2</v>
      </c>
      <c r="G101" s="54"/>
      <c r="H101" s="69">
        <v>-2.8261824400960491</v>
      </c>
      <c r="I101" s="69">
        <v>-3.0421596278787497</v>
      </c>
      <c r="J101" s="69">
        <v>-3.7115002316989609</v>
      </c>
      <c r="K101" s="69">
        <v>18.834588231545759</v>
      </c>
      <c r="L101" s="69">
        <v>-0.93802871094166207</v>
      </c>
      <c r="M101" s="53"/>
      <c r="N101" s="53"/>
      <c r="O101" s="53"/>
      <c r="P101" s="53"/>
      <c r="Q101" s="53"/>
      <c r="R101" s="53"/>
      <c r="S101" s="53"/>
      <c r="T101" s="53"/>
      <c r="U101" s="53"/>
    </row>
    <row r="102" spans="1:21" ht="16.8" x14ac:dyDescent="0.65">
      <c r="A102" s="69" t="s">
        <v>245</v>
      </c>
      <c r="B102" s="69">
        <f t="shared" ref="B102:F102" si="34">B38*$F$38*B95/10000</f>
        <v>2.375018004228327E-2</v>
      </c>
      <c r="C102" s="69">
        <f t="shared" si="34"/>
        <v>2.1879030140772429E-2</v>
      </c>
      <c r="D102" s="69">
        <f t="shared" si="34"/>
        <v>1.2416985898004421E-2</v>
      </c>
      <c r="E102" s="69">
        <f t="shared" si="34"/>
        <v>1.5496069106378574E-2</v>
      </c>
      <c r="F102" s="69">
        <f t="shared" si="34"/>
        <v>0.11950017041612934</v>
      </c>
      <c r="G102" s="54"/>
      <c r="H102" s="69">
        <v>-1.5620813540820335</v>
      </c>
      <c r="I102" s="69">
        <v>-3.4336553818430549</v>
      </c>
      <c r="J102" s="69">
        <v>-0.92889229953798058</v>
      </c>
      <c r="K102" s="69">
        <v>-0.93802871094166196</v>
      </c>
      <c r="L102" s="69">
        <v>9.5254639331587043</v>
      </c>
      <c r="M102" s="53"/>
      <c r="N102" s="53"/>
      <c r="O102" s="53"/>
      <c r="P102" s="53"/>
      <c r="Q102" s="53"/>
      <c r="R102" s="53"/>
      <c r="S102" s="53"/>
      <c r="T102" s="53"/>
      <c r="U102" s="53"/>
    </row>
    <row r="103" spans="1:21" ht="16.8" x14ac:dyDescent="0.65">
      <c r="A103" s="54"/>
      <c r="B103" s="53"/>
      <c r="C103" s="53"/>
      <c r="D103" s="53"/>
      <c r="E103" s="53"/>
      <c r="F103" s="53"/>
      <c r="G103" s="54"/>
      <c r="H103" s="53"/>
      <c r="I103" s="53"/>
      <c r="J103" s="53"/>
      <c r="K103" s="53"/>
      <c r="L103" s="53"/>
      <c r="M103" s="53"/>
      <c r="N103" s="53"/>
      <c r="O103" s="53"/>
      <c r="P103" s="53"/>
      <c r="Q103" s="53"/>
      <c r="R103" s="53"/>
      <c r="S103" s="53"/>
      <c r="T103" s="53"/>
      <c r="U103" s="53"/>
    </row>
    <row r="104" spans="1:21" ht="16.8" x14ac:dyDescent="0.65">
      <c r="A104" s="54"/>
      <c r="B104" s="53"/>
      <c r="C104" s="53"/>
      <c r="D104" s="53"/>
      <c r="E104" s="53"/>
      <c r="F104" s="53"/>
      <c r="G104" s="54"/>
      <c r="H104" s="53"/>
      <c r="I104" s="53"/>
      <c r="J104" s="53"/>
      <c r="K104" s="53"/>
      <c r="L104" s="53"/>
      <c r="M104" s="53"/>
      <c r="N104" s="53"/>
      <c r="O104" s="53"/>
      <c r="P104" s="53"/>
      <c r="Q104" s="53"/>
      <c r="R104" s="53"/>
      <c r="S104" s="53"/>
      <c r="T104" s="53"/>
      <c r="U104" s="53"/>
    </row>
    <row r="105" spans="1:21" ht="16.8" x14ac:dyDescent="0.65">
      <c r="A105" s="158" t="s">
        <v>384</v>
      </c>
      <c r="B105" s="153"/>
      <c r="C105" s="153"/>
      <c r="D105" s="153"/>
      <c r="E105" s="153"/>
      <c r="F105" s="153"/>
      <c r="G105" s="153"/>
      <c r="H105" s="153"/>
      <c r="I105" s="53"/>
      <c r="J105" s="53"/>
      <c r="K105" s="53"/>
      <c r="L105" s="53"/>
      <c r="M105" s="53"/>
      <c r="N105" s="53"/>
      <c r="O105" s="53"/>
      <c r="P105" s="53"/>
      <c r="Q105" s="53"/>
      <c r="R105" s="53"/>
      <c r="S105" s="53"/>
      <c r="T105" s="53"/>
      <c r="U105" s="53"/>
    </row>
    <row r="106" spans="1:21" ht="16.8" x14ac:dyDescent="0.65">
      <c r="A106" s="80" t="s">
        <v>385</v>
      </c>
      <c r="B106" s="81" t="s">
        <v>241</v>
      </c>
      <c r="C106" s="81" t="s">
        <v>242</v>
      </c>
      <c r="D106" s="81" t="s">
        <v>243</v>
      </c>
      <c r="E106" s="81" t="s">
        <v>244</v>
      </c>
      <c r="F106" s="81" t="s">
        <v>245</v>
      </c>
      <c r="G106" s="80" t="s">
        <v>386</v>
      </c>
      <c r="H106" s="82" t="s">
        <v>387</v>
      </c>
      <c r="I106" s="53"/>
      <c r="J106" s="53"/>
      <c r="K106" s="53"/>
      <c r="L106" s="53"/>
      <c r="M106" s="53"/>
      <c r="N106" s="53"/>
      <c r="O106" s="53"/>
      <c r="P106" s="53"/>
      <c r="Q106" s="53"/>
      <c r="R106" s="53"/>
      <c r="S106" s="53"/>
      <c r="T106" s="53"/>
      <c r="U106" s="53"/>
    </row>
    <row r="107" spans="1:21" ht="16.8" x14ac:dyDescent="0.65">
      <c r="A107" s="83" t="s">
        <v>388</v>
      </c>
      <c r="B107" s="84">
        <v>0.18</v>
      </c>
      <c r="C107" s="84">
        <v>0.313</v>
      </c>
      <c r="D107" s="84">
        <v>0.155</v>
      </c>
      <c r="E107" s="84">
        <v>0.1</v>
      </c>
      <c r="F107" s="84">
        <v>0.252</v>
      </c>
      <c r="G107" s="84">
        <f>SUM(B107:F107)</f>
        <v>1</v>
      </c>
      <c r="H107" s="69"/>
      <c r="I107" s="53"/>
      <c r="J107" s="53"/>
      <c r="K107" s="53"/>
      <c r="L107" s="53"/>
      <c r="M107" s="53"/>
      <c r="N107" s="53"/>
      <c r="O107" s="53"/>
      <c r="P107" s="53"/>
      <c r="Q107" s="53"/>
      <c r="R107" s="53"/>
      <c r="S107" s="53"/>
      <c r="T107" s="53"/>
      <c r="U107" s="53"/>
    </row>
    <row r="108" spans="1:21" ht="16.8" x14ac:dyDescent="0.65">
      <c r="A108" s="141" t="s">
        <v>389</v>
      </c>
      <c r="B108" s="142"/>
      <c r="C108" s="142"/>
      <c r="D108" s="142"/>
      <c r="E108" s="142"/>
      <c r="F108" s="143"/>
      <c r="G108" s="63">
        <f>'Stock Price from 1 April 2022 t'!AK911</f>
        <v>14.035942281310154</v>
      </c>
      <c r="H108" s="69">
        <f t="shared" ref="H108:H109" si="35">H37</f>
        <v>12.131736662386627</v>
      </c>
      <c r="I108" s="53"/>
      <c r="J108" s="53"/>
      <c r="K108" s="53"/>
      <c r="L108" s="53"/>
      <c r="M108" s="53"/>
      <c r="N108" s="53"/>
      <c r="O108" s="53"/>
      <c r="P108" s="53"/>
      <c r="Q108" s="53"/>
      <c r="R108" s="53"/>
      <c r="S108" s="53"/>
      <c r="T108" s="53"/>
      <c r="U108" s="53"/>
    </row>
    <row r="109" spans="1:21" ht="16.8" x14ac:dyDescent="0.65">
      <c r="A109" s="145" t="s">
        <v>390</v>
      </c>
      <c r="B109" s="142"/>
      <c r="C109" s="142"/>
      <c r="D109" s="142"/>
      <c r="E109" s="142"/>
      <c r="F109" s="143"/>
      <c r="G109" s="63">
        <f>'Stock Price from 1 April 2022 t'!AK912</f>
        <v>17.264137027549094</v>
      </c>
      <c r="H109" s="69">
        <f t="shared" si="35"/>
        <v>12.901206801936052</v>
      </c>
      <c r="I109" s="53"/>
      <c r="J109" s="53"/>
      <c r="K109" s="53"/>
      <c r="L109" s="53"/>
      <c r="M109" s="53"/>
      <c r="N109" s="53"/>
      <c r="O109" s="53"/>
      <c r="P109" s="53"/>
      <c r="Q109" s="53"/>
      <c r="R109" s="53"/>
      <c r="S109" s="53"/>
      <c r="T109" s="53"/>
      <c r="U109" s="53"/>
    </row>
    <row r="110" spans="1:21" ht="16.8" x14ac:dyDescent="0.65">
      <c r="A110" s="141" t="s">
        <v>334</v>
      </c>
      <c r="B110" s="142"/>
      <c r="C110" s="142"/>
      <c r="D110" s="142"/>
      <c r="E110" s="142"/>
      <c r="F110" s="143"/>
      <c r="G110" s="63">
        <v>6.5</v>
      </c>
      <c r="H110" s="69">
        <v>6.5</v>
      </c>
      <c r="I110" s="53"/>
      <c r="J110" s="53"/>
      <c r="K110" s="53"/>
      <c r="L110" s="53"/>
      <c r="M110" s="53"/>
      <c r="N110" s="53"/>
      <c r="O110" s="53"/>
      <c r="P110" s="53"/>
      <c r="Q110" s="53"/>
      <c r="R110" s="53"/>
      <c r="S110" s="53"/>
      <c r="T110" s="53"/>
      <c r="U110" s="53"/>
    </row>
    <row r="111" spans="1:21" ht="16.8" x14ac:dyDescent="0.65">
      <c r="A111" s="144" t="s">
        <v>391</v>
      </c>
      <c r="B111" s="142"/>
      <c r="C111" s="142"/>
      <c r="D111" s="142"/>
      <c r="E111" s="142"/>
      <c r="F111" s="143"/>
      <c r="G111" s="85">
        <f>(G108-G110)/G109</f>
        <v>0.43650848399110487</v>
      </c>
      <c r="H111" s="56">
        <f>H55</f>
        <v>0.43652789609895148</v>
      </c>
      <c r="I111" s="53"/>
      <c r="J111" s="53"/>
      <c r="K111" s="53"/>
      <c r="L111" s="53"/>
      <c r="M111" s="53"/>
      <c r="N111" s="53"/>
      <c r="O111" s="53"/>
      <c r="P111" s="53"/>
      <c r="Q111" s="53"/>
      <c r="R111" s="53"/>
      <c r="S111" s="53"/>
      <c r="T111" s="53"/>
      <c r="U111" s="53"/>
    </row>
    <row r="112" spans="1:21" ht="16.8" x14ac:dyDescent="0.65">
      <c r="A112" s="54"/>
      <c r="B112" s="53"/>
      <c r="C112" s="53"/>
      <c r="D112" s="53"/>
      <c r="E112" s="53"/>
      <c r="F112" s="53"/>
      <c r="G112" s="54"/>
      <c r="H112" s="53"/>
      <c r="I112" s="53"/>
      <c r="J112" s="53"/>
      <c r="K112" s="53"/>
      <c r="L112" s="53"/>
      <c r="M112" s="53"/>
      <c r="N112" s="53"/>
      <c r="O112" s="53"/>
      <c r="P112" s="53"/>
      <c r="Q112" s="53"/>
      <c r="R112" s="53"/>
      <c r="S112" s="53"/>
      <c r="T112" s="53"/>
      <c r="U112" s="53"/>
    </row>
    <row r="113" spans="1:21" ht="16.8" x14ac:dyDescent="0.65">
      <c r="A113" s="54"/>
      <c r="B113" s="53"/>
      <c r="C113" s="53"/>
      <c r="D113" s="53"/>
      <c r="E113" s="53"/>
      <c r="F113" s="53"/>
      <c r="G113" s="54"/>
      <c r="H113" s="53"/>
      <c r="I113" s="53"/>
      <c r="J113" s="53"/>
      <c r="K113" s="53"/>
      <c r="L113" s="53"/>
      <c r="M113" s="53"/>
      <c r="N113" s="53"/>
      <c r="O113" s="53"/>
      <c r="P113" s="53"/>
      <c r="Q113" s="53"/>
      <c r="R113" s="53"/>
      <c r="S113" s="53"/>
      <c r="T113" s="53"/>
      <c r="U113" s="53"/>
    </row>
    <row r="114" spans="1:21" ht="16.8" x14ac:dyDescent="0.65">
      <c r="A114" s="54"/>
      <c r="B114" s="53"/>
      <c r="C114" s="53"/>
      <c r="D114" s="53"/>
      <c r="E114" s="53"/>
      <c r="F114" s="53"/>
      <c r="G114" s="54"/>
      <c r="H114" s="53"/>
      <c r="I114" s="53"/>
      <c r="J114" s="53"/>
      <c r="K114" s="53"/>
      <c r="L114" s="53"/>
      <c r="M114" s="53"/>
      <c r="N114" s="53"/>
      <c r="O114" s="53"/>
      <c r="P114" s="53"/>
      <c r="Q114" s="53"/>
      <c r="R114" s="53"/>
      <c r="S114" s="53"/>
      <c r="T114" s="53"/>
      <c r="U114" s="53"/>
    </row>
    <row r="115" spans="1:21" ht="16.8" x14ac:dyDescent="0.65">
      <c r="A115" s="54"/>
      <c r="B115" s="53"/>
      <c r="C115" s="53"/>
      <c r="D115" s="53"/>
      <c r="E115" s="53"/>
      <c r="F115" s="53"/>
      <c r="G115" s="54"/>
      <c r="H115" s="53"/>
      <c r="I115" s="53"/>
      <c r="J115" s="53"/>
      <c r="K115" s="53"/>
      <c r="L115" s="53"/>
      <c r="M115" s="53"/>
      <c r="N115" s="53"/>
      <c r="O115" s="53"/>
      <c r="P115" s="53"/>
      <c r="Q115" s="53"/>
      <c r="R115" s="53"/>
      <c r="S115" s="53"/>
      <c r="T115" s="53"/>
      <c r="U115" s="53"/>
    </row>
    <row r="116" spans="1:21" ht="16.8" x14ac:dyDescent="0.65">
      <c r="A116" s="54"/>
      <c r="B116" s="53"/>
      <c r="C116" s="53"/>
      <c r="D116" s="53"/>
      <c r="E116" s="53"/>
      <c r="F116" s="53"/>
      <c r="G116" s="54"/>
      <c r="H116" s="53"/>
      <c r="I116" s="53"/>
      <c r="J116" s="53"/>
      <c r="K116" s="53"/>
      <c r="L116" s="53"/>
      <c r="M116" s="53"/>
      <c r="N116" s="53"/>
      <c r="O116" s="53"/>
      <c r="P116" s="53"/>
      <c r="Q116" s="53"/>
      <c r="R116" s="53"/>
      <c r="S116" s="53"/>
      <c r="T116" s="53"/>
      <c r="U116" s="53"/>
    </row>
    <row r="117" spans="1:21" ht="16.8" x14ac:dyDescent="0.65">
      <c r="A117" s="54"/>
      <c r="B117" s="53"/>
      <c r="C117" s="53"/>
      <c r="D117" s="53"/>
      <c r="E117" s="53"/>
      <c r="F117" s="53"/>
      <c r="G117" s="54"/>
      <c r="H117" s="53"/>
      <c r="I117" s="53"/>
      <c r="J117" s="53"/>
      <c r="K117" s="53"/>
      <c r="L117" s="53"/>
      <c r="M117" s="53"/>
      <c r="N117" s="53"/>
      <c r="O117" s="53"/>
      <c r="P117" s="53"/>
      <c r="Q117" s="53"/>
      <c r="R117" s="53"/>
      <c r="S117" s="53"/>
      <c r="T117" s="53"/>
      <c r="U117" s="53"/>
    </row>
    <row r="118" spans="1:21" ht="16.8" x14ac:dyDescent="0.65">
      <c r="A118" s="55" t="s">
        <v>392</v>
      </c>
      <c r="B118" s="53"/>
      <c r="C118" s="53"/>
      <c r="D118" s="53"/>
      <c r="E118" s="53"/>
      <c r="F118" s="53"/>
      <c r="G118" s="54"/>
      <c r="H118" s="53"/>
      <c r="I118" s="53"/>
      <c r="J118" s="53"/>
      <c r="K118" s="53"/>
      <c r="L118" s="53"/>
      <c r="M118" s="53"/>
      <c r="N118" s="53"/>
      <c r="O118" s="53"/>
      <c r="P118" s="53"/>
      <c r="Q118" s="53"/>
      <c r="R118" s="53"/>
      <c r="S118" s="53"/>
      <c r="T118" s="53"/>
      <c r="U118" s="53"/>
    </row>
    <row r="119" spans="1:21" ht="16.8" x14ac:dyDescent="0.65">
      <c r="A119" s="55" t="s">
        <v>393</v>
      </c>
      <c r="B119" s="79" t="s">
        <v>241</v>
      </c>
      <c r="C119" s="79" t="s">
        <v>242</v>
      </c>
      <c r="D119" s="79" t="s">
        <v>394</v>
      </c>
      <c r="E119" s="79" t="s">
        <v>244</v>
      </c>
      <c r="F119" s="79" t="s">
        <v>395</v>
      </c>
      <c r="G119" s="54"/>
      <c r="H119" s="53"/>
      <c r="I119" s="53"/>
      <c r="J119" s="53"/>
      <c r="K119" s="53"/>
      <c r="L119" s="53"/>
      <c r="M119" s="53"/>
      <c r="N119" s="53"/>
      <c r="O119" s="53"/>
      <c r="P119" s="53"/>
      <c r="Q119" s="53"/>
      <c r="R119" s="53"/>
      <c r="S119" s="53"/>
      <c r="T119" s="53"/>
      <c r="U119" s="53"/>
    </row>
    <row r="120" spans="1:21" ht="16.8" x14ac:dyDescent="0.65">
      <c r="A120" s="54"/>
      <c r="B120" s="53"/>
      <c r="C120" s="53"/>
      <c r="D120" s="53"/>
      <c r="E120" s="53"/>
      <c r="F120" s="53"/>
      <c r="G120" s="54"/>
      <c r="H120" s="53"/>
      <c r="I120" s="53"/>
      <c r="J120" s="53"/>
      <c r="K120" s="53"/>
      <c r="L120" s="53"/>
      <c r="M120" s="53"/>
      <c r="N120" s="53"/>
      <c r="O120" s="53"/>
      <c r="P120" s="53"/>
      <c r="Q120" s="53"/>
      <c r="R120" s="53"/>
      <c r="S120" s="53"/>
      <c r="T120" s="53"/>
      <c r="U120" s="53"/>
    </row>
    <row r="121" spans="1:21" ht="16.8" x14ac:dyDescent="0.65">
      <c r="A121" s="83" t="s">
        <v>388</v>
      </c>
      <c r="B121" s="84">
        <v>8.2199999999999995E-2</v>
      </c>
      <c r="C121" s="84">
        <v>0.41959999999999997</v>
      </c>
      <c r="D121" s="84">
        <v>0.27200000000000002</v>
      </c>
      <c r="E121" s="84">
        <v>0.2</v>
      </c>
      <c r="F121" s="84">
        <v>2.6200000000000001E-2</v>
      </c>
      <c r="G121" s="84">
        <f>SUM(B121:F121)</f>
        <v>1</v>
      </c>
      <c r="H121" s="53"/>
      <c r="I121" s="53"/>
      <c r="J121" s="53"/>
      <c r="K121" s="53"/>
      <c r="L121" s="53"/>
      <c r="M121" s="53"/>
      <c r="N121" s="53"/>
      <c r="O121" s="53"/>
      <c r="P121" s="53"/>
      <c r="Q121" s="53"/>
      <c r="R121" s="53"/>
      <c r="S121" s="53"/>
      <c r="T121" s="53"/>
      <c r="U121" s="53"/>
    </row>
    <row r="122" spans="1:21" ht="16.8" x14ac:dyDescent="0.65">
      <c r="A122" s="141" t="s">
        <v>389</v>
      </c>
      <c r="B122" s="142"/>
      <c r="C122" s="142"/>
      <c r="D122" s="142"/>
      <c r="E122" s="142"/>
      <c r="F122" s="143"/>
      <c r="G122" s="63"/>
      <c r="H122" s="53"/>
      <c r="I122" s="53"/>
      <c r="J122" s="53"/>
      <c r="K122" s="53"/>
      <c r="L122" s="53"/>
      <c r="M122" s="53"/>
      <c r="N122" s="53"/>
      <c r="O122" s="53"/>
      <c r="P122" s="53"/>
      <c r="Q122" s="53"/>
      <c r="R122" s="53"/>
      <c r="S122" s="53"/>
      <c r="T122" s="53"/>
      <c r="U122" s="53"/>
    </row>
    <row r="123" spans="1:21" ht="16.8" x14ac:dyDescent="0.65">
      <c r="A123" s="145" t="s">
        <v>390</v>
      </c>
      <c r="B123" s="142"/>
      <c r="C123" s="142"/>
      <c r="D123" s="142"/>
      <c r="E123" s="142"/>
      <c r="F123" s="143"/>
      <c r="G123" s="63">
        <f>'Stock Price from 1 April 2022 t'!AL912</f>
        <v>15.63542289861471</v>
      </c>
      <c r="H123" s="53"/>
      <c r="I123" s="53"/>
      <c r="J123" s="53"/>
      <c r="K123" s="53"/>
      <c r="L123" s="53"/>
      <c r="M123" s="53"/>
      <c r="N123" s="53"/>
      <c r="O123" s="53"/>
      <c r="P123" s="53"/>
      <c r="Q123" s="53"/>
      <c r="R123" s="53"/>
      <c r="S123" s="53"/>
      <c r="T123" s="53"/>
      <c r="U123" s="53"/>
    </row>
    <row r="124" spans="1:21" ht="16.8" x14ac:dyDescent="0.65">
      <c r="A124" s="53"/>
      <c r="B124" s="53"/>
      <c r="C124" s="53"/>
      <c r="D124" s="53"/>
      <c r="E124" s="53"/>
      <c r="F124" s="53"/>
      <c r="G124" s="53"/>
      <c r="H124" s="53"/>
      <c r="I124" s="53"/>
      <c r="J124" s="53"/>
      <c r="K124" s="53"/>
      <c r="L124" s="53"/>
      <c r="M124" s="53"/>
      <c r="N124" s="53"/>
    </row>
    <row r="125" spans="1:21" ht="16.8" x14ac:dyDescent="0.65">
      <c r="A125" s="53"/>
      <c r="B125" s="53"/>
      <c r="C125" s="53"/>
      <c r="D125" s="53"/>
      <c r="E125" s="53"/>
      <c r="F125" s="53"/>
      <c r="G125" s="53"/>
      <c r="H125" s="53"/>
      <c r="I125" s="53"/>
      <c r="J125" s="53"/>
      <c r="K125" s="53"/>
      <c r="L125" s="53"/>
      <c r="M125" s="53"/>
      <c r="N125" s="53"/>
    </row>
    <row r="126" spans="1:21" ht="50.4" x14ac:dyDescent="0.65">
      <c r="A126" s="86" t="s">
        <v>794</v>
      </c>
      <c r="B126" s="53"/>
      <c r="C126" s="53"/>
      <c r="D126" s="53"/>
      <c r="E126" s="53"/>
      <c r="F126" s="53"/>
      <c r="G126" s="54"/>
      <c r="H126" s="53"/>
      <c r="I126" s="53"/>
      <c r="J126" s="53"/>
      <c r="K126" s="53"/>
      <c r="L126" s="53"/>
      <c r="M126" s="53"/>
      <c r="N126" s="53"/>
      <c r="O126" s="53"/>
      <c r="P126" s="53"/>
      <c r="Q126" s="53"/>
      <c r="R126" s="53"/>
      <c r="S126" s="53"/>
      <c r="T126" s="53"/>
      <c r="U126" s="53"/>
    </row>
    <row r="127" spans="1:21" ht="16.8" x14ac:dyDescent="0.65">
      <c r="A127" s="54"/>
      <c r="B127" s="53"/>
      <c r="C127" s="53"/>
      <c r="D127" s="53"/>
      <c r="E127" s="53"/>
      <c r="F127" s="53"/>
      <c r="G127" s="54"/>
      <c r="H127" s="53"/>
      <c r="I127" s="53"/>
      <c r="J127" s="53"/>
      <c r="K127" s="53"/>
      <c r="L127" s="53"/>
      <c r="M127" s="53"/>
      <c r="N127" s="53"/>
      <c r="O127" s="53"/>
      <c r="P127" s="53"/>
      <c r="Q127" s="53"/>
      <c r="R127" s="53"/>
      <c r="S127" s="53"/>
      <c r="T127" s="53"/>
      <c r="U127" s="53"/>
    </row>
    <row r="128" spans="1:21" ht="16.8" x14ac:dyDescent="0.65">
      <c r="A128" s="54"/>
      <c r="B128" s="53"/>
      <c r="C128" s="53"/>
      <c r="D128" s="53"/>
      <c r="E128" s="53"/>
      <c r="F128" s="53"/>
      <c r="G128" s="54"/>
      <c r="H128" s="53"/>
      <c r="I128" s="53"/>
      <c r="J128" s="53"/>
      <c r="K128" s="53"/>
      <c r="L128" s="53"/>
      <c r="M128" s="53"/>
      <c r="N128" s="53"/>
      <c r="O128" s="53"/>
      <c r="P128" s="53"/>
      <c r="Q128" s="53"/>
      <c r="R128" s="53"/>
      <c r="S128" s="53"/>
      <c r="T128" s="53"/>
      <c r="U128" s="53"/>
    </row>
    <row r="129" spans="1:21" ht="16.8" x14ac:dyDescent="0.65">
      <c r="A129" s="54"/>
      <c r="B129" s="53"/>
      <c r="C129" s="53"/>
      <c r="D129" s="53"/>
      <c r="E129" s="53"/>
      <c r="F129" s="53"/>
      <c r="G129" s="54"/>
      <c r="H129" s="53"/>
      <c r="I129" s="53"/>
      <c r="J129" s="53"/>
      <c r="K129" s="53"/>
      <c r="L129" s="53"/>
      <c r="M129" s="53"/>
      <c r="N129" s="53"/>
      <c r="O129" s="53"/>
      <c r="P129" s="53"/>
      <c r="Q129" s="53"/>
      <c r="R129" s="53"/>
      <c r="S129" s="53"/>
      <c r="T129" s="53"/>
      <c r="U129" s="53"/>
    </row>
    <row r="130" spans="1:21" ht="16.8" x14ac:dyDescent="0.65">
      <c r="A130" s="54"/>
      <c r="B130" s="53"/>
      <c r="C130" s="53"/>
      <c r="D130" s="53"/>
      <c r="E130" s="53"/>
      <c r="F130" s="53"/>
      <c r="G130" s="54"/>
      <c r="H130" s="53"/>
      <c r="I130" s="53"/>
      <c r="J130" s="53"/>
      <c r="K130" s="53"/>
      <c r="L130" s="53"/>
      <c r="M130" s="53"/>
      <c r="N130" s="53"/>
      <c r="O130" s="53"/>
      <c r="P130" s="53"/>
      <c r="Q130" s="53"/>
      <c r="R130" s="53"/>
      <c r="S130" s="53"/>
      <c r="T130" s="53"/>
      <c r="U130" s="53"/>
    </row>
    <row r="131" spans="1:21" ht="16.8" x14ac:dyDescent="0.65">
      <c r="A131" s="54"/>
      <c r="B131" s="53"/>
      <c r="C131" s="53"/>
      <c r="D131" s="53"/>
      <c r="E131" s="53"/>
      <c r="F131" s="53"/>
      <c r="G131" s="54"/>
      <c r="H131" s="53"/>
      <c r="I131" s="53"/>
      <c r="J131" s="53"/>
      <c r="K131" s="53"/>
      <c r="L131" s="53"/>
      <c r="M131" s="53"/>
      <c r="N131" s="53"/>
      <c r="O131" s="53"/>
      <c r="P131" s="53"/>
      <c r="Q131" s="53"/>
      <c r="R131" s="53"/>
      <c r="S131" s="53"/>
      <c r="T131" s="53"/>
      <c r="U131" s="53"/>
    </row>
    <row r="132" spans="1:21" ht="16.8" x14ac:dyDescent="0.65">
      <c r="A132" s="54"/>
      <c r="B132" s="53"/>
      <c r="C132" s="53"/>
      <c r="D132" s="53"/>
      <c r="E132" s="53"/>
      <c r="F132" s="53"/>
      <c r="G132" s="54"/>
      <c r="H132" s="53"/>
      <c r="I132" s="53"/>
      <c r="J132" s="53"/>
      <c r="K132" s="53"/>
      <c r="L132" s="53"/>
      <c r="M132" s="53"/>
      <c r="N132" s="53"/>
      <c r="O132" s="53"/>
      <c r="P132" s="53"/>
      <c r="Q132" s="53"/>
      <c r="R132" s="53"/>
      <c r="S132" s="53"/>
      <c r="T132" s="53"/>
      <c r="U132" s="53"/>
    </row>
    <row r="133" spans="1:21" ht="16.8" x14ac:dyDescent="0.65">
      <c r="A133" s="54"/>
      <c r="B133" s="53"/>
      <c r="C133" s="53"/>
      <c r="D133" s="53"/>
      <c r="E133" s="53"/>
      <c r="F133" s="53"/>
      <c r="G133" s="54"/>
      <c r="H133" s="53"/>
      <c r="I133" s="53"/>
      <c r="J133" s="53"/>
      <c r="K133" s="53"/>
      <c r="L133" s="53"/>
      <c r="M133" s="53"/>
      <c r="N133" s="53"/>
      <c r="O133" s="53"/>
      <c r="P133" s="53"/>
      <c r="Q133" s="53"/>
      <c r="R133" s="53"/>
      <c r="S133" s="53"/>
      <c r="T133" s="53"/>
      <c r="U133" s="53"/>
    </row>
    <row r="134" spans="1:21" ht="16.8" x14ac:dyDescent="0.65">
      <c r="A134" s="54"/>
      <c r="B134" s="53"/>
      <c r="C134" s="53"/>
      <c r="D134" s="53"/>
      <c r="E134" s="53"/>
      <c r="F134" s="53"/>
      <c r="G134" s="54"/>
      <c r="H134" s="53"/>
      <c r="I134" s="53"/>
      <c r="J134" s="53"/>
      <c r="K134" s="53"/>
      <c r="L134" s="53"/>
      <c r="M134" s="53"/>
      <c r="N134" s="53"/>
      <c r="O134" s="53"/>
      <c r="P134" s="53"/>
      <c r="Q134" s="53"/>
      <c r="R134" s="53"/>
      <c r="S134" s="53"/>
      <c r="T134" s="53"/>
      <c r="U134" s="53"/>
    </row>
    <row r="135" spans="1:21" ht="16.8" x14ac:dyDescent="0.65">
      <c r="A135" s="54"/>
      <c r="B135" s="53"/>
      <c r="C135" s="53"/>
      <c r="D135" s="53"/>
      <c r="E135" s="53"/>
      <c r="F135" s="53"/>
      <c r="G135" s="54"/>
      <c r="H135" s="53"/>
      <c r="I135" s="53"/>
      <c r="J135" s="53"/>
      <c r="K135" s="53"/>
      <c r="L135" s="53"/>
      <c r="M135" s="53"/>
      <c r="N135" s="53"/>
      <c r="O135" s="53"/>
      <c r="P135" s="53"/>
      <c r="Q135" s="53"/>
      <c r="R135" s="53"/>
      <c r="S135" s="53"/>
      <c r="T135" s="53"/>
      <c r="U135" s="53"/>
    </row>
    <row r="136" spans="1:21" ht="16.8" x14ac:dyDescent="0.65">
      <c r="A136" s="54"/>
      <c r="B136" s="53"/>
      <c r="C136" s="53"/>
      <c r="D136" s="53"/>
      <c r="E136" s="53"/>
      <c r="F136" s="53"/>
      <c r="G136" s="54"/>
      <c r="H136" s="53"/>
      <c r="I136" s="53"/>
      <c r="J136" s="53"/>
      <c r="K136" s="53"/>
      <c r="L136" s="53"/>
      <c r="M136" s="53"/>
      <c r="N136" s="53"/>
      <c r="O136" s="53"/>
      <c r="P136" s="53"/>
      <c r="Q136" s="53"/>
      <c r="R136" s="53"/>
      <c r="S136" s="53"/>
      <c r="T136" s="53"/>
      <c r="U136" s="53"/>
    </row>
    <row r="137" spans="1:21" ht="16.8" x14ac:dyDescent="0.65">
      <c r="A137" s="54"/>
      <c r="B137" s="53"/>
      <c r="C137" s="53"/>
      <c r="D137" s="53"/>
      <c r="E137" s="53"/>
      <c r="F137" s="53"/>
      <c r="G137" s="54"/>
      <c r="H137" s="53"/>
      <c r="I137" s="53"/>
      <c r="J137" s="53"/>
      <c r="K137" s="53"/>
      <c r="L137" s="53"/>
      <c r="M137" s="53"/>
      <c r="N137" s="53"/>
      <c r="O137" s="53"/>
      <c r="P137" s="53"/>
      <c r="Q137" s="53"/>
      <c r="R137" s="53"/>
      <c r="S137" s="53"/>
      <c r="T137" s="53"/>
      <c r="U137" s="53"/>
    </row>
    <row r="138" spans="1:21" ht="16.8" x14ac:dyDescent="0.65">
      <c r="A138" s="54"/>
      <c r="B138" s="53"/>
      <c r="C138" s="53"/>
      <c r="D138" s="53"/>
      <c r="E138" s="53"/>
      <c r="F138" s="53"/>
      <c r="G138" s="54"/>
      <c r="H138" s="53"/>
      <c r="I138" s="53"/>
      <c r="J138" s="53"/>
      <c r="K138" s="53"/>
      <c r="L138" s="53"/>
      <c r="M138" s="53"/>
      <c r="N138" s="53"/>
      <c r="O138" s="53"/>
      <c r="P138" s="53"/>
      <c r="Q138" s="53"/>
      <c r="R138" s="53"/>
      <c r="S138" s="53"/>
      <c r="T138" s="53"/>
      <c r="U138" s="53"/>
    </row>
    <row r="139" spans="1:21" ht="16.8" x14ac:dyDescent="0.65">
      <c r="A139" s="54"/>
      <c r="B139" s="53"/>
      <c r="C139" s="53"/>
      <c r="D139" s="53"/>
      <c r="E139" s="53"/>
      <c r="F139" s="53"/>
      <c r="G139" s="54"/>
      <c r="H139" s="53"/>
      <c r="I139" s="53"/>
      <c r="J139" s="53"/>
      <c r="K139" s="53"/>
      <c r="L139" s="53"/>
      <c r="M139" s="53"/>
      <c r="N139" s="53"/>
      <c r="O139" s="53"/>
      <c r="P139" s="53"/>
      <c r="Q139" s="53"/>
      <c r="R139" s="53"/>
      <c r="S139" s="53"/>
      <c r="T139" s="53"/>
      <c r="U139" s="53"/>
    </row>
    <row r="140" spans="1:21" ht="16.8" x14ac:dyDescent="0.65">
      <c r="A140" s="54"/>
      <c r="B140" s="53"/>
      <c r="C140" s="53"/>
      <c r="D140" s="53"/>
      <c r="E140" s="53"/>
      <c r="F140" s="53"/>
      <c r="G140" s="54"/>
      <c r="H140" s="53"/>
      <c r="I140" s="53"/>
      <c r="J140" s="53"/>
      <c r="K140" s="53"/>
      <c r="L140" s="53"/>
      <c r="M140" s="53"/>
      <c r="N140" s="53"/>
      <c r="O140" s="53"/>
      <c r="P140" s="53"/>
      <c r="Q140" s="53"/>
      <c r="R140" s="53"/>
      <c r="S140" s="53"/>
      <c r="T140" s="53"/>
      <c r="U140" s="53"/>
    </row>
    <row r="141" spans="1:21" ht="16.8" x14ac:dyDescent="0.65">
      <c r="A141" s="54"/>
      <c r="B141" s="53"/>
      <c r="C141" s="53"/>
      <c r="D141" s="53"/>
      <c r="E141" s="53"/>
      <c r="F141" s="53"/>
      <c r="G141" s="54"/>
      <c r="H141" s="53"/>
      <c r="I141" s="53"/>
      <c r="J141" s="53"/>
      <c r="K141" s="53"/>
      <c r="L141" s="53"/>
      <c r="M141" s="53"/>
      <c r="N141" s="53"/>
      <c r="O141" s="53"/>
      <c r="P141" s="53"/>
      <c r="Q141" s="53"/>
      <c r="R141" s="53"/>
      <c r="S141" s="53"/>
      <c r="T141" s="53"/>
      <c r="U141" s="53"/>
    </row>
    <row r="142" spans="1:21" ht="16.8" x14ac:dyDescent="0.65">
      <c r="A142" s="54"/>
      <c r="B142" s="53"/>
      <c r="C142" s="53"/>
      <c r="D142" s="53"/>
      <c r="E142" s="53"/>
      <c r="F142" s="53"/>
      <c r="G142" s="54"/>
      <c r="H142" s="53"/>
      <c r="I142" s="53"/>
      <c r="J142" s="53"/>
      <c r="K142" s="53"/>
      <c r="L142" s="53"/>
      <c r="M142" s="53"/>
      <c r="N142" s="53"/>
      <c r="O142" s="53"/>
      <c r="P142" s="53"/>
      <c r="Q142" s="53"/>
      <c r="R142" s="53"/>
      <c r="S142" s="53"/>
      <c r="T142" s="53"/>
      <c r="U142" s="53"/>
    </row>
    <row r="143" spans="1:21" ht="16.8" x14ac:dyDescent="0.65">
      <c r="A143" s="54"/>
      <c r="B143" s="53"/>
      <c r="C143" s="53"/>
      <c r="D143" s="53"/>
      <c r="E143" s="53"/>
      <c r="F143" s="53"/>
      <c r="G143" s="54"/>
      <c r="H143" s="53"/>
      <c r="I143" s="53"/>
      <c r="J143" s="53"/>
      <c r="K143" s="53"/>
      <c r="L143" s="53"/>
      <c r="M143" s="53"/>
      <c r="N143" s="53"/>
      <c r="O143" s="53"/>
      <c r="P143" s="53"/>
      <c r="Q143" s="53"/>
      <c r="R143" s="53"/>
      <c r="S143" s="53"/>
      <c r="T143" s="53"/>
      <c r="U143" s="53"/>
    </row>
    <row r="144" spans="1:21" ht="16.8" x14ac:dyDescent="0.65">
      <c r="A144" s="54"/>
      <c r="B144" s="53"/>
      <c r="C144" s="53"/>
      <c r="D144" s="53"/>
      <c r="E144" s="53"/>
      <c r="F144" s="53"/>
      <c r="G144" s="54"/>
      <c r="H144" s="53"/>
      <c r="I144" s="53"/>
      <c r="J144" s="53"/>
      <c r="K144" s="53"/>
      <c r="L144" s="53"/>
      <c r="M144" s="53"/>
      <c r="N144" s="53"/>
      <c r="O144" s="53"/>
      <c r="P144" s="53"/>
      <c r="Q144" s="53"/>
      <c r="R144" s="53"/>
      <c r="S144" s="53"/>
      <c r="T144" s="53"/>
      <c r="U144" s="53"/>
    </row>
    <row r="145" spans="1:21" ht="16.8" x14ac:dyDescent="0.65">
      <c r="A145" s="54"/>
      <c r="B145" s="53"/>
      <c r="C145" s="53"/>
      <c r="D145" s="53"/>
      <c r="E145" s="53"/>
      <c r="F145" s="53"/>
      <c r="G145" s="54"/>
      <c r="H145" s="53"/>
      <c r="I145" s="53"/>
      <c r="J145" s="53"/>
      <c r="K145" s="53"/>
      <c r="L145" s="53"/>
      <c r="M145" s="53"/>
      <c r="N145" s="53"/>
      <c r="O145" s="53"/>
      <c r="P145" s="53"/>
      <c r="Q145" s="53"/>
      <c r="R145" s="53"/>
      <c r="S145" s="53"/>
      <c r="T145" s="53"/>
      <c r="U145" s="53"/>
    </row>
    <row r="146" spans="1:21" ht="16.8" x14ac:dyDescent="0.65">
      <c r="A146" s="54"/>
      <c r="B146" s="53"/>
      <c r="C146" s="53"/>
      <c r="D146" s="53"/>
      <c r="E146" s="53"/>
      <c r="F146" s="53"/>
      <c r="G146" s="54"/>
      <c r="H146" s="53"/>
      <c r="I146" s="53"/>
      <c r="J146" s="53"/>
      <c r="K146" s="53"/>
      <c r="L146" s="53"/>
      <c r="M146" s="53"/>
      <c r="N146" s="53"/>
      <c r="O146" s="53"/>
      <c r="P146" s="53"/>
      <c r="Q146" s="53"/>
      <c r="R146" s="53"/>
      <c r="S146" s="53"/>
      <c r="T146" s="53"/>
      <c r="U146" s="53"/>
    </row>
    <row r="147" spans="1:21" ht="16.8" x14ac:dyDescent="0.65">
      <c r="A147" s="54"/>
      <c r="B147" s="53"/>
      <c r="C147" s="53"/>
      <c r="D147" s="53"/>
      <c r="E147" s="53"/>
      <c r="F147" s="53"/>
      <c r="G147" s="54"/>
      <c r="H147" s="53"/>
      <c r="I147" s="53"/>
      <c r="J147" s="53"/>
      <c r="K147" s="53"/>
      <c r="L147" s="53"/>
      <c r="M147" s="53"/>
      <c r="N147" s="53"/>
      <c r="O147" s="53"/>
      <c r="P147" s="53"/>
      <c r="Q147" s="53"/>
      <c r="R147" s="53"/>
      <c r="S147" s="53"/>
      <c r="T147" s="53"/>
      <c r="U147" s="53"/>
    </row>
    <row r="148" spans="1:21" ht="16.8" x14ac:dyDescent="0.65">
      <c r="A148" s="54"/>
      <c r="B148" s="53"/>
      <c r="C148" s="53"/>
      <c r="D148" s="53"/>
      <c r="E148" s="53"/>
      <c r="F148" s="53"/>
      <c r="G148" s="54"/>
      <c r="H148" s="53"/>
      <c r="I148" s="53"/>
      <c r="J148" s="53"/>
      <c r="K148" s="53"/>
      <c r="L148" s="53"/>
      <c r="M148" s="53"/>
      <c r="N148" s="53"/>
      <c r="O148" s="53"/>
      <c r="P148" s="53"/>
      <c r="Q148" s="53"/>
      <c r="R148" s="53"/>
      <c r="S148" s="53"/>
      <c r="T148" s="53"/>
      <c r="U148" s="53"/>
    </row>
    <row r="149" spans="1:21" ht="16.8" x14ac:dyDescent="0.65">
      <c r="A149" s="54"/>
      <c r="B149" s="53"/>
      <c r="C149" s="53"/>
      <c r="D149" s="53"/>
      <c r="E149" s="53"/>
      <c r="F149" s="53"/>
      <c r="G149" s="54"/>
      <c r="H149" s="53"/>
      <c r="I149" s="53"/>
      <c r="J149" s="53"/>
      <c r="K149" s="53"/>
      <c r="L149" s="53"/>
      <c r="M149" s="53"/>
      <c r="N149" s="53"/>
      <c r="O149" s="53"/>
      <c r="P149" s="53"/>
      <c r="Q149" s="53"/>
      <c r="R149" s="53"/>
      <c r="S149" s="53"/>
      <c r="T149" s="53"/>
      <c r="U149" s="53"/>
    </row>
    <row r="150" spans="1:21" ht="16.8" x14ac:dyDescent="0.65">
      <c r="A150" s="54"/>
      <c r="B150" s="53"/>
      <c r="C150" s="53"/>
      <c r="D150" s="53"/>
      <c r="E150" s="53"/>
      <c r="F150" s="53"/>
      <c r="G150" s="54"/>
      <c r="H150" s="53"/>
      <c r="I150" s="53"/>
      <c r="J150" s="53"/>
      <c r="K150" s="53"/>
      <c r="L150" s="53"/>
      <c r="M150" s="53"/>
      <c r="N150" s="53"/>
      <c r="O150" s="53"/>
      <c r="P150" s="53"/>
      <c r="Q150" s="53"/>
      <c r="R150" s="53"/>
      <c r="S150" s="53"/>
      <c r="T150" s="53"/>
      <c r="U150" s="53"/>
    </row>
    <row r="151" spans="1:21" ht="16.8" x14ac:dyDescent="0.65">
      <c r="A151" s="54"/>
      <c r="B151" s="53"/>
      <c r="C151" s="53"/>
      <c r="D151" s="53"/>
      <c r="E151" s="53"/>
      <c r="F151" s="53"/>
      <c r="G151" s="54"/>
      <c r="H151" s="53"/>
      <c r="I151" s="53"/>
      <c r="J151" s="53"/>
      <c r="K151" s="53"/>
      <c r="L151" s="53"/>
      <c r="M151" s="53"/>
      <c r="N151" s="53"/>
      <c r="O151" s="53"/>
      <c r="P151" s="53"/>
      <c r="Q151" s="53"/>
      <c r="R151" s="53"/>
      <c r="S151" s="53"/>
      <c r="T151" s="53"/>
      <c r="U151" s="53"/>
    </row>
    <row r="152" spans="1:21" ht="16.8" x14ac:dyDescent="0.65">
      <c r="A152" s="54"/>
      <c r="B152" s="53"/>
      <c r="C152" s="53"/>
      <c r="D152" s="53"/>
      <c r="E152" s="53"/>
      <c r="F152" s="53"/>
      <c r="G152" s="54"/>
      <c r="H152" s="53"/>
      <c r="I152" s="53"/>
      <c r="J152" s="53"/>
      <c r="K152" s="53"/>
      <c r="L152" s="53"/>
      <c r="M152" s="53"/>
      <c r="N152" s="53"/>
      <c r="O152" s="53"/>
      <c r="P152" s="53"/>
      <c r="Q152" s="53"/>
      <c r="R152" s="53"/>
      <c r="S152" s="53"/>
      <c r="T152" s="53"/>
      <c r="U152" s="53"/>
    </row>
    <row r="153" spans="1:21" ht="16.8" x14ac:dyDescent="0.65">
      <c r="A153" s="54"/>
      <c r="B153" s="53"/>
      <c r="C153" s="53"/>
      <c r="D153" s="53"/>
      <c r="E153" s="53"/>
      <c r="F153" s="53"/>
      <c r="G153" s="54"/>
      <c r="H153" s="53"/>
      <c r="I153" s="53"/>
      <c r="J153" s="53"/>
      <c r="K153" s="53"/>
      <c r="L153" s="53"/>
      <c r="M153" s="53"/>
      <c r="N153" s="53"/>
      <c r="O153" s="53"/>
      <c r="P153" s="53"/>
      <c r="Q153" s="53"/>
      <c r="R153" s="53"/>
      <c r="S153" s="53"/>
      <c r="T153" s="53"/>
      <c r="U153" s="53"/>
    </row>
    <row r="154" spans="1:21" ht="16.8" x14ac:dyDescent="0.65">
      <c r="A154" s="54"/>
      <c r="B154" s="53"/>
      <c r="C154" s="53"/>
      <c r="D154" s="53"/>
      <c r="E154" s="53"/>
      <c r="F154" s="53"/>
      <c r="G154" s="54"/>
      <c r="H154" s="53"/>
      <c r="I154" s="53"/>
      <c r="J154" s="53"/>
      <c r="K154" s="53"/>
      <c r="L154" s="53"/>
      <c r="M154" s="53"/>
      <c r="N154" s="53"/>
      <c r="O154" s="53"/>
      <c r="P154" s="53"/>
      <c r="Q154" s="53"/>
      <c r="R154" s="53"/>
      <c r="S154" s="53"/>
      <c r="T154" s="53"/>
      <c r="U154" s="53"/>
    </row>
    <row r="155" spans="1:21" ht="16.8" x14ac:dyDescent="0.65">
      <c r="A155" s="54"/>
      <c r="B155" s="53"/>
      <c r="C155" s="53"/>
      <c r="D155" s="53"/>
      <c r="E155" s="53"/>
      <c r="F155" s="53"/>
      <c r="G155" s="54"/>
      <c r="H155" s="53"/>
      <c r="I155" s="53"/>
      <c r="J155" s="53"/>
      <c r="K155" s="53"/>
      <c r="L155" s="53"/>
      <c r="M155" s="53"/>
      <c r="N155" s="53"/>
      <c r="O155" s="53"/>
      <c r="P155" s="53"/>
      <c r="Q155" s="53"/>
      <c r="R155" s="53"/>
      <c r="S155" s="53"/>
      <c r="T155" s="53"/>
      <c r="U155" s="53"/>
    </row>
    <row r="156" spans="1:21" ht="16.8" x14ac:dyDescent="0.65">
      <c r="A156" s="54"/>
      <c r="B156" s="53"/>
      <c r="C156" s="53"/>
      <c r="D156" s="53"/>
      <c r="E156" s="53"/>
      <c r="F156" s="53"/>
      <c r="G156" s="54"/>
      <c r="H156" s="53"/>
      <c r="I156" s="53"/>
      <c r="J156" s="53"/>
      <c r="K156" s="53"/>
      <c r="L156" s="53"/>
      <c r="M156" s="53"/>
      <c r="N156" s="53"/>
      <c r="O156" s="53"/>
      <c r="P156" s="53"/>
      <c r="Q156" s="53"/>
      <c r="R156" s="53"/>
      <c r="S156" s="53"/>
      <c r="T156" s="53"/>
      <c r="U156" s="53"/>
    </row>
    <row r="157" spans="1:21" ht="16.8" x14ac:dyDescent="0.65">
      <c r="A157" s="54"/>
      <c r="B157" s="53"/>
      <c r="C157" s="53"/>
      <c r="D157" s="53"/>
      <c r="E157" s="53"/>
      <c r="F157" s="53"/>
      <c r="G157" s="54"/>
      <c r="H157" s="53"/>
      <c r="I157" s="53"/>
      <c r="J157" s="53"/>
      <c r="K157" s="53"/>
      <c r="L157" s="53"/>
      <c r="M157" s="53"/>
      <c r="N157" s="53"/>
      <c r="O157" s="53"/>
      <c r="P157" s="53"/>
      <c r="Q157" s="53"/>
      <c r="R157" s="53"/>
      <c r="S157" s="53"/>
      <c r="T157" s="53"/>
      <c r="U157" s="53"/>
    </row>
    <row r="158" spans="1:21" ht="16.8" x14ac:dyDescent="0.65">
      <c r="A158" s="54"/>
      <c r="B158" s="53"/>
      <c r="C158" s="53"/>
      <c r="D158" s="53"/>
      <c r="E158" s="53"/>
      <c r="F158" s="53"/>
      <c r="G158" s="54"/>
      <c r="H158" s="53"/>
      <c r="I158" s="53"/>
      <c r="J158" s="53"/>
      <c r="K158" s="53"/>
      <c r="L158" s="53"/>
      <c r="M158" s="53"/>
      <c r="N158" s="53"/>
      <c r="O158" s="53"/>
      <c r="P158" s="53"/>
      <c r="Q158" s="53"/>
      <c r="R158" s="53"/>
      <c r="S158" s="53"/>
      <c r="T158" s="53"/>
      <c r="U158" s="53"/>
    </row>
    <row r="159" spans="1:21" ht="16.8" x14ac:dyDescent="0.65">
      <c r="A159" s="54"/>
      <c r="B159" s="53"/>
      <c r="C159" s="53"/>
      <c r="D159" s="53"/>
      <c r="E159" s="53"/>
      <c r="F159" s="53"/>
      <c r="G159" s="54"/>
      <c r="H159" s="53"/>
      <c r="I159" s="53"/>
      <c r="J159" s="53"/>
      <c r="K159" s="53"/>
      <c r="L159" s="53"/>
      <c r="M159" s="53"/>
      <c r="N159" s="53"/>
      <c r="O159" s="53"/>
      <c r="P159" s="53"/>
      <c r="Q159" s="53"/>
      <c r="R159" s="53"/>
      <c r="S159" s="53"/>
      <c r="T159" s="53"/>
      <c r="U159" s="53"/>
    </row>
    <row r="160" spans="1:21" ht="16.8" x14ac:dyDescent="0.65">
      <c r="A160" s="54"/>
      <c r="B160" s="53"/>
      <c r="C160" s="53"/>
      <c r="D160" s="53"/>
      <c r="E160" s="53"/>
      <c r="F160" s="53"/>
      <c r="G160" s="54"/>
      <c r="H160" s="53"/>
      <c r="I160" s="53"/>
      <c r="J160" s="53"/>
      <c r="K160" s="53"/>
      <c r="L160" s="53"/>
      <c r="M160" s="53"/>
      <c r="N160" s="53"/>
      <c r="O160" s="53"/>
      <c r="P160" s="53"/>
      <c r="Q160" s="53"/>
      <c r="R160" s="53"/>
      <c r="S160" s="53"/>
      <c r="T160" s="53"/>
      <c r="U160" s="53"/>
    </row>
    <row r="161" spans="1:21" ht="16.8" x14ac:dyDescent="0.65">
      <c r="A161" s="54"/>
      <c r="B161" s="53"/>
      <c r="C161" s="53"/>
      <c r="D161" s="53"/>
      <c r="E161" s="53"/>
      <c r="F161" s="53"/>
      <c r="G161" s="54"/>
      <c r="H161" s="53"/>
      <c r="I161" s="53"/>
      <c r="J161" s="53"/>
      <c r="K161" s="53"/>
      <c r="L161" s="53"/>
      <c r="M161" s="53"/>
      <c r="N161" s="53"/>
      <c r="O161" s="53"/>
      <c r="P161" s="53"/>
      <c r="Q161" s="53"/>
      <c r="R161" s="53"/>
      <c r="S161" s="53"/>
      <c r="T161" s="53"/>
      <c r="U161" s="53"/>
    </row>
    <row r="162" spans="1:21" ht="16.8" x14ac:dyDescent="0.65">
      <c r="A162" s="54"/>
      <c r="B162" s="53"/>
      <c r="C162" s="53"/>
      <c r="D162" s="53"/>
      <c r="E162" s="53"/>
      <c r="F162" s="53"/>
      <c r="G162" s="54"/>
      <c r="H162" s="53"/>
      <c r="I162" s="53"/>
      <c r="J162" s="53"/>
      <c r="K162" s="53"/>
      <c r="L162" s="53"/>
      <c r="M162" s="53"/>
      <c r="N162" s="53"/>
      <c r="O162" s="53"/>
      <c r="P162" s="53"/>
      <c r="Q162" s="53"/>
      <c r="R162" s="53"/>
      <c r="S162" s="53"/>
      <c r="T162" s="53"/>
      <c r="U162" s="53"/>
    </row>
    <row r="163" spans="1:21" ht="16.8" x14ac:dyDescent="0.65">
      <c r="A163" s="54"/>
      <c r="B163" s="53"/>
      <c r="C163" s="53"/>
      <c r="D163" s="53"/>
      <c r="E163" s="53"/>
      <c r="F163" s="53"/>
      <c r="G163" s="54"/>
      <c r="H163" s="53"/>
      <c r="I163" s="53"/>
      <c r="J163" s="53"/>
      <c r="K163" s="53"/>
      <c r="L163" s="53"/>
      <c r="M163" s="53"/>
      <c r="N163" s="53"/>
      <c r="O163" s="53"/>
      <c r="P163" s="53"/>
      <c r="Q163" s="53"/>
      <c r="R163" s="53"/>
      <c r="S163" s="53"/>
      <c r="T163" s="53"/>
      <c r="U163" s="53"/>
    </row>
    <row r="164" spans="1:21" ht="16.8" x14ac:dyDescent="0.65">
      <c r="A164" s="54"/>
      <c r="B164" s="53"/>
      <c r="C164" s="53"/>
      <c r="D164" s="53"/>
      <c r="E164" s="53"/>
      <c r="F164" s="53"/>
      <c r="G164" s="54"/>
      <c r="H164" s="53"/>
      <c r="I164" s="53"/>
      <c r="J164" s="53"/>
      <c r="K164" s="53"/>
      <c r="L164" s="53"/>
      <c r="M164" s="53"/>
      <c r="N164" s="53"/>
      <c r="O164" s="53"/>
      <c r="P164" s="53"/>
      <c r="Q164" s="53"/>
      <c r="R164" s="53"/>
      <c r="S164" s="53"/>
      <c r="T164" s="53"/>
      <c r="U164" s="53"/>
    </row>
    <row r="165" spans="1:21" ht="16.8" x14ac:dyDescent="0.65">
      <c r="A165" s="54"/>
      <c r="B165" s="53"/>
      <c r="C165" s="53"/>
      <c r="D165" s="53"/>
      <c r="E165" s="53"/>
      <c r="F165" s="53"/>
      <c r="G165" s="54"/>
      <c r="H165" s="53"/>
      <c r="I165" s="53"/>
      <c r="J165" s="53"/>
      <c r="K165" s="53"/>
      <c r="L165" s="53"/>
      <c r="M165" s="53"/>
      <c r="N165" s="53"/>
      <c r="O165" s="53"/>
      <c r="P165" s="53"/>
      <c r="Q165" s="53"/>
      <c r="R165" s="53"/>
      <c r="S165" s="53"/>
      <c r="T165" s="53"/>
      <c r="U165" s="53"/>
    </row>
    <row r="166" spans="1:21" ht="16.8" x14ac:dyDescent="0.65">
      <c r="A166" s="54"/>
      <c r="B166" s="53"/>
      <c r="C166" s="53"/>
      <c r="D166" s="53"/>
      <c r="E166" s="53"/>
      <c r="F166" s="53"/>
      <c r="G166" s="54"/>
      <c r="H166" s="53"/>
      <c r="I166" s="53"/>
      <c r="J166" s="53"/>
      <c r="K166" s="53"/>
      <c r="L166" s="53"/>
      <c r="M166" s="53"/>
      <c r="N166" s="53"/>
      <c r="O166" s="53"/>
      <c r="P166" s="53"/>
      <c r="Q166" s="53"/>
      <c r="R166" s="53"/>
      <c r="S166" s="53"/>
      <c r="T166" s="53"/>
      <c r="U166" s="53"/>
    </row>
    <row r="167" spans="1:21" ht="16.8" x14ac:dyDescent="0.65">
      <c r="A167" s="54"/>
      <c r="B167" s="53"/>
      <c r="C167" s="53"/>
      <c r="D167" s="53"/>
      <c r="E167" s="53"/>
      <c r="F167" s="53"/>
      <c r="G167" s="54"/>
      <c r="H167" s="53"/>
      <c r="I167" s="53"/>
      <c r="J167" s="53"/>
      <c r="K167" s="53"/>
      <c r="L167" s="53"/>
      <c r="M167" s="53"/>
      <c r="N167" s="53"/>
      <c r="O167" s="53"/>
      <c r="P167" s="53"/>
      <c r="Q167" s="53"/>
      <c r="R167" s="53"/>
      <c r="S167" s="53"/>
      <c r="T167" s="53"/>
      <c r="U167" s="53"/>
    </row>
    <row r="168" spans="1:21" ht="16.8" x14ac:dyDescent="0.65">
      <c r="A168" s="54"/>
      <c r="B168" s="53"/>
      <c r="C168" s="53"/>
      <c r="D168" s="53"/>
      <c r="E168" s="53"/>
      <c r="F168" s="53"/>
      <c r="G168" s="54"/>
      <c r="H168" s="53"/>
      <c r="I168" s="53"/>
      <c r="J168" s="53"/>
      <c r="K168" s="53"/>
      <c r="L168" s="53"/>
      <c r="M168" s="53"/>
      <c r="N168" s="53"/>
      <c r="O168" s="53"/>
      <c r="P168" s="53"/>
      <c r="Q168" s="53"/>
      <c r="R168" s="53"/>
      <c r="S168" s="53"/>
      <c r="T168" s="53"/>
      <c r="U168" s="53"/>
    </row>
    <row r="169" spans="1:21" ht="16.8" x14ac:dyDescent="0.65">
      <c r="A169" s="54"/>
      <c r="B169" s="53"/>
      <c r="C169" s="53"/>
      <c r="D169" s="53"/>
      <c r="E169" s="53"/>
      <c r="F169" s="53"/>
      <c r="G169" s="54"/>
      <c r="H169" s="53"/>
      <c r="I169" s="53"/>
      <c r="J169" s="53"/>
      <c r="K169" s="53"/>
      <c r="L169" s="53"/>
      <c r="M169" s="53"/>
      <c r="N169" s="53"/>
      <c r="O169" s="53"/>
      <c r="P169" s="53"/>
      <c r="Q169" s="53"/>
      <c r="R169" s="53"/>
      <c r="S169" s="53"/>
      <c r="T169" s="53"/>
      <c r="U169" s="53"/>
    </row>
    <row r="170" spans="1:21" ht="16.8" x14ac:dyDescent="0.65">
      <c r="A170" s="54"/>
      <c r="B170" s="53"/>
      <c r="C170" s="53"/>
      <c r="D170" s="53"/>
      <c r="E170" s="53"/>
      <c r="F170" s="53"/>
      <c r="G170" s="54"/>
      <c r="H170" s="53"/>
      <c r="I170" s="53"/>
      <c r="J170" s="53"/>
      <c r="K170" s="53"/>
      <c r="L170" s="53"/>
      <c r="M170" s="53"/>
      <c r="N170" s="53"/>
      <c r="O170" s="53"/>
      <c r="P170" s="53"/>
      <c r="Q170" s="53"/>
      <c r="R170" s="53"/>
      <c r="S170" s="53"/>
      <c r="T170" s="53"/>
      <c r="U170" s="53"/>
    </row>
    <row r="171" spans="1:21" ht="16.8" x14ac:dyDescent="0.65">
      <c r="A171" s="54"/>
      <c r="B171" s="53"/>
      <c r="C171" s="53"/>
      <c r="D171" s="53"/>
      <c r="E171" s="53"/>
      <c r="F171" s="53"/>
      <c r="G171" s="54"/>
      <c r="H171" s="53"/>
      <c r="I171" s="53"/>
      <c r="J171" s="53"/>
      <c r="K171" s="53"/>
      <c r="L171" s="53"/>
      <c r="M171" s="53"/>
      <c r="N171" s="53"/>
      <c r="O171" s="53"/>
      <c r="P171" s="53"/>
      <c r="Q171" s="53"/>
      <c r="R171" s="53"/>
      <c r="S171" s="53"/>
      <c r="T171" s="53"/>
      <c r="U171" s="53"/>
    </row>
    <row r="172" spans="1:21" ht="16.8" x14ac:dyDescent="0.65">
      <c r="A172" s="54"/>
      <c r="B172" s="53"/>
      <c r="C172" s="53"/>
      <c r="D172" s="53"/>
      <c r="E172" s="53"/>
      <c r="F172" s="53"/>
      <c r="G172" s="54"/>
      <c r="H172" s="53"/>
      <c r="I172" s="53"/>
      <c r="J172" s="53"/>
      <c r="K172" s="53"/>
      <c r="L172" s="53"/>
      <c r="M172" s="53"/>
      <c r="N172" s="53"/>
      <c r="O172" s="53"/>
      <c r="P172" s="53"/>
      <c r="Q172" s="53"/>
      <c r="R172" s="53"/>
      <c r="S172" s="53"/>
      <c r="T172" s="53"/>
      <c r="U172" s="53"/>
    </row>
    <row r="173" spans="1:21" ht="16.8" x14ac:dyDescent="0.65">
      <c r="A173" s="54"/>
      <c r="B173" s="53"/>
      <c r="C173" s="53"/>
      <c r="D173" s="53"/>
      <c r="E173" s="53"/>
      <c r="F173" s="53"/>
      <c r="G173" s="54"/>
      <c r="H173" s="53"/>
      <c r="I173" s="53"/>
      <c r="J173" s="53"/>
      <c r="K173" s="53"/>
      <c r="L173" s="53"/>
      <c r="M173" s="53"/>
      <c r="N173" s="53"/>
      <c r="O173" s="53"/>
      <c r="P173" s="53"/>
      <c r="Q173" s="53"/>
      <c r="R173" s="53"/>
      <c r="S173" s="53"/>
      <c r="T173" s="53"/>
      <c r="U173" s="53"/>
    </row>
    <row r="174" spans="1:21" ht="16.8" x14ac:dyDescent="0.65">
      <c r="A174" s="54"/>
      <c r="B174" s="53"/>
      <c r="C174" s="53"/>
      <c r="D174" s="53"/>
      <c r="E174" s="53"/>
      <c r="F174" s="53"/>
      <c r="G174" s="54"/>
      <c r="H174" s="53"/>
      <c r="I174" s="53"/>
      <c r="J174" s="53"/>
      <c r="K174" s="53"/>
      <c r="L174" s="53"/>
      <c r="M174" s="53"/>
      <c r="N174" s="53"/>
      <c r="O174" s="53"/>
      <c r="P174" s="53"/>
      <c r="Q174" s="53"/>
      <c r="R174" s="53"/>
      <c r="S174" s="53"/>
      <c r="T174" s="53"/>
      <c r="U174" s="53"/>
    </row>
    <row r="175" spans="1:21" ht="16.8" x14ac:dyDescent="0.65">
      <c r="A175" s="54"/>
      <c r="B175" s="53"/>
      <c r="C175" s="53"/>
      <c r="D175" s="53"/>
      <c r="E175" s="53"/>
      <c r="F175" s="53"/>
      <c r="G175" s="54"/>
      <c r="H175" s="53"/>
      <c r="I175" s="53"/>
      <c r="J175" s="53"/>
      <c r="K175" s="53"/>
      <c r="L175" s="53"/>
      <c r="M175" s="53"/>
      <c r="N175" s="53"/>
      <c r="O175" s="53"/>
      <c r="P175" s="53"/>
      <c r="Q175" s="53"/>
      <c r="R175" s="53"/>
      <c r="S175" s="53"/>
      <c r="T175" s="53"/>
      <c r="U175" s="53"/>
    </row>
    <row r="176" spans="1:21" ht="16.8" x14ac:dyDescent="0.65">
      <c r="A176" s="54"/>
      <c r="B176" s="53"/>
      <c r="C176" s="53"/>
      <c r="D176" s="53"/>
      <c r="E176" s="53"/>
      <c r="F176" s="53"/>
      <c r="G176" s="54"/>
      <c r="H176" s="53"/>
      <c r="I176" s="53"/>
      <c r="J176" s="53"/>
      <c r="K176" s="53"/>
      <c r="L176" s="53"/>
      <c r="M176" s="53"/>
      <c r="N176" s="53"/>
      <c r="O176" s="53"/>
      <c r="P176" s="53"/>
      <c r="Q176" s="53"/>
      <c r="R176" s="53"/>
      <c r="S176" s="53"/>
      <c r="T176" s="53"/>
      <c r="U176" s="53"/>
    </row>
    <row r="177" spans="1:21" ht="16.8" x14ac:dyDescent="0.65">
      <c r="A177" s="54"/>
      <c r="B177" s="53"/>
      <c r="C177" s="53"/>
      <c r="D177" s="53"/>
      <c r="E177" s="53"/>
      <c r="F177" s="53"/>
      <c r="G177" s="54"/>
      <c r="H177" s="53"/>
      <c r="I177" s="53"/>
      <c r="J177" s="53"/>
      <c r="K177" s="53"/>
      <c r="L177" s="53"/>
      <c r="M177" s="53"/>
      <c r="N177" s="53"/>
      <c r="O177" s="53"/>
      <c r="P177" s="53"/>
      <c r="Q177" s="53"/>
      <c r="R177" s="53"/>
      <c r="S177" s="53"/>
      <c r="T177" s="53"/>
      <c r="U177" s="53"/>
    </row>
    <row r="178" spans="1:21" ht="16.8" x14ac:dyDescent="0.65">
      <c r="A178" s="54"/>
      <c r="B178" s="53"/>
      <c r="C178" s="53"/>
      <c r="D178" s="53"/>
      <c r="E178" s="53"/>
      <c r="F178" s="53"/>
      <c r="G178" s="54"/>
      <c r="H178" s="53"/>
      <c r="I178" s="53"/>
      <c r="J178" s="53"/>
      <c r="K178" s="53"/>
      <c r="L178" s="53"/>
      <c r="M178" s="53"/>
      <c r="N178" s="53"/>
      <c r="O178" s="53"/>
      <c r="P178" s="53"/>
      <c r="Q178" s="53"/>
      <c r="R178" s="53"/>
      <c r="S178" s="53"/>
      <c r="T178" s="53"/>
      <c r="U178" s="53"/>
    </row>
    <row r="179" spans="1:21" ht="16.8" x14ac:dyDescent="0.65">
      <c r="A179" s="54"/>
      <c r="B179" s="53"/>
      <c r="C179" s="53"/>
      <c r="D179" s="53"/>
      <c r="E179" s="53"/>
      <c r="F179" s="53"/>
      <c r="G179" s="54"/>
      <c r="H179" s="53"/>
      <c r="I179" s="53"/>
      <c r="J179" s="53"/>
      <c r="K179" s="53"/>
      <c r="L179" s="53"/>
      <c r="M179" s="53"/>
      <c r="N179" s="53"/>
      <c r="O179" s="53"/>
      <c r="P179" s="53"/>
      <c r="Q179" s="53"/>
      <c r="R179" s="53"/>
      <c r="S179" s="53"/>
      <c r="T179" s="53"/>
      <c r="U179" s="53"/>
    </row>
    <row r="180" spans="1:21" ht="16.8" x14ac:dyDescent="0.65">
      <c r="A180" s="54"/>
      <c r="B180" s="53"/>
      <c r="C180" s="53"/>
      <c r="D180" s="53"/>
      <c r="E180" s="53"/>
      <c r="F180" s="53"/>
      <c r="G180" s="54"/>
      <c r="H180" s="53"/>
      <c r="I180" s="53"/>
      <c r="J180" s="53"/>
      <c r="K180" s="53"/>
      <c r="L180" s="53"/>
      <c r="M180" s="53"/>
      <c r="N180" s="53"/>
      <c r="O180" s="53"/>
      <c r="P180" s="53"/>
      <c r="Q180" s="53"/>
      <c r="R180" s="53"/>
      <c r="S180" s="53"/>
      <c r="T180" s="53"/>
      <c r="U180" s="53"/>
    </row>
    <row r="181" spans="1:21" ht="16.8" x14ac:dyDescent="0.65">
      <c r="A181" s="54"/>
      <c r="B181" s="53"/>
      <c r="C181" s="53"/>
      <c r="D181" s="53"/>
      <c r="E181" s="53"/>
      <c r="F181" s="53"/>
      <c r="G181" s="54"/>
      <c r="H181" s="53"/>
      <c r="I181" s="53"/>
      <c r="J181" s="53"/>
      <c r="K181" s="53"/>
      <c r="L181" s="53"/>
      <c r="M181" s="53"/>
      <c r="N181" s="53"/>
      <c r="O181" s="53"/>
      <c r="P181" s="53"/>
      <c r="Q181" s="53"/>
      <c r="R181" s="53"/>
      <c r="S181" s="53"/>
      <c r="T181" s="53"/>
      <c r="U181" s="53"/>
    </row>
    <row r="182" spans="1:21" ht="16.8" x14ac:dyDescent="0.65">
      <c r="A182" s="54"/>
      <c r="B182" s="53"/>
      <c r="C182" s="53"/>
      <c r="D182" s="53"/>
      <c r="E182" s="53"/>
      <c r="F182" s="53"/>
      <c r="G182" s="54"/>
      <c r="H182" s="53"/>
      <c r="I182" s="53"/>
      <c r="J182" s="53"/>
      <c r="K182" s="53"/>
      <c r="L182" s="53"/>
      <c r="M182" s="53"/>
      <c r="N182" s="53"/>
      <c r="O182" s="53"/>
      <c r="P182" s="53"/>
      <c r="Q182" s="53"/>
      <c r="R182" s="53"/>
      <c r="S182" s="53"/>
      <c r="T182" s="53"/>
      <c r="U182" s="53"/>
    </row>
    <row r="183" spans="1:21" ht="16.8" x14ac:dyDescent="0.65">
      <c r="A183" s="54"/>
      <c r="B183" s="53"/>
      <c r="C183" s="53"/>
      <c r="D183" s="53"/>
      <c r="E183" s="53"/>
      <c r="F183" s="53"/>
      <c r="G183" s="54"/>
      <c r="H183" s="53"/>
      <c r="I183" s="53"/>
      <c r="J183" s="53"/>
      <c r="K183" s="53"/>
      <c r="L183" s="53"/>
      <c r="M183" s="53"/>
      <c r="N183" s="53"/>
      <c r="O183" s="53"/>
      <c r="P183" s="53"/>
      <c r="Q183" s="53"/>
      <c r="R183" s="53"/>
      <c r="S183" s="53"/>
      <c r="T183" s="53"/>
      <c r="U183" s="53"/>
    </row>
    <row r="184" spans="1:21" ht="16.8" x14ac:dyDescent="0.65">
      <c r="A184" s="54"/>
      <c r="B184" s="53"/>
      <c r="C184" s="53"/>
      <c r="D184" s="53"/>
      <c r="E184" s="53"/>
      <c r="F184" s="53"/>
      <c r="G184" s="54"/>
      <c r="H184" s="53"/>
      <c r="I184" s="53"/>
      <c r="J184" s="53"/>
      <c r="K184" s="53"/>
      <c r="L184" s="53"/>
      <c r="M184" s="53"/>
      <c r="N184" s="53"/>
      <c r="O184" s="53"/>
      <c r="P184" s="53"/>
      <c r="Q184" s="53"/>
      <c r="R184" s="53"/>
      <c r="S184" s="53"/>
      <c r="T184" s="53"/>
      <c r="U184" s="53"/>
    </row>
    <row r="185" spans="1:21" ht="16.8" x14ac:dyDescent="0.65">
      <c r="A185" s="54"/>
      <c r="B185" s="53"/>
      <c r="C185" s="53"/>
      <c r="D185" s="53"/>
      <c r="E185" s="53"/>
      <c r="F185" s="53"/>
      <c r="G185" s="54"/>
      <c r="H185" s="53"/>
      <c r="I185" s="53"/>
      <c r="J185" s="53"/>
      <c r="K185" s="53"/>
      <c r="L185" s="53"/>
      <c r="M185" s="53"/>
      <c r="N185" s="53"/>
      <c r="O185" s="53"/>
      <c r="P185" s="53"/>
      <c r="Q185" s="53"/>
      <c r="R185" s="53"/>
      <c r="S185" s="53"/>
      <c r="T185" s="53"/>
      <c r="U185" s="53"/>
    </row>
    <row r="186" spans="1:21" ht="16.8" x14ac:dyDescent="0.65">
      <c r="A186" s="54"/>
      <c r="B186" s="53"/>
      <c r="C186" s="53"/>
      <c r="D186" s="53"/>
      <c r="E186" s="53"/>
      <c r="F186" s="53"/>
      <c r="G186" s="54"/>
      <c r="H186" s="53"/>
      <c r="I186" s="53"/>
      <c r="J186" s="53"/>
      <c r="K186" s="53"/>
      <c r="L186" s="53"/>
      <c r="M186" s="53"/>
      <c r="N186" s="53"/>
      <c r="O186" s="53"/>
      <c r="P186" s="53"/>
      <c r="Q186" s="53"/>
      <c r="R186" s="53"/>
      <c r="S186" s="53"/>
      <c r="T186" s="53"/>
      <c r="U186" s="53"/>
    </row>
    <row r="187" spans="1:21" ht="16.8" x14ac:dyDescent="0.65">
      <c r="A187" s="54"/>
      <c r="B187" s="53"/>
      <c r="C187" s="53"/>
      <c r="D187" s="53"/>
      <c r="E187" s="53"/>
      <c r="F187" s="53"/>
      <c r="G187" s="54"/>
      <c r="H187" s="53"/>
      <c r="I187" s="53"/>
      <c r="J187" s="53"/>
      <c r="K187" s="53"/>
      <c r="L187" s="53"/>
      <c r="M187" s="53"/>
      <c r="N187" s="53"/>
      <c r="O187" s="53"/>
      <c r="P187" s="53"/>
      <c r="Q187" s="53"/>
      <c r="R187" s="53"/>
      <c r="S187" s="53"/>
      <c r="T187" s="53"/>
      <c r="U187" s="53"/>
    </row>
    <row r="188" spans="1:21" ht="16.8" x14ac:dyDescent="0.65">
      <c r="A188" s="54"/>
      <c r="B188" s="53"/>
      <c r="C188" s="53"/>
      <c r="D188" s="53"/>
      <c r="E188" s="53"/>
      <c r="F188" s="53"/>
      <c r="G188" s="54"/>
      <c r="H188" s="53"/>
      <c r="I188" s="53"/>
      <c r="J188" s="53"/>
      <c r="K188" s="53"/>
      <c r="L188" s="53"/>
      <c r="M188" s="53"/>
      <c r="N188" s="53"/>
      <c r="O188" s="53"/>
      <c r="P188" s="53"/>
      <c r="Q188" s="53"/>
      <c r="R188" s="53"/>
      <c r="S188" s="53"/>
      <c r="T188" s="53"/>
      <c r="U188" s="53"/>
    </row>
    <row r="189" spans="1:21" ht="16.8" x14ac:dyDescent="0.65">
      <c r="A189" s="54"/>
      <c r="B189" s="53"/>
      <c r="C189" s="53"/>
      <c r="D189" s="53"/>
      <c r="E189" s="53"/>
      <c r="F189" s="53"/>
      <c r="G189" s="54"/>
      <c r="H189" s="53"/>
      <c r="I189" s="53"/>
      <c r="J189" s="53"/>
      <c r="K189" s="53"/>
      <c r="L189" s="53"/>
      <c r="M189" s="53"/>
      <c r="N189" s="53"/>
      <c r="O189" s="53"/>
      <c r="P189" s="53"/>
      <c r="Q189" s="53"/>
      <c r="R189" s="53"/>
      <c r="S189" s="53"/>
      <c r="T189" s="53"/>
      <c r="U189" s="53"/>
    </row>
    <row r="190" spans="1:21" ht="16.8" x14ac:dyDescent="0.65">
      <c r="A190" s="54"/>
      <c r="B190" s="53"/>
      <c r="C190" s="53"/>
      <c r="D190" s="53"/>
      <c r="E190" s="53"/>
      <c r="F190" s="53"/>
      <c r="G190" s="54"/>
      <c r="H190" s="53"/>
      <c r="I190" s="53"/>
      <c r="J190" s="53"/>
      <c r="K190" s="53"/>
      <c r="L190" s="53"/>
      <c r="M190" s="53"/>
      <c r="N190" s="53"/>
      <c r="O190" s="53"/>
      <c r="P190" s="53"/>
      <c r="Q190" s="53"/>
      <c r="R190" s="53"/>
      <c r="S190" s="53"/>
      <c r="T190" s="53"/>
      <c r="U190" s="53"/>
    </row>
    <row r="191" spans="1:21" ht="16.8" x14ac:dyDescent="0.65">
      <c r="A191" s="54"/>
      <c r="B191" s="53"/>
      <c r="C191" s="53"/>
      <c r="D191" s="53"/>
      <c r="E191" s="53"/>
      <c r="F191" s="53"/>
      <c r="G191" s="54"/>
      <c r="H191" s="53"/>
      <c r="I191" s="53"/>
      <c r="J191" s="53"/>
      <c r="K191" s="53"/>
      <c r="L191" s="53"/>
      <c r="M191" s="53"/>
      <c r="N191" s="53"/>
      <c r="O191" s="53"/>
      <c r="P191" s="53"/>
      <c r="Q191" s="53"/>
      <c r="R191" s="53"/>
      <c r="S191" s="53"/>
      <c r="T191" s="53"/>
      <c r="U191" s="53"/>
    </row>
    <row r="192" spans="1:21" ht="16.8" x14ac:dyDescent="0.65">
      <c r="A192" s="54"/>
      <c r="B192" s="53"/>
      <c r="C192" s="53"/>
      <c r="D192" s="53"/>
      <c r="E192" s="53"/>
      <c r="F192" s="53"/>
      <c r="G192" s="54"/>
      <c r="H192" s="53"/>
      <c r="I192" s="53"/>
      <c r="J192" s="53"/>
      <c r="K192" s="53"/>
      <c r="L192" s="53"/>
      <c r="M192" s="53"/>
      <c r="N192" s="53"/>
      <c r="O192" s="53"/>
      <c r="P192" s="53"/>
      <c r="Q192" s="53"/>
      <c r="R192" s="53"/>
      <c r="S192" s="53"/>
      <c r="T192" s="53"/>
      <c r="U192" s="53"/>
    </row>
    <row r="193" spans="1:21" ht="16.8" x14ac:dyDescent="0.65">
      <c r="A193" s="54"/>
      <c r="B193" s="53"/>
      <c r="C193" s="53"/>
      <c r="D193" s="53"/>
      <c r="E193" s="53"/>
      <c r="F193" s="53"/>
      <c r="G193" s="54"/>
      <c r="H193" s="53"/>
      <c r="I193" s="53"/>
      <c r="J193" s="53"/>
      <c r="K193" s="53"/>
      <c r="L193" s="53"/>
      <c r="M193" s="53"/>
      <c r="N193" s="53"/>
      <c r="O193" s="53"/>
      <c r="P193" s="53"/>
      <c r="Q193" s="53"/>
      <c r="R193" s="53"/>
      <c r="S193" s="53"/>
      <c r="T193" s="53"/>
      <c r="U193" s="53"/>
    </row>
    <row r="194" spans="1:21" ht="16.8" x14ac:dyDescent="0.65">
      <c r="A194" s="54"/>
      <c r="B194" s="53"/>
      <c r="C194" s="53"/>
      <c r="D194" s="53"/>
      <c r="E194" s="53"/>
      <c r="F194" s="53"/>
      <c r="G194" s="54"/>
      <c r="H194" s="53"/>
      <c r="I194" s="53"/>
      <c r="J194" s="53"/>
      <c r="K194" s="53"/>
      <c r="L194" s="53"/>
      <c r="M194" s="53"/>
      <c r="N194" s="53"/>
      <c r="O194" s="53"/>
      <c r="P194" s="53"/>
      <c r="Q194" s="53"/>
      <c r="R194" s="53"/>
      <c r="S194" s="53"/>
      <c r="T194" s="53"/>
      <c r="U194" s="53"/>
    </row>
    <row r="195" spans="1:21" ht="16.8" x14ac:dyDescent="0.65">
      <c r="A195" s="54"/>
      <c r="B195" s="53"/>
      <c r="C195" s="53"/>
      <c r="D195" s="53"/>
      <c r="E195" s="53"/>
      <c r="F195" s="53"/>
      <c r="G195" s="54"/>
      <c r="H195" s="53"/>
      <c r="I195" s="53"/>
      <c r="J195" s="53"/>
      <c r="K195" s="53"/>
      <c r="L195" s="53"/>
      <c r="M195" s="53"/>
      <c r="N195" s="53"/>
      <c r="O195" s="53"/>
      <c r="P195" s="53"/>
      <c r="Q195" s="53"/>
      <c r="R195" s="53"/>
      <c r="S195" s="53"/>
      <c r="T195" s="53"/>
      <c r="U195" s="53"/>
    </row>
    <row r="196" spans="1:21" ht="16.8" x14ac:dyDescent="0.65">
      <c r="A196" s="54"/>
      <c r="B196" s="53"/>
      <c r="C196" s="53"/>
      <c r="D196" s="53"/>
      <c r="E196" s="53"/>
      <c r="F196" s="53"/>
      <c r="G196" s="54"/>
      <c r="H196" s="53"/>
      <c r="I196" s="53"/>
      <c r="J196" s="53"/>
      <c r="K196" s="53"/>
      <c r="L196" s="53"/>
      <c r="M196" s="53"/>
      <c r="N196" s="53"/>
      <c r="O196" s="53"/>
      <c r="P196" s="53"/>
      <c r="Q196" s="53"/>
      <c r="R196" s="53"/>
      <c r="S196" s="53"/>
      <c r="T196" s="53"/>
      <c r="U196" s="53"/>
    </row>
    <row r="197" spans="1:21" ht="16.8" x14ac:dyDescent="0.65">
      <c r="A197" s="54"/>
      <c r="B197" s="53"/>
      <c r="C197" s="53"/>
      <c r="D197" s="53"/>
      <c r="E197" s="53"/>
      <c r="F197" s="53"/>
      <c r="G197" s="54"/>
      <c r="H197" s="53"/>
      <c r="I197" s="53"/>
      <c r="J197" s="53"/>
      <c r="K197" s="53"/>
      <c r="L197" s="53"/>
      <c r="M197" s="53"/>
      <c r="N197" s="53"/>
      <c r="O197" s="53"/>
      <c r="P197" s="53"/>
      <c r="Q197" s="53"/>
      <c r="R197" s="53"/>
      <c r="S197" s="53"/>
      <c r="T197" s="53"/>
      <c r="U197" s="53"/>
    </row>
    <row r="198" spans="1:21" ht="16.8" x14ac:dyDescent="0.65">
      <c r="A198" s="54"/>
      <c r="B198" s="53"/>
      <c r="C198" s="53"/>
      <c r="D198" s="53"/>
      <c r="E198" s="53"/>
      <c r="F198" s="53"/>
      <c r="G198" s="54"/>
      <c r="H198" s="53"/>
      <c r="I198" s="53"/>
      <c r="J198" s="53"/>
      <c r="K198" s="53"/>
      <c r="L198" s="53"/>
      <c r="M198" s="53"/>
      <c r="N198" s="53"/>
      <c r="O198" s="53"/>
      <c r="P198" s="53"/>
      <c r="Q198" s="53"/>
      <c r="R198" s="53"/>
      <c r="S198" s="53"/>
      <c r="T198" s="53"/>
      <c r="U198" s="53"/>
    </row>
    <row r="199" spans="1:21" ht="16.8" x14ac:dyDescent="0.65">
      <c r="A199" s="54"/>
      <c r="B199" s="53"/>
      <c r="C199" s="53"/>
      <c r="D199" s="53"/>
      <c r="E199" s="53"/>
      <c r="F199" s="53"/>
      <c r="G199" s="54"/>
      <c r="H199" s="53"/>
      <c r="I199" s="53"/>
      <c r="J199" s="53"/>
      <c r="K199" s="53"/>
      <c r="L199" s="53"/>
      <c r="M199" s="53"/>
      <c r="N199" s="53"/>
      <c r="O199" s="53"/>
      <c r="P199" s="53"/>
      <c r="Q199" s="53"/>
      <c r="R199" s="53"/>
      <c r="S199" s="53"/>
      <c r="T199" s="53"/>
      <c r="U199" s="53"/>
    </row>
    <row r="200" spans="1:21" ht="16.8" x14ac:dyDescent="0.65">
      <c r="A200" s="54"/>
      <c r="B200" s="53"/>
      <c r="C200" s="53"/>
      <c r="D200" s="53"/>
      <c r="E200" s="53"/>
      <c r="F200" s="53"/>
      <c r="G200" s="54"/>
      <c r="H200" s="53"/>
      <c r="I200" s="53"/>
      <c r="J200" s="53"/>
      <c r="K200" s="53"/>
      <c r="L200" s="53"/>
      <c r="M200" s="53"/>
      <c r="N200" s="53"/>
      <c r="O200" s="53"/>
      <c r="P200" s="53"/>
      <c r="Q200" s="53"/>
      <c r="R200" s="53"/>
      <c r="S200" s="53"/>
      <c r="T200" s="53"/>
      <c r="U200" s="53"/>
    </row>
    <row r="201" spans="1:21" ht="16.8" x14ac:dyDescent="0.65">
      <c r="A201" s="54"/>
      <c r="B201" s="53"/>
      <c r="C201" s="53"/>
      <c r="D201" s="53"/>
      <c r="E201" s="53"/>
      <c r="F201" s="53"/>
      <c r="G201" s="54"/>
      <c r="H201" s="53"/>
      <c r="I201" s="53"/>
      <c r="J201" s="53"/>
      <c r="K201" s="53"/>
      <c r="L201" s="53"/>
      <c r="M201" s="53"/>
      <c r="N201" s="53"/>
      <c r="O201" s="53"/>
      <c r="P201" s="53"/>
      <c r="Q201" s="53"/>
      <c r="R201" s="53"/>
      <c r="S201" s="53"/>
      <c r="T201" s="53"/>
      <c r="U201" s="53"/>
    </row>
    <row r="202" spans="1:21" ht="16.8" x14ac:dyDescent="0.65">
      <c r="A202" s="54"/>
      <c r="B202" s="53"/>
      <c r="C202" s="53"/>
      <c r="D202" s="53"/>
      <c r="E202" s="53"/>
      <c r="F202" s="53"/>
      <c r="G202" s="54"/>
      <c r="H202" s="53"/>
      <c r="I202" s="53"/>
      <c r="J202" s="53"/>
      <c r="K202" s="53"/>
      <c r="L202" s="53"/>
      <c r="M202" s="53"/>
      <c r="N202" s="53"/>
      <c r="O202" s="53"/>
      <c r="P202" s="53"/>
      <c r="Q202" s="53"/>
      <c r="R202" s="53"/>
      <c r="S202" s="53"/>
      <c r="T202" s="53"/>
      <c r="U202" s="53"/>
    </row>
    <row r="203" spans="1:21" ht="16.8" x14ac:dyDescent="0.65">
      <c r="A203" s="54"/>
      <c r="B203" s="53"/>
      <c r="C203" s="53"/>
      <c r="D203" s="53"/>
      <c r="E203" s="53"/>
      <c r="F203" s="53"/>
      <c r="G203" s="54"/>
      <c r="H203" s="53"/>
      <c r="I203" s="53"/>
      <c r="J203" s="53"/>
      <c r="K203" s="53"/>
      <c r="L203" s="53"/>
      <c r="M203" s="53"/>
      <c r="N203" s="53"/>
      <c r="O203" s="53"/>
      <c r="P203" s="53"/>
      <c r="Q203" s="53"/>
      <c r="R203" s="53"/>
      <c r="S203" s="53"/>
      <c r="T203" s="53"/>
      <c r="U203" s="53"/>
    </row>
    <row r="204" spans="1:21" ht="16.8" x14ac:dyDescent="0.65">
      <c r="A204" s="54"/>
      <c r="B204" s="53"/>
      <c r="C204" s="53"/>
      <c r="D204" s="53"/>
      <c r="E204" s="53"/>
      <c r="F204" s="53"/>
      <c r="G204" s="54"/>
      <c r="H204" s="53"/>
      <c r="I204" s="53"/>
      <c r="J204" s="53"/>
      <c r="K204" s="53"/>
      <c r="L204" s="53"/>
      <c r="M204" s="53"/>
      <c r="N204" s="53"/>
      <c r="O204" s="53"/>
      <c r="P204" s="53"/>
      <c r="Q204" s="53"/>
      <c r="R204" s="53"/>
      <c r="S204" s="53"/>
      <c r="T204" s="53"/>
      <c r="U204" s="53"/>
    </row>
    <row r="205" spans="1:21" ht="16.8" x14ac:dyDescent="0.65">
      <c r="A205" s="54"/>
      <c r="B205" s="53"/>
      <c r="C205" s="53"/>
      <c r="D205" s="53"/>
      <c r="E205" s="53"/>
      <c r="F205" s="53"/>
      <c r="G205" s="54"/>
      <c r="H205" s="53"/>
      <c r="I205" s="53"/>
      <c r="J205" s="53"/>
      <c r="K205" s="53"/>
      <c r="L205" s="53"/>
      <c r="M205" s="53"/>
      <c r="N205" s="53"/>
      <c r="O205" s="53"/>
      <c r="P205" s="53"/>
      <c r="Q205" s="53"/>
      <c r="R205" s="53"/>
      <c r="S205" s="53"/>
      <c r="T205" s="53"/>
      <c r="U205" s="53"/>
    </row>
    <row r="206" spans="1:21" ht="16.8" x14ac:dyDescent="0.65">
      <c r="A206" s="54"/>
      <c r="B206" s="53"/>
      <c r="C206" s="53"/>
      <c r="D206" s="53"/>
      <c r="E206" s="53"/>
      <c r="F206" s="53"/>
      <c r="G206" s="54"/>
      <c r="H206" s="53"/>
      <c r="I206" s="53"/>
      <c r="J206" s="53"/>
      <c r="K206" s="53"/>
      <c r="L206" s="53"/>
      <c r="M206" s="53"/>
      <c r="N206" s="53"/>
      <c r="O206" s="53"/>
      <c r="P206" s="53"/>
      <c r="Q206" s="53"/>
      <c r="R206" s="53"/>
      <c r="S206" s="53"/>
      <c r="T206" s="53"/>
      <c r="U206" s="53"/>
    </row>
    <row r="207" spans="1:21" ht="16.8" x14ac:dyDescent="0.65">
      <c r="A207" s="54"/>
      <c r="B207" s="53"/>
      <c r="C207" s="53"/>
      <c r="D207" s="53"/>
      <c r="E207" s="53"/>
      <c r="F207" s="53"/>
      <c r="G207" s="54"/>
      <c r="H207" s="53"/>
      <c r="I207" s="53"/>
      <c r="J207" s="53"/>
      <c r="K207" s="53"/>
      <c r="L207" s="53"/>
      <c r="M207" s="53"/>
      <c r="N207" s="53"/>
      <c r="O207" s="53"/>
      <c r="P207" s="53"/>
      <c r="Q207" s="53"/>
      <c r="R207" s="53"/>
      <c r="S207" s="53"/>
      <c r="T207" s="53"/>
      <c r="U207" s="53"/>
    </row>
    <row r="208" spans="1:21" ht="16.8" x14ac:dyDescent="0.65">
      <c r="A208" s="54"/>
      <c r="B208" s="53"/>
      <c r="C208" s="53"/>
      <c r="D208" s="53"/>
      <c r="E208" s="53"/>
      <c r="F208" s="53"/>
      <c r="G208" s="54"/>
      <c r="H208" s="53"/>
      <c r="I208" s="53"/>
      <c r="J208" s="53"/>
      <c r="K208" s="53"/>
      <c r="L208" s="53"/>
      <c r="M208" s="53"/>
      <c r="N208" s="53"/>
      <c r="O208" s="53"/>
      <c r="P208" s="53"/>
      <c r="Q208" s="53"/>
      <c r="R208" s="53"/>
      <c r="S208" s="53"/>
      <c r="T208" s="53"/>
      <c r="U208" s="53"/>
    </row>
    <row r="209" spans="1:21" ht="16.8" x14ac:dyDescent="0.65">
      <c r="A209" s="54"/>
      <c r="B209" s="53"/>
      <c r="C209" s="53"/>
      <c r="D209" s="53"/>
      <c r="E209" s="53"/>
      <c r="F209" s="53"/>
      <c r="G209" s="54"/>
      <c r="H209" s="53"/>
      <c r="I209" s="53"/>
      <c r="J209" s="53"/>
      <c r="K209" s="53"/>
      <c r="L209" s="53"/>
      <c r="M209" s="53"/>
      <c r="N209" s="53"/>
      <c r="O209" s="53"/>
      <c r="P209" s="53"/>
      <c r="Q209" s="53"/>
      <c r="R209" s="53"/>
      <c r="S209" s="53"/>
      <c r="T209" s="53"/>
      <c r="U209" s="53"/>
    </row>
    <row r="210" spans="1:21" ht="16.8" x14ac:dyDescent="0.65">
      <c r="A210" s="54"/>
      <c r="B210" s="53"/>
      <c r="C210" s="53"/>
      <c r="D210" s="53"/>
      <c r="E210" s="53"/>
      <c r="F210" s="53"/>
      <c r="G210" s="54"/>
      <c r="H210" s="53"/>
      <c r="I210" s="53"/>
      <c r="J210" s="53"/>
      <c r="K210" s="53"/>
      <c r="L210" s="53"/>
      <c r="M210" s="53"/>
      <c r="N210" s="53"/>
      <c r="O210" s="53"/>
      <c r="P210" s="53"/>
      <c r="Q210" s="53"/>
      <c r="R210" s="53"/>
      <c r="S210" s="53"/>
      <c r="T210" s="53"/>
      <c r="U210" s="53"/>
    </row>
    <row r="211" spans="1:21" ht="16.8" x14ac:dyDescent="0.65">
      <c r="A211" s="54"/>
      <c r="B211" s="53"/>
      <c r="C211" s="53"/>
      <c r="D211" s="53"/>
      <c r="E211" s="53"/>
      <c r="F211" s="53"/>
      <c r="G211" s="54"/>
      <c r="H211" s="53"/>
      <c r="I211" s="53"/>
      <c r="J211" s="53"/>
      <c r="K211" s="53"/>
      <c r="L211" s="53"/>
      <c r="M211" s="53"/>
      <c r="N211" s="53"/>
      <c r="O211" s="53"/>
      <c r="P211" s="53"/>
      <c r="Q211" s="53"/>
      <c r="R211" s="53"/>
      <c r="S211" s="53"/>
      <c r="T211" s="53"/>
      <c r="U211" s="53"/>
    </row>
    <row r="212" spans="1:21" ht="16.8" x14ac:dyDescent="0.65">
      <c r="A212" s="54"/>
      <c r="B212" s="53"/>
      <c r="C212" s="53"/>
      <c r="D212" s="53"/>
      <c r="E212" s="53"/>
      <c r="F212" s="53"/>
      <c r="G212" s="54"/>
      <c r="H212" s="53"/>
      <c r="I212" s="53"/>
      <c r="J212" s="53"/>
      <c r="K212" s="53"/>
      <c r="L212" s="53"/>
      <c r="M212" s="53"/>
      <c r="N212" s="53"/>
      <c r="O212" s="53"/>
      <c r="P212" s="53"/>
      <c r="Q212" s="53"/>
      <c r="R212" s="53"/>
      <c r="S212" s="53"/>
      <c r="T212" s="53"/>
      <c r="U212" s="53"/>
    </row>
    <row r="213" spans="1:21" ht="16.8" x14ac:dyDescent="0.65">
      <c r="A213" s="54"/>
      <c r="B213" s="53"/>
      <c r="C213" s="53"/>
      <c r="D213" s="53"/>
      <c r="E213" s="53"/>
      <c r="F213" s="53"/>
      <c r="G213" s="54"/>
      <c r="H213" s="53"/>
      <c r="I213" s="53"/>
      <c r="J213" s="53"/>
      <c r="K213" s="53"/>
      <c r="L213" s="53"/>
      <c r="M213" s="53"/>
      <c r="N213" s="53"/>
      <c r="O213" s="53"/>
      <c r="P213" s="53"/>
      <c r="Q213" s="53"/>
      <c r="R213" s="53"/>
      <c r="S213" s="53"/>
      <c r="T213" s="53"/>
      <c r="U213" s="53"/>
    </row>
    <row r="214" spans="1:21" ht="16.8" x14ac:dyDescent="0.65">
      <c r="A214" s="54"/>
      <c r="B214" s="53"/>
      <c r="C214" s="53"/>
      <c r="D214" s="53"/>
      <c r="E214" s="53"/>
      <c r="F214" s="53"/>
      <c r="G214" s="54"/>
      <c r="H214" s="53"/>
      <c r="I214" s="53"/>
      <c r="J214" s="53"/>
      <c r="K214" s="53"/>
      <c r="L214" s="53"/>
      <c r="M214" s="53"/>
      <c r="N214" s="53"/>
      <c r="O214" s="53"/>
      <c r="P214" s="53"/>
      <c r="Q214" s="53"/>
      <c r="R214" s="53"/>
      <c r="S214" s="53"/>
      <c r="T214" s="53"/>
      <c r="U214" s="53"/>
    </row>
    <row r="215" spans="1:21" ht="16.8" x14ac:dyDescent="0.65">
      <c r="A215" s="54"/>
      <c r="B215" s="53"/>
      <c r="C215" s="53"/>
      <c r="D215" s="53"/>
      <c r="E215" s="53"/>
      <c r="F215" s="53"/>
      <c r="G215" s="54"/>
      <c r="H215" s="53"/>
      <c r="I215" s="53"/>
      <c r="J215" s="53"/>
      <c r="K215" s="53"/>
      <c r="L215" s="53"/>
      <c r="M215" s="53"/>
      <c r="N215" s="53"/>
      <c r="O215" s="53"/>
      <c r="P215" s="53"/>
      <c r="Q215" s="53"/>
      <c r="R215" s="53"/>
      <c r="S215" s="53"/>
      <c r="T215" s="53"/>
      <c r="U215" s="53"/>
    </row>
    <row r="216" spans="1:21" ht="16.8" x14ac:dyDescent="0.65">
      <c r="A216" s="54"/>
      <c r="B216" s="53"/>
      <c r="C216" s="53"/>
      <c r="D216" s="53"/>
      <c r="E216" s="53"/>
      <c r="F216" s="53"/>
      <c r="G216" s="54"/>
      <c r="H216" s="53"/>
      <c r="I216" s="53"/>
      <c r="J216" s="53"/>
      <c r="K216" s="53"/>
      <c r="L216" s="53"/>
      <c r="M216" s="53"/>
      <c r="N216" s="53"/>
      <c r="O216" s="53"/>
      <c r="P216" s="53"/>
      <c r="Q216" s="53"/>
      <c r="R216" s="53"/>
      <c r="S216" s="53"/>
      <c r="T216" s="53"/>
      <c r="U216" s="53"/>
    </row>
    <row r="217" spans="1:21" ht="16.8" x14ac:dyDescent="0.65">
      <c r="A217" s="54"/>
      <c r="B217" s="53"/>
      <c r="C217" s="53"/>
      <c r="D217" s="53"/>
      <c r="E217" s="53"/>
      <c r="F217" s="53"/>
      <c r="G217" s="54"/>
      <c r="H217" s="53"/>
      <c r="I217" s="53"/>
      <c r="J217" s="53"/>
      <c r="K217" s="53"/>
      <c r="L217" s="53"/>
      <c r="M217" s="53"/>
      <c r="N217" s="53"/>
      <c r="O217" s="53"/>
      <c r="P217" s="53"/>
      <c r="Q217" s="53"/>
      <c r="R217" s="53"/>
      <c r="S217" s="53"/>
      <c r="T217" s="53"/>
      <c r="U217" s="53"/>
    </row>
    <row r="218" spans="1:21" ht="16.8" x14ac:dyDescent="0.65">
      <c r="A218" s="54"/>
      <c r="B218" s="53"/>
      <c r="C218" s="53"/>
      <c r="D218" s="53"/>
      <c r="E218" s="53"/>
      <c r="F218" s="53"/>
      <c r="G218" s="54"/>
      <c r="H218" s="53"/>
      <c r="I218" s="53"/>
      <c r="J218" s="53"/>
      <c r="K218" s="53"/>
      <c r="L218" s="53"/>
      <c r="M218" s="53"/>
      <c r="N218" s="53"/>
      <c r="O218" s="53"/>
      <c r="P218" s="53"/>
      <c r="Q218" s="53"/>
      <c r="R218" s="53"/>
      <c r="S218" s="53"/>
      <c r="T218" s="53"/>
      <c r="U218" s="53"/>
    </row>
    <row r="219" spans="1:21" ht="16.8" x14ac:dyDescent="0.65">
      <c r="A219" s="54"/>
      <c r="B219" s="53"/>
      <c r="C219" s="53"/>
      <c r="D219" s="53"/>
      <c r="E219" s="53"/>
      <c r="F219" s="53"/>
      <c r="G219" s="54"/>
      <c r="H219" s="53"/>
      <c r="I219" s="53"/>
      <c r="J219" s="53"/>
      <c r="K219" s="53"/>
      <c r="L219" s="53"/>
      <c r="M219" s="53"/>
      <c r="N219" s="53"/>
      <c r="O219" s="53"/>
      <c r="P219" s="53"/>
      <c r="Q219" s="53"/>
      <c r="R219" s="53"/>
      <c r="S219" s="53"/>
      <c r="T219" s="53"/>
      <c r="U219" s="53"/>
    </row>
    <row r="220" spans="1:21" ht="16.8" x14ac:dyDescent="0.65">
      <c r="A220" s="54"/>
      <c r="B220" s="53"/>
      <c r="C220" s="53"/>
      <c r="D220" s="53"/>
      <c r="E220" s="53"/>
      <c r="F220" s="53"/>
      <c r="G220" s="54"/>
      <c r="H220" s="53"/>
      <c r="I220" s="53"/>
      <c r="J220" s="53"/>
      <c r="K220" s="53"/>
      <c r="L220" s="53"/>
      <c r="M220" s="53"/>
      <c r="N220" s="53"/>
      <c r="O220" s="53"/>
      <c r="P220" s="53"/>
      <c r="Q220" s="53"/>
      <c r="R220" s="53"/>
      <c r="S220" s="53"/>
      <c r="T220" s="53"/>
      <c r="U220" s="53"/>
    </row>
    <row r="221" spans="1:21" ht="16.8" x14ac:dyDescent="0.65">
      <c r="A221" s="54"/>
      <c r="B221" s="53"/>
      <c r="C221" s="53"/>
      <c r="D221" s="53"/>
      <c r="E221" s="53"/>
      <c r="F221" s="53"/>
      <c r="G221" s="54"/>
      <c r="H221" s="53"/>
      <c r="I221" s="53"/>
      <c r="J221" s="53"/>
      <c r="K221" s="53"/>
      <c r="L221" s="53"/>
      <c r="M221" s="53"/>
      <c r="N221" s="53"/>
      <c r="O221" s="53"/>
      <c r="P221" s="53"/>
      <c r="Q221" s="53"/>
      <c r="R221" s="53"/>
      <c r="S221" s="53"/>
      <c r="T221" s="53"/>
      <c r="U221" s="53"/>
    </row>
    <row r="222" spans="1:21" ht="16.8" x14ac:dyDescent="0.65">
      <c r="A222" s="54"/>
      <c r="B222" s="53"/>
      <c r="C222" s="53"/>
      <c r="D222" s="53"/>
      <c r="E222" s="53"/>
      <c r="F222" s="53"/>
      <c r="G222" s="54"/>
      <c r="H222" s="53"/>
      <c r="I222" s="53"/>
      <c r="J222" s="53"/>
      <c r="K222" s="53"/>
      <c r="L222" s="53"/>
      <c r="M222" s="53"/>
      <c r="N222" s="53"/>
      <c r="O222" s="53"/>
      <c r="P222" s="53"/>
      <c r="Q222" s="53"/>
      <c r="R222" s="53"/>
      <c r="S222" s="53"/>
      <c r="T222" s="53"/>
      <c r="U222" s="53"/>
    </row>
    <row r="223" spans="1:21" ht="16.8" x14ac:dyDescent="0.65">
      <c r="A223" s="54"/>
      <c r="B223" s="53"/>
      <c r="C223" s="53"/>
      <c r="D223" s="53"/>
      <c r="E223" s="53"/>
      <c r="F223" s="53"/>
      <c r="G223" s="54"/>
      <c r="H223" s="53"/>
      <c r="I223" s="53"/>
      <c r="J223" s="53"/>
      <c r="K223" s="53"/>
      <c r="L223" s="53"/>
      <c r="M223" s="53"/>
      <c r="N223" s="53"/>
      <c r="O223" s="53"/>
      <c r="P223" s="53"/>
      <c r="Q223" s="53"/>
      <c r="R223" s="53"/>
      <c r="S223" s="53"/>
      <c r="T223" s="53"/>
      <c r="U223" s="53"/>
    </row>
    <row r="224" spans="1:21" ht="16.8" x14ac:dyDescent="0.65">
      <c r="A224" s="54"/>
      <c r="B224" s="53"/>
      <c r="C224" s="53"/>
      <c r="D224" s="53"/>
      <c r="E224" s="53"/>
      <c r="F224" s="53"/>
      <c r="G224" s="54"/>
      <c r="H224" s="53"/>
      <c r="I224" s="53"/>
      <c r="J224" s="53"/>
      <c r="K224" s="53"/>
      <c r="L224" s="53"/>
      <c r="M224" s="53"/>
      <c r="N224" s="53"/>
      <c r="O224" s="53"/>
      <c r="P224" s="53"/>
      <c r="Q224" s="53"/>
      <c r="R224" s="53"/>
      <c r="S224" s="53"/>
      <c r="T224" s="53"/>
      <c r="U224" s="53"/>
    </row>
    <row r="225" spans="1:21" ht="16.8" x14ac:dyDescent="0.65">
      <c r="A225" s="54"/>
      <c r="B225" s="53"/>
      <c r="C225" s="53"/>
      <c r="D225" s="53"/>
      <c r="E225" s="53"/>
      <c r="F225" s="53"/>
      <c r="G225" s="54"/>
      <c r="H225" s="53"/>
      <c r="I225" s="53"/>
      <c r="J225" s="53"/>
      <c r="K225" s="53"/>
      <c r="L225" s="53"/>
      <c r="M225" s="53"/>
      <c r="N225" s="53"/>
      <c r="O225" s="53"/>
      <c r="P225" s="53"/>
      <c r="Q225" s="53"/>
      <c r="R225" s="53"/>
      <c r="S225" s="53"/>
      <c r="T225" s="53"/>
      <c r="U225" s="53"/>
    </row>
    <row r="226" spans="1:21" ht="16.8" x14ac:dyDescent="0.65">
      <c r="A226" s="54"/>
      <c r="B226" s="53"/>
      <c r="C226" s="53"/>
      <c r="D226" s="53"/>
      <c r="E226" s="53"/>
      <c r="F226" s="53"/>
      <c r="G226" s="54"/>
      <c r="H226" s="53"/>
      <c r="I226" s="53"/>
      <c r="J226" s="53"/>
      <c r="K226" s="53"/>
      <c r="L226" s="53"/>
      <c r="M226" s="53"/>
      <c r="N226" s="53"/>
      <c r="O226" s="53"/>
      <c r="P226" s="53"/>
      <c r="Q226" s="53"/>
      <c r="R226" s="53"/>
      <c r="S226" s="53"/>
      <c r="T226" s="53"/>
      <c r="U226" s="53"/>
    </row>
    <row r="227" spans="1:21" ht="16.8" x14ac:dyDescent="0.65">
      <c r="A227" s="54"/>
      <c r="B227" s="53"/>
      <c r="C227" s="53"/>
      <c r="D227" s="53"/>
      <c r="E227" s="53"/>
      <c r="F227" s="53"/>
      <c r="G227" s="54"/>
      <c r="H227" s="53"/>
      <c r="I227" s="53"/>
      <c r="J227" s="53"/>
      <c r="K227" s="53"/>
      <c r="L227" s="53"/>
      <c r="M227" s="53"/>
      <c r="N227" s="53"/>
      <c r="O227" s="53"/>
      <c r="P227" s="53"/>
      <c r="Q227" s="53"/>
      <c r="R227" s="53"/>
      <c r="S227" s="53"/>
      <c r="T227" s="53"/>
      <c r="U227" s="53"/>
    </row>
    <row r="228" spans="1:21" ht="16.8" x14ac:dyDescent="0.65">
      <c r="A228" s="54"/>
      <c r="B228" s="53"/>
      <c r="C228" s="53"/>
      <c r="D228" s="53"/>
      <c r="E228" s="53"/>
      <c r="F228" s="53"/>
      <c r="G228" s="54"/>
      <c r="H228" s="53"/>
      <c r="I228" s="53"/>
      <c r="J228" s="53"/>
      <c r="K228" s="53"/>
      <c r="L228" s="53"/>
      <c r="M228" s="53"/>
      <c r="N228" s="53"/>
      <c r="O228" s="53"/>
      <c r="P228" s="53"/>
      <c r="Q228" s="53"/>
      <c r="R228" s="53"/>
      <c r="S228" s="53"/>
      <c r="T228" s="53"/>
      <c r="U228" s="53"/>
    </row>
    <row r="229" spans="1:21" ht="16.8" x14ac:dyDescent="0.65">
      <c r="A229" s="54"/>
      <c r="B229" s="53"/>
      <c r="C229" s="53"/>
      <c r="D229" s="53"/>
      <c r="E229" s="53"/>
      <c r="F229" s="53"/>
      <c r="G229" s="54"/>
      <c r="H229" s="53"/>
      <c r="I229" s="53"/>
      <c r="J229" s="53"/>
      <c r="K229" s="53"/>
      <c r="L229" s="53"/>
      <c r="M229" s="53"/>
      <c r="N229" s="53"/>
      <c r="O229" s="53"/>
      <c r="P229" s="53"/>
      <c r="Q229" s="53"/>
      <c r="R229" s="53"/>
      <c r="S229" s="53"/>
      <c r="T229" s="53"/>
      <c r="U229" s="53"/>
    </row>
    <row r="230" spans="1:21" ht="16.8" x14ac:dyDescent="0.65">
      <c r="A230" s="54"/>
      <c r="B230" s="53"/>
      <c r="C230" s="53"/>
      <c r="D230" s="53"/>
      <c r="E230" s="53"/>
      <c r="F230" s="53"/>
      <c r="G230" s="54"/>
      <c r="H230" s="53"/>
      <c r="I230" s="53"/>
      <c r="J230" s="53"/>
      <c r="K230" s="53"/>
      <c r="L230" s="53"/>
      <c r="M230" s="53"/>
      <c r="N230" s="53"/>
      <c r="O230" s="53"/>
      <c r="P230" s="53"/>
      <c r="Q230" s="53"/>
      <c r="R230" s="53"/>
      <c r="S230" s="53"/>
      <c r="T230" s="53"/>
      <c r="U230" s="53"/>
    </row>
    <row r="231" spans="1:21" ht="16.8" x14ac:dyDescent="0.65">
      <c r="A231" s="54"/>
      <c r="B231" s="53"/>
      <c r="C231" s="53"/>
      <c r="D231" s="53"/>
      <c r="E231" s="53"/>
      <c r="F231" s="53"/>
      <c r="G231" s="54"/>
      <c r="H231" s="53"/>
      <c r="I231" s="53"/>
      <c r="J231" s="53"/>
      <c r="K231" s="53"/>
      <c r="L231" s="53"/>
      <c r="M231" s="53"/>
      <c r="N231" s="53"/>
      <c r="O231" s="53"/>
      <c r="P231" s="53"/>
      <c r="Q231" s="53"/>
      <c r="R231" s="53"/>
      <c r="S231" s="53"/>
      <c r="T231" s="53"/>
      <c r="U231" s="53"/>
    </row>
    <row r="232" spans="1:21" ht="16.8" x14ac:dyDescent="0.65">
      <c r="A232" s="54"/>
      <c r="B232" s="53"/>
      <c r="C232" s="53"/>
      <c r="D232" s="53"/>
      <c r="E232" s="53"/>
      <c r="F232" s="53"/>
      <c r="G232" s="54"/>
      <c r="H232" s="53"/>
      <c r="I232" s="53"/>
      <c r="J232" s="53"/>
      <c r="K232" s="53"/>
      <c r="L232" s="53"/>
      <c r="M232" s="53"/>
      <c r="N232" s="53"/>
      <c r="O232" s="53"/>
      <c r="P232" s="53"/>
      <c r="Q232" s="53"/>
      <c r="R232" s="53"/>
      <c r="S232" s="53"/>
      <c r="T232" s="53"/>
      <c r="U232" s="53"/>
    </row>
    <row r="233" spans="1:21" ht="16.8" x14ac:dyDescent="0.65">
      <c r="A233" s="54"/>
      <c r="B233" s="53"/>
      <c r="C233" s="53"/>
      <c r="D233" s="53"/>
      <c r="E233" s="53"/>
      <c r="F233" s="53"/>
      <c r="G233" s="54"/>
      <c r="H233" s="53"/>
      <c r="I233" s="53"/>
      <c r="J233" s="53"/>
      <c r="K233" s="53"/>
      <c r="L233" s="53"/>
      <c r="M233" s="53"/>
      <c r="N233" s="53"/>
      <c r="O233" s="53"/>
      <c r="P233" s="53"/>
      <c r="Q233" s="53"/>
      <c r="R233" s="53"/>
      <c r="S233" s="53"/>
      <c r="T233" s="53"/>
      <c r="U233" s="53"/>
    </row>
    <row r="234" spans="1:21" ht="16.8" x14ac:dyDescent="0.65">
      <c r="A234" s="54"/>
      <c r="B234" s="53"/>
      <c r="C234" s="53"/>
      <c r="D234" s="53"/>
      <c r="E234" s="53"/>
      <c r="F234" s="53"/>
      <c r="G234" s="54"/>
      <c r="H234" s="53"/>
      <c r="I234" s="53"/>
      <c r="J234" s="53"/>
      <c r="K234" s="53"/>
      <c r="L234" s="53"/>
      <c r="M234" s="53"/>
      <c r="N234" s="53"/>
      <c r="O234" s="53"/>
      <c r="P234" s="53"/>
      <c r="Q234" s="53"/>
      <c r="R234" s="53"/>
      <c r="S234" s="53"/>
      <c r="T234" s="53"/>
      <c r="U234" s="53"/>
    </row>
    <row r="235" spans="1:21" ht="16.8" x14ac:dyDescent="0.65">
      <c r="A235" s="54"/>
      <c r="B235" s="53"/>
      <c r="C235" s="53"/>
      <c r="D235" s="53"/>
      <c r="E235" s="53"/>
      <c r="F235" s="53"/>
      <c r="G235" s="54"/>
      <c r="H235" s="53"/>
      <c r="I235" s="53"/>
      <c r="J235" s="53"/>
      <c r="K235" s="53"/>
      <c r="L235" s="53"/>
      <c r="M235" s="53"/>
      <c r="N235" s="53"/>
      <c r="O235" s="53"/>
      <c r="P235" s="53"/>
      <c r="Q235" s="53"/>
      <c r="R235" s="53"/>
      <c r="S235" s="53"/>
      <c r="T235" s="53"/>
      <c r="U235" s="53"/>
    </row>
    <row r="236" spans="1:21" ht="16.8" x14ac:dyDescent="0.65">
      <c r="A236" s="54"/>
      <c r="B236" s="53"/>
      <c r="C236" s="53"/>
      <c r="D236" s="53"/>
      <c r="E236" s="53"/>
      <c r="F236" s="53"/>
      <c r="G236" s="54"/>
      <c r="H236" s="53"/>
      <c r="I236" s="53"/>
      <c r="J236" s="53"/>
      <c r="K236" s="53"/>
      <c r="L236" s="53"/>
      <c r="M236" s="53"/>
      <c r="N236" s="53"/>
      <c r="O236" s="53"/>
      <c r="P236" s="53"/>
      <c r="Q236" s="53"/>
      <c r="R236" s="53"/>
      <c r="S236" s="53"/>
      <c r="T236" s="53"/>
      <c r="U236" s="53"/>
    </row>
    <row r="237" spans="1:21" ht="16.8" x14ac:dyDescent="0.65">
      <c r="A237" s="54"/>
      <c r="B237" s="53"/>
      <c r="C237" s="53"/>
      <c r="D237" s="53"/>
      <c r="E237" s="53"/>
      <c r="F237" s="53"/>
      <c r="G237" s="54"/>
      <c r="H237" s="53"/>
      <c r="I237" s="53"/>
      <c r="J237" s="53"/>
      <c r="K237" s="53"/>
      <c r="L237" s="53"/>
      <c r="M237" s="53"/>
      <c r="N237" s="53"/>
      <c r="O237" s="53"/>
      <c r="P237" s="53"/>
      <c r="Q237" s="53"/>
      <c r="R237" s="53"/>
      <c r="S237" s="53"/>
      <c r="T237" s="53"/>
      <c r="U237" s="53"/>
    </row>
    <row r="238" spans="1:21" ht="16.8" x14ac:dyDescent="0.65">
      <c r="A238" s="54"/>
      <c r="B238" s="53"/>
      <c r="C238" s="53"/>
      <c r="D238" s="53"/>
      <c r="E238" s="53"/>
      <c r="F238" s="53"/>
      <c r="G238" s="54"/>
      <c r="H238" s="53"/>
      <c r="I238" s="53"/>
      <c r="J238" s="53"/>
      <c r="K238" s="53"/>
      <c r="L238" s="53"/>
      <c r="M238" s="53"/>
      <c r="N238" s="53"/>
      <c r="O238" s="53"/>
      <c r="P238" s="53"/>
      <c r="Q238" s="53"/>
      <c r="R238" s="53"/>
      <c r="S238" s="53"/>
      <c r="T238" s="53"/>
      <c r="U238" s="53"/>
    </row>
    <row r="239" spans="1:21" ht="16.8" x14ac:dyDescent="0.65">
      <c r="A239" s="54"/>
      <c r="B239" s="53"/>
      <c r="C239" s="53"/>
      <c r="D239" s="53"/>
      <c r="E239" s="53"/>
      <c r="F239" s="53"/>
      <c r="G239" s="54"/>
      <c r="H239" s="53"/>
      <c r="I239" s="53"/>
      <c r="J239" s="53"/>
      <c r="K239" s="53"/>
      <c r="L239" s="53"/>
      <c r="M239" s="53"/>
      <c r="N239" s="53"/>
      <c r="O239" s="53"/>
      <c r="P239" s="53"/>
      <c r="Q239" s="53"/>
      <c r="R239" s="53"/>
      <c r="S239" s="53"/>
      <c r="T239" s="53"/>
      <c r="U239" s="53"/>
    </row>
    <row r="240" spans="1:21" ht="16.8" x14ac:dyDescent="0.65">
      <c r="A240" s="54"/>
      <c r="B240" s="53"/>
      <c r="C240" s="53"/>
      <c r="D240" s="53"/>
      <c r="E240" s="53"/>
      <c r="F240" s="53"/>
      <c r="G240" s="54"/>
      <c r="H240" s="53"/>
      <c r="I240" s="53"/>
      <c r="J240" s="53"/>
      <c r="K240" s="53"/>
      <c r="L240" s="53"/>
      <c r="M240" s="53"/>
      <c r="N240" s="53"/>
      <c r="O240" s="53"/>
      <c r="P240" s="53"/>
      <c r="Q240" s="53"/>
      <c r="R240" s="53"/>
      <c r="S240" s="53"/>
      <c r="T240" s="53"/>
      <c r="U240" s="53"/>
    </row>
    <row r="241" spans="1:21" ht="16.8" x14ac:dyDescent="0.65">
      <c r="A241" s="54"/>
      <c r="B241" s="53"/>
      <c r="C241" s="53"/>
      <c r="D241" s="53"/>
      <c r="E241" s="53"/>
      <c r="F241" s="53"/>
      <c r="G241" s="54"/>
      <c r="H241" s="53"/>
      <c r="I241" s="53"/>
      <c r="J241" s="53"/>
      <c r="K241" s="53"/>
      <c r="L241" s="53"/>
      <c r="M241" s="53"/>
      <c r="N241" s="53"/>
      <c r="O241" s="53"/>
      <c r="P241" s="53"/>
      <c r="Q241" s="53"/>
      <c r="R241" s="53"/>
      <c r="S241" s="53"/>
      <c r="T241" s="53"/>
      <c r="U241" s="53"/>
    </row>
    <row r="242" spans="1:21" ht="16.8" x14ac:dyDescent="0.65">
      <c r="A242" s="54"/>
      <c r="B242" s="53"/>
      <c r="C242" s="53"/>
      <c r="D242" s="53"/>
      <c r="E242" s="53"/>
      <c r="F242" s="53"/>
      <c r="G242" s="54"/>
      <c r="H242" s="53"/>
      <c r="I242" s="53"/>
      <c r="J242" s="53"/>
      <c r="K242" s="53"/>
      <c r="L242" s="53"/>
      <c r="M242" s="53"/>
      <c r="N242" s="53"/>
      <c r="O242" s="53"/>
      <c r="P242" s="53"/>
      <c r="Q242" s="53"/>
      <c r="R242" s="53"/>
      <c r="S242" s="53"/>
      <c r="T242" s="53"/>
      <c r="U242" s="53"/>
    </row>
    <row r="243" spans="1:21" ht="16.8" x14ac:dyDescent="0.65">
      <c r="A243" s="54"/>
      <c r="B243" s="53"/>
      <c r="C243" s="53"/>
      <c r="D243" s="53"/>
      <c r="E243" s="53"/>
      <c r="F243" s="53"/>
      <c r="G243" s="54"/>
      <c r="H243" s="53"/>
      <c r="I243" s="53"/>
      <c r="J243" s="53"/>
      <c r="K243" s="53"/>
      <c r="L243" s="53"/>
      <c r="M243" s="53"/>
      <c r="N243" s="53"/>
      <c r="O243" s="53"/>
      <c r="P243" s="53"/>
      <c r="Q243" s="53"/>
      <c r="R243" s="53"/>
      <c r="S243" s="53"/>
      <c r="T243" s="53"/>
      <c r="U243" s="53"/>
    </row>
    <row r="244" spans="1:21" ht="16.8" x14ac:dyDescent="0.65">
      <c r="A244" s="54"/>
      <c r="B244" s="53"/>
      <c r="C244" s="53"/>
      <c r="D244" s="53"/>
      <c r="E244" s="53"/>
      <c r="F244" s="53"/>
      <c r="G244" s="54"/>
      <c r="H244" s="53"/>
      <c r="I244" s="53"/>
      <c r="J244" s="53"/>
      <c r="K244" s="53"/>
      <c r="L244" s="53"/>
      <c r="M244" s="53"/>
      <c r="N244" s="53"/>
      <c r="O244" s="53"/>
      <c r="P244" s="53"/>
      <c r="Q244" s="53"/>
      <c r="R244" s="53"/>
      <c r="S244" s="53"/>
      <c r="T244" s="53"/>
      <c r="U244" s="53"/>
    </row>
    <row r="245" spans="1:21" ht="16.8" x14ac:dyDescent="0.65">
      <c r="A245" s="54"/>
      <c r="B245" s="53"/>
      <c r="C245" s="53"/>
      <c r="D245" s="53"/>
      <c r="E245" s="53"/>
      <c r="F245" s="53"/>
      <c r="G245" s="54"/>
      <c r="H245" s="53"/>
      <c r="I245" s="53"/>
      <c r="J245" s="53"/>
      <c r="K245" s="53"/>
      <c r="L245" s="53"/>
      <c r="M245" s="53"/>
      <c r="N245" s="53"/>
      <c r="O245" s="53"/>
      <c r="P245" s="53"/>
      <c r="Q245" s="53"/>
      <c r="R245" s="53"/>
      <c r="S245" s="53"/>
      <c r="T245" s="53"/>
      <c r="U245" s="53"/>
    </row>
    <row r="246" spans="1:21" ht="16.8" x14ac:dyDescent="0.65">
      <c r="A246" s="54"/>
      <c r="B246" s="53"/>
      <c r="C246" s="53"/>
      <c r="D246" s="53"/>
      <c r="E246" s="53"/>
      <c r="F246" s="53"/>
      <c r="G246" s="54"/>
      <c r="H246" s="53"/>
      <c r="I246" s="53"/>
      <c r="J246" s="53"/>
      <c r="K246" s="53"/>
      <c r="L246" s="53"/>
      <c r="M246" s="53"/>
      <c r="N246" s="53"/>
      <c r="O246" s="53"/>
      <c r="P246" s="53"/>
      <c r="Q246" s="53"/>
      <c r="R246" s="53"/>
      <c r="S246" s="53"/>
      <c r="T246" s="53"/>
      <c r="U246" s="53"/>
    </row>
    <row r="247" spans="1:21" ht="16.8" x14ac:dyDescent="0.65">
      <c r="A247" s="54"/>
      <c r="B247" s="53"/>
      <c r="C247" s="53"/>
      <c r="D247" s="53"/>
      <c r="E247" s="53"/>
      <c r="F247" s="53"/>
      <c r="G247" s="54"/>
      <c r="H247" s="53"/>
      <c r="I247" s="53"/>
      <c r="J247" s="53"/>
      <c r="K247" s="53"/>
      <c r="L247" s="53"/>
      <c r="M247" s="53"/>
      <c r="N247" s="53"/>
      <c r="O247" s="53"/>
      <c r="P247" s="53"/>
      <c r="Q247" s="53"/>
      <c r="R247" s="53"/>
      <c r="S247" s="53"/>
      <c r="T247" s="53"/>
      <c r="U247" s="53"/>
    </row>
    <row r="248" spans="1:21" ht="16.8" x14ac:dyDescent="0.65">
      <c r="A248" s="54"/>
      <c r="B248" s="53"/>
      <c r="C248" s="53"/>
      <c r="D248" s="53"/>
      <c r="E248" s="53"/>
      <c r="F248" s="53"/>
      <c r="G248" s="54"/>
      <c r="H248" s="53"/>
      <c r="I248" s="53"/>
      <c r="J248" s="53"/>
      <c r="K248" s="53"/>
      <c r="L248" s="53"/>
      <c r="M248" s="53"/>
      <c r="N248" s="53"/>
      <c r="O248" s="53"/>
      <c r="P248" s="53"/>
      <c r="Q248" s="53"/>
      <c r="R248" s="53"/>
      <c r="S248" s="53"/>
      <c r="T248" s="53"/>
      <c r="U248" s="53"/>
    </row>
    <row r="249" spans="1:21" ht="16.8" x14ac:dyDescent="0.65">
      <c r="A249" s="54"/>
      <c r="B249" s="53"/>
      <c r="C249" s="53"/>
      <c r="D249" s="53"/>
      <c r="E249" s="53"/>
      <c r="F249" s="53"/>
      <c r="G249" s="54"/>
      <c r="H249" s="53"/>
      <c r="I249" s="53"/>
      <c r="J249" s="53"/>
      <c r="K249" s="53"/>
      <c r="L249" s="53"/>
      <c r="M249" s="53"/>
      <c r="N249" s="53"/>
      <c r="O249" s="53"/>
      <c r="P249" s="53"/>
      <c r="Q249" s="53"/>
      <c r="R249" s="53"/>
      <c r="S249" s="53"/>
      <c r="T249" s="53"/>
      <c r="U249" s="53"/>
    </row>
    <row r="250" spans="1:21" ht="16.8" x14ac:dyDescent="0.65">
      <c r="A250" s="54"/>
      <c r="B250" s="53"/>
      <c r="C250" s="53"/>
      <c r="D250" s="53"/>
      <c r="E250" s="53"/>
      <c r="F250" s="53"/>
      <c r="G250" s="54"/>
      <c r="H250" s="53"/>
      <c r="I250" s="53"/>
      <c r="J250" s="53"/>
      <c r="K250" s="53"/>
      <c r="L250" s="53"/>
      <c r="M250" s="53"/>
      <c r="N250" s="53"/>
      <c r="O250" s="53"/>
      <c r="P250" s="53"/>
      <c r="Q250" s="53"/>
      <c r="R250" s="53"/>
      <c r="S250" s="53"/>
      <c r="T250" s="53"/>
      <c r="U250" s="53"/>
    </row>
    <row r="251" spans="1:21" ht="16.8" x14ac:dyDescent="0.65">
      <c r="A251" s="54"/>
      <c r="B251" s="53"/>
      <c r="C251" s="53"/>
      <c r="D251" s="53"/>
      <c r="E251" s="53"/>
      <c r="F251" s="53"/>
      <c r="G251" s="54"/>
      <c r="H251" s="53"/>
      <c r="I251" s="53"/>
      <c r="J251" s="53"/>
      <c r="K251" s="53"/>
      <c r="L251" s="53"/>
      <c r="M251" s="53"/>
      <c r="N251" s="53"/>
      <c r="O251" s="53"/>
      <c r="P251" s="53"/>
      <c r="Q251" s="53"/>
      <c r="R251" s="53"/>
      <c r="S251" s="53"/>
      <c r="T251" s="53"/>
      <c r="U251" s="53"/>
    </row>
    <row r="252" spans="1:21" ht="16.8" x14ac:dyDescent="0.65">
      <c r="A252" s="54"/>
      <c r="B252" s="53"/>
      <c r="C252" s="53"/>
      <c r="D252" s="53"/>
      <c r="E252" s="53"/>
      <c r="F252" s="53"/>
      <c r="G252" s="54"/>
      <c r="H252" s="53"/>
      <c r="I252" s="53"/>
      <c r="J252" s="53"/>
      <c r="K252" s="53"/>
      <c r="L252" s="53"/>
      <c r="M252" s="53"/>
      <c r="N252" s="53"/>
      <c r="O252" s="53"/>
      <c r="P252" s="53"/>
      <c r="Q252" s="53"/>
      <c r="R252" s="53"/>
      <c r="S252" s="53"/>
      <c r="T252" s="53"/>
      <c r="U252" s="53"/>
    </row>
    <row r="253" spans="1:21" ht="16.8" x14ac:dyDescent="0.65">
      <c r="A253" s="54"/>
      <c r="B253" s="53"/>
      <c r="C253" s="53"/>
      <c r="D253" s="53"/>
      <c r="E253" s="53"/>
      <c r="F253" s="53"/>
      <c r="G253" s="54"/>
      <c r="H253" s="53"/>
      <c r="I253" s="53"/>
      <c r="J253" s="53"/>
      <c r="K253" s="53"/>
      <c r="L253" s="53"/>
      <c r="M253" s="53"/>
      <c r="N253" s="53"/>
      <c r="O253" s="53"/>
      <c r="P253" s="53"/>
      <c r="Q253" s="53"/>
      <c r="R253" s="53"/>
      <c r="S253" s="53"/>
      <c r="T253" s="53"/>
      <c r="U253" s="53"/>
    </row>
    <row r="254" spans="1:21" ht="16.8" x14ac:dyDescent="0.65">
      <c r="A254" s="54"/>
      <c r="B254" s="53"/>
      <c r="C254" s="53"/>
      <c r="D254" s="53"/>
      <c r="E254" s="53"/>
      <c r="F254" s="53"/>
      <c r="G254" s="54"/>
      <c r="H254" s="53"/>
      <c r="I254" s="53"/>
      <c r="J254" s="53"/>
      <c r="K254" s="53"/>
      <c r="L254" s="53"/>
      <c r="M254" s="53"/>
      <c r="N254" s="53"/>
      <c r="O254" s="53"/>
      <c r="P254" s="53"/>
      <c r="Q254" s="53"/>
      <c r="R254" s="53"/>
      <c r="S254" s="53"/>
      <c r="T254" s="53"/>
      <c r="U254" s="53"/>
    </row>
    <row r="255" spans="1:21" ht="16.8" x14ac:dyDescent="0.65">
      <c r="A255" s="54"/>
      <c r="B255" s="53"/>
      <c r="C255" s="53"/>
      <c r="D255" s="53"/>
      <c r="E255" s="53"/>
      <c r="F255" s="53"/>
      <c r="G255" s="54"/>
      <c r="H255" s="53"/>
      <c r="I255" s="53"/>
      <c r="J255" s="53"/>
      <c r="K255" s="53"/>
      <c r="L255" s="53"/>
      <c r="M255" s="53"/>
      <c r="N255" s="53"/>
      <c r="O255" s="53"/>
      <c r="P255" s="53"/>
      <c r="Q255" s="53"/>
      <c r="R255" s="53"/>
      <c r="S255" s="53"/>
      <c r="T255" s="53"/>
      <c r="U255" s="53"/>
    </row>
    <row r="256" spans="1:21" ht="16.8" x14ac:dyDescent="0.65">
      <c r="A256" s="54"/>
      <c r="B256" s="53"/>
      <c r="C256" s="53"/>
      <c r="D256" s="53"/>
      <c r="E256" s="53"/>
      <c r="F256" s="53"/>
      <c r="G256" s="54"/>
      <c r="H256" s="53"/>
      <c r="I256" s="53"/>
      <c r="J256" s="53"/>
      <c r="K256" s="53"/>
      <c r="L256" s="53"/>
      <c r="M256" s="53"/>
      <c r="N256" s="53"/>
      <c r="O256" s="53"/>
      <c r="P256" s="53"/>
      <c r="Q256" s="53"/>
      <c r="R256" s="53"/>
      <c r="S256" s="53"/>
      <c r="T256" s="53"/>
      <c r="U256" s="53"/>
    </row>
    <row r="257" spans="1:21" ht="16.8" x14ac:dyDescent="0.65">
      <c r="A257" s="54"/>
      <c r="B257" s="53"/>
      <c r="C257" s="53"/>
      <c r="D257" s="53"/>
      <c r="E257" s="53"/>
      <c r="F257" s="53"/>
      <c r="G257" s="54"/>
      <c r="H257" s="53"/>
      <c r="I257" s="53"/>
      <c r="J257" s="53"/>
      <c r="K257" s="53"/>
      <c r="L257" s="53"/>
      <c r="M257" s="53"/>
      <c r="N257" s="53"/>
      <c r="O257" s="53"/>
      <c r="P257" s="53"/>
      <c r="Q257" s="53"/>
      <c r="R257" s="53"/>
      <c r="S257" s="53"/>
      <c r="T257" s="53"/>
      <c r="U257" s="53"/>
    </row>
    <row r="258" spans="1:21" ht="16.8" x14ac:dyDescent="0.65">
      <c r="A258" s="54"/>
      <c r="B258" s="53"/>
      <c r="C258" s="53"/>
      <c r="D258" s="53"/>
      <c r="E258" s="53"/>
      <c r="F258" s="53"/>
      <c r="G258" s="54"/>
      <c r="H258" s="53"/>
      <c r="I258" s="53"/>
      <c r="J258" s="53"/>
      <c r="K258" s="53"/>
      <c r="L258" s="53"/>
      <c r="M258" s="53"/>
      <c r="N258" s="53"/>
      <c r="O258" s="53"/>
      <c r="P258" s="53"/>
      <c r="Q258" s="53"/>
      <c r="R258" s="53"/>
      <c r="S258" s="53"/>
      <c r="T258" s="53"/>
      <c r="U258" s="53"/>
    </row>
    <row r="259" spans="1:21" ht="16.8" x14ac:dyDescent="0.65">
      <c r="A259" s="54"/>
      <c r="B259" s="53"/>
      <c r="C259" s="53"/>
      <c r="D259" s="53"/>
      <c r="E259" s="53"/>
      <c r="F259" s="53"/>
      <c r="G259" s="54"/>
      <c r="H259" s="53"/>
      <c r="I259" s="53"/>
      <c r="J259" s="53"/>
      <c r="K259" s="53"/>
      <c r="L259" s="53"/>
      <c r="M259" s="53"/>
      <c r="N259" s="53"/>
      <c r="O259" s="53"/>
      <c r="P259" s="53"/>
      <c r="Q259" s="53"/>
      <c r="R259" s="53"/>
      <c r="S259" s="53"/>
      <c r="T259" s="53"/>
      <c r="U259" s="53"/>
    </row>
    <row r="260" spans="1:21" ht="16.8" x14ac:dyDescent="0.65">
      <c r="A260" s="54"/>
      <c r="B260" s="53"/>
      <c r="C260" s="53"/>
      <c r="D260" s="53"/>
      <c r="E260" s="53"/>
      <c r="F260" s="53"/>
      <c r="G260" s="54"/>
      <c r="H260" s="53"/>
      <c r="I260" s="53"/>
      <c r="J260" s="53"/>
      <c r="K260" s="53"/>
      <c r="L260" s="53"/>
      <c r="M260" s="53"/>
      <c r="N260" s="53"/>
      <c r="O260" s="53"/>
      <c r="P260" s="53"/>
      <c r="Q260" s="53"/>
      <c r="R260" s="53"/>
      <c r="S260" s="53"/>
      <c r="T260" s="53"/>
      <c r="U260" s="53"/>
    </row>
    <row r="261" spans="1:21" ht="16.8" x14ac:dyDescent="0.65">
      <c r="A261" s="54"/>
      <c r="B261" s="53"/>
      <c r="C261" s="53"/>
      <c r="D261" s="53"/>
      <c r="E261" s="53"/>
      <c r="F261" s="53"/>
      <c r="G261" s="54"/>
      <c r="H261" s="53"/>
      <c r="I261" s="53"/>
      <c r="J261" s="53"/>
      <c r="K261" s="53"/>
      <c r="L261" s="53"/>
      <c r="M261" s="53"/>
      <c r="N261" s="53"/>
      <c r="O261" s="53"/>
      <c r="P261" s="53"/>
      <c r="Q261" s="53"/>
      <c r="R261" s="53"/>
      <c r="S261" s="53"/>
      <c r="T261" s="53"/>
      <c r="U261" s="53"/>
    </row>
    <row r="262" spans="1:21" ht="16.8" x14ac:dyDescent="0.65">
      <c r="A262" s="54"/>
      <c r="B262" s="53"/>
      <c r="C262" s="53"/>
      <c r="D262" s="53"/>
      <c r="E262" s="53"/>
      <c r="F262" s="53"/>
      <c r="G262" s="54"/>
      <c r="H262" s="53"/>
      <c r="I262" s="53"/>
      <c r="J262" s="53"/>
      <c r="K262" s="53"/>
      <c r="L262" s="53"/>
      <c r="M262" s="53"/>
      <c r="N262" s="53"/>
      <c r="O262" s="53"/>
      <c r="P262" s="53"/>
      <c r="Q262" s="53"/>
      <c r="R262" s="53"/>
      <c r="S262" s="53"/>
      <c r="T262" s="53"/>
      <c r="U262" s="53"/>
    </row>
    <row r="263" spans="1:21" ht="16.8" x14ac:dyDescent="0.65">
      <c r="A263" s="54"/>
      <c r="B263" s="53"/>
      <c r="C263" s="53"/>
      <c r="D263" s="53"/>
      <c r="E263" s="53"/>
      <c r="F263" s="53"/>
      <c r="G263" s="54"/>
      <c r="H263" s="53"/>
      <c r="I263" s="53"/>
      <c r="J263" s="53"/>
      <c r="K263" s="53"/>
      <c r="L263" s="53"/>
      <c r="M263" s="53"/>
      <c r="N263" s="53"/>
      <c r="O263" s="53"/>
      <c r="P263" s="53"/>
      <c r="Q263" s="53"/>
      <c r="R263" s="53"/>
      <c r="S263" s="53"/>
      <c r="T263" s="53"/>
      <c r="U263" s="53"/>
    </row>
    <row r="264" spans="1:21" ht="16.8" x14ac:dyDescent="0.65">
      <c r="A264" s="54"/>
      <c r="B264" s="53"/>
      <c r="C264" s="53"/>
      <c r="D264" s="53"/>
      <c r="E264" s="53"/>
      <c r="F264" s="53"/>
      <c r="G264" s="54"/>
      <c r="H264" s="53"/>
      <c r="I264" s="53"/>
      <c r="J264" s="53"/>
      <c r="K264" s="53"/>
      <c r="L264" s="53"/>
      <c r="M264" s="53"/>
      <c r="N264" s="53"/>
      <c r="O264" s="53"/>
      <c r="P264" s="53"/>
      <c r="Q264" s="53"/>
      <c r="R264" s="53"/>
      <c r="S264" s="53"/>
      <c r="T264" s="53"/>
      <c r="U264" s="53"/>
    </row>
    <row r="265" spans="1:21" ht="16.8" x14ac:dyDescent="0.65">
      <c r="A265" s="54"/>
      <c r="B265" s="53"/>
      <c r="C265" s="53"/>
      <c r="D265" s="53"/>
      <c r="E265" s="53"/>
      <c r="F265" s="53"/>
      <c r="G265" s="54"/>
      <c r="H265" s="53"/>
      <c r="I265" s="53"/>
      <c r="J265" s="53"/>
      <c r="K265" s="53"/>
      <c r="L265" s="53"/>
      <c r="M265" s="53"/>
      <c r="N265" s="53"/>
      <c r="O265" s="53"/>
      <c r="P265" s="53"/>
      <c r="Q265" s="53"/>
      <c r="R265" s="53"/>
      <c r="S265" s="53"/>
      <c r="T265" s="53"/>
      <c r="U265" s="53"/>
    </row>
    <row r="266" spans="1:21" ht="16.8" x14ac:dyDescent="0.65">
      <c r="A266" s="54"/>
      <c r="B266" s="53"/>
      <c r="C266" s="53"/>
      <c r="D266" s="53"/>
      <c r="E266" s="53"/>
      <c r="F266" s="53"/>
      <c r="G266" s="54"/>
      <c r="H266" s="53"/>
      <c r="I266" s="53"/>
      <c r="J266" s="53"/>
      <c r="K266" s="53"/>
      <c r="L266" s="53"/>
      <c r="M266" s="53"/>
      <c r="N266" s="53"/>
      <c r="O266" s="53"/>
      <c r="P266" s="53"/>
      <c r="Q266" s="53"/>
      <c r="R266" s="53"/>
      <c r="S266" s="53"/>
      <c r="T266" s="53"/>
      <c r="U266" s="53"/>
    </row>
    <row r="267" spans="1:21" ht="16.8" x14ac:dyDescent="0.65">
      <c r="A267" s="54"/>
      <c r="B267" s="53"/>
      <c r="C267" s="53"/>
      <c r="D267" s="53"/>
      <c r="E267" s="53"/>
      <c r="F267" s="53"/>
      <c r="G267" s="54"/>
      <c r="H267" s="53"/>
      <c r="I267" s="53"/>
      <c r="J267" s="53"/>
      <c r="K267" s="53"/>
      <c r="L267" s="53"/>
      <c r="M267" s="53"/>
      <c r="N267" s="53"/>
      <c r="O267" s="53"/>
      <c r="P267" s="53"/>
      <c r="Q267" s="53"/>
      <c r="R267" s="53"/>
      <c r="S267" s="53"/>
      <c r="T267" s="53"/>
      <c r="U267" s="53"/>
    </row>
    <row r="268" spans="1:21" ht="16.8" x14ac:dyDescent="0.65">
      <c r="A268" s="54"/>
      <c r="B268" s="53"/>
      <c r="C268" s="53"/>
      <c r="D268" s="53"/>
      <c r="E268" s="53"/>
      <c r="F268" s="53"/>
      <c r="G268" s="54"/>
      <c r="H268" s="53"/>
      <c r="I268" s="53"/>
      <c r="J268" s="53"/>
      <c r="K268" s="53"/>
      <c r="L268" s="53"/>
      <c r="M268" s="53"/>
      <c r="N268" s="53"/>
      <c r="O268" s="53"/>
      <c r="P268" s="53"/>
      <c r="Q268" s="53"/>
      <c r="R268" s="53"/>
      <c r="S268" s="53"/>
      <c r="T268" s="53"/>
      <c r="U268" s="53"/>
    </row>
    <row r="269" spans="1:21" ht="16.8" x14ac:dyDescent="0.65">
      <c r="A269" s="54"/>
      <c r="B269" s="53"/>
      <c r="C269" s="53"/>
      <c r="D269" s="53"/>
      <c r="E269" s="53"/>
      <c r="F269" s="53"/>
      <c r="G269" s="54"/>
      <c r="H269" s="53"/>
      <c r="I269" s="53"/>
      <c r="J269" s="53"/>
      <c r="K269" s="53"/>
      <c r="L269" s="53"/>
      <c r="M269" s="53"/>
      <c r="N269" s="53"/>
      <c r="O269" s="53"/>
      <c r="P269" s="53"/>
      <c r="Q269" s="53"/>
      <c r="R269" s="53"/>
      <c r="S269" s="53"/>
      <c r="T269" s="53"/>
      <c r="U269" s="53"/>
    </row>
    <row r="270" spans="1:21" ht="16.8" x14ac:dyDescent="0.65">
      <c r="A270" s="54"/>
      <c r="B270" s="53"/>
      <c r="C270" s="53"/>
      <c r="D270" s="53"/>
      <c r="E270" s="53"/>
      <c r="F270" s="53"/>
      <c r="G270" s="54"/>
      <c r="H270" s="53"/>
      <c r="I270" s="53"/>
      <c r="J270" s="53"/>
      <c r="K270" s="53"/>
      <c r="L270" s="53"/>
      <c r="M270" s="53"/>
      <c r="N270" s="53"/>
      <c r="O270" s="53"/>
      <c r="P270" s="53"/>
      <c r="Q270" s="53"/>
      <c r="R270" s="53"/>
      <c r="S270" s="53"/>
      <c r="T270" s="53"/>
      <c r="U270" s="53"/>
    </row>
    <row r="271" spans="1:21" ht="16.8" x14ac:dyDescent="0.65">
      <c r="A271" s="54"/>
      <c r="B271" s="53"/>
      <c r="C271" s="53"/>
      <c r="D271" s="53"/>
      <c r="E271" s="53"/>
      <c r="F271" s="53"/>
      <c r="G271" s="54"/>
      <c r="H271" s="53"/>
      <c r="I271" s="53"/>
      <c r="J271" s="53"/>
      <c r="K271" s="53"/>
      <c r="L271" s="53"/>
      <c r="M271" s="53"/>
      <c r="N271" s="53"/>
      <c r="O271" s="53"/>
      <c r="P271" s="53"/>
      <c r="Q271" s="53"/>
      <c r="R271" s="53"/>
      <c r="S271" s="53"/>
      <c r="T271" s="53"/>
      <c r="U271" s="53"/>
    </row>
    <row r="272" spans="1:21" ht="16.8" x14ac:dyDescent="0.65">
      <c r="A272" s="54"/>
      <c r="B272" s="53"/>
      <c r="C272" s="53"/>
      <c r="D272" s="53"/>
      <c r="E272" s="53"/>
      <c r="F272" s="53"/>
      <c r="G272" s="54"/>
      <c r="H272" s="53"/>
      <c r="I272" s="53"/>
      <c r="J272" s="53"/>
      <c r="K272" s="53"/>
      <c r="L272" s="53"/>
      <c r="M272" s="53"/>
      <c r="N272" s="53"/>
      <c r="O272" s="53"/>
      <c r="P272" s="53"/>
      <c r="Q272" s="53"/>
      <c r="R272" s="53"/>
      <c r="S272" s="53"/>
      <c r="T272" s="53"/>
      <c r="U272" s="53"/>
    </row>
    <row r="273" spans="1:21" ht="16.8" x14ac:dyDescent="0.65">
      <c r="A273" s="54"/>
      <c r="B273" s="53"/>
      <c r="C273" s="53"/>
      <c r="D273" s="53"/>
      <c r="E273" s="53"/>
      <c r="F273" s="53"/>
      <c r="G273" s="54"/>
      <c r="H273" s="53"/>
      <c r="I273" s="53"/>
      <c r="J273" s="53"/>
      <c r="K273" s="53"/>
      <c r="L273" s="53"/>
      <c r="M273" s="53"/>
      <c r="N273" s="53"/>
      <c r="O273" s="53"/>
      <c r="P273" s="53"/>
      <c r="Q273" s="53"/>
      <c r="R273" s="53"/>
      <c r="S273" s="53"/>
      <c r="T273" s="53"/>
      <c r="U273" s="53"/>
    </row>
    <row r="274" spans="1:21" ht="16.8" x14ac:dyDescent="0.65">
      <c r="A274" s="54"/>
      <c r="B274" s="53"/>
      <c r="C274" s="53"/>
      <c r="D274" s="53"/>
      <c r="E274" s="53"/>
      <c r="F274" s="53"/>
      <c r="G274" s="54"/>
      <c r="H274" s="53"/>
      <c r="I274" s="53"/>
      <c r="J274" s="53"/>
      <c r="K274" s="53"/>
      <c r="L274" s="53"/>
      <c r="M274" s="53"/>
      <c r="N274" s="53"/>
      <c r="O274" s="53"/>
      <c r="P274" s="53"/>
      <c r="Q274" s="53"/>
      <c r="R274" s="53"/>
      <c r="S274" s="53"/>
      <c r="T274" s="53"/>
      <c r="U274" s="53"/>
    </row>
    <row r="275" spans="1:21" ht="16.8" x14ac:dyDescent="0.65">
      <c r="A275" s="54"/>
      <c r="B275" s="53"/>
      <c r="C275" s="53"/>
      <c r="D275" s="53"/>
      <c r="E275" s="53"/>
      <c r="F275" s="53"/>
      <c r="G275" s="54"/>
      <c r="H275" s="53"/>
      <c r="I275" s="53"/>
      <c r="J275" s="53"/>
      <c r="K275" s="53"/>
      <c r="L275" s="53"/>
      <c r="M275" s="53"/>
      <c r="N275" s="53"/>
      <c r="O275" s="53"/>
      <c r="P275" s="53"/>
      <c r="Q275" s="53"/>
      <c r="R275" s="53"/>
      <c r="S275" s="53"/>
      <c r="T275" s="53"/>
      <c r="U275" s="53"/>
    </row>
    <row r="276" spans="1:21" ht="16.8" x14ac:dyDescent="0.65">
      <c r="A276" s="54"/>
      <c r="B276" s="53"/>
      <c r="C276" s="53"/>
      <c r="D276" s="53"/>
      <c r="E276" s="53"/>
      <c r="F276" s="53"/>
      <c r="G276" s="54"/>
      <c r="H276" s="53"/>
      <c r="I276" s="53"/>
      <c r="J276" s="53"/>
      <c r="K276" s="53"/>
      <c r="L276" s="53"/>
      <c r="M276" s="53"/>
      <c r="N276" s="53"/>
      <c r="O276" s="53"/>
      <c r="P276" s="53"/>
      <c r="Q276" s="53"/>
      <c r="R276" s="53"/>
      <c r="S276" s="53"/>
      <c r="T276" s="53"/>
      <c r="U276" s="53"/>
    </row>
    <row r="277" spans="1:21" ht="16.8" x14ac:dyDescent="0.65">
      <c r="A277" s="54"/>
      <c r="B277" s="53"/>
      <c r="C277" s="53"/>
      <c r="D277" s="53"/>
      <c r="E277" s="53"/>
      <c r="F277" s="53"/>
      <c r="G277" s="54"/>
      <c r="H277" s="53"/>
      <c r="I277" s="53"/>
      <c r="J277" s="53"/>
      <c r="K277" s="53"/>
      <c r="L277" s="53"/>
      <c r="M277" s="53"/>
      <c r="N277" s="53"/>
      <c r="O277" s="53"/>
      <c r="P277" s="53"/>
      <c r="Q277" s="53"/>
      <c r="R277" s="53"/>
      <c r="S277" s="53"/>
      <c r="T277" s="53"/>
      <c r="U277" s="53"/>
    </row>
    <row r="278" spans="1:21" ht="16.8" x14ac:dyDescent="0.65">
      <c r="A278" s="54"/>
      <c r="B278" s="53"/>
      <c r="C278" s="53"/>
      <c r="D278" s="53"/>
      <c r="E278" s="53"/>
      <c r="F278" s="53"/>
      <c r="G278" s="54"/>
      <c r="H278" s="53"/>
      <c r="I278" s="53"/>
      <c r="J278" s="53"/>
      <c r="K278" s="53"/>
      <c r="L278" s="53"/>
      <c r="M278" s="53"/>
      <c r="N278" s="53"/>
      <c r="O278" s="53"/>
      <c r="P278" s="53"/>
      <c r="Q278" s="53"/>
      <c r="R278" s="53"/>
      <c r="S278" s="53"/>
      <c r="T278" s="53"/>
      <c r="U278" s="53"/>
    </row>
    <row r="279" spans="1:21" ht="16.8" x14ac:dyDescent="0.65">
      <c r="A279" s="54"/>
      <c r="B279" s="53"/>
      <c r="C279" s="53"/>
      <c r="D279" s="53"/>
      <c r="E279" s="53"/>
      <c r="F279" s="53"/>
      <c r="G279" s="54"/>
      <c r="H279" s="53"/>
      <c r="I279" s="53"/>
      <c r="J279" s="53"/>
      <c r="K279" s="53"/>
      <c r="L279" s="53"/>
      <c r="M279" s="53"/>
      <c r="N279" s="53"/>
      <c r="O279" s="53"/>
      <c r="P279" s="53"/>
      <c r="Q279" s="53"/>
      <c r="R279" s="53"/>
      <c r="S279" s="53"/>
      <c r="T279" s="53"/>
      <c r="U279" s="53"/>
    </row>
    <row r="280" spans="1:21" ht="16.8" x14ac:dyDescent="0.65">
      <c r="A280" s="54"/>
      <c r="B280" s="53"/>
      <c r="C280" s="53"/>
      <c r="D280" s="53"/>
      <c r="E280" s="53"/>
      <c r="F280" s="53"/>
      <c r="G280" s="54"/>
      <c r="H280" s="53"/>
      <c r="I280" s="53"/>
      <c r="J280" s="53"/>
      <c r="K280" s="53"/>
      <c r="L280" s="53"/>
      <c r="M280" s="53"/>
      <c r="N280" s="53"/>
      <c r="O280" s="53"/>
      <c r="P280" s="53"/>
      <c r="Q280" s="53"/>
      <c r="R280" s="53"/>
      <c r="S280" s="53"/>
      <c r="T280" s="53"/>
      <c r="U280" s="53"/>
    </row>
    <row r="281" spans="1:21" ht="16.8" x14ac:dyDescent="0.65">
      <c r="A281" s="54"/>
      <c r="B281" s="53"/>
      <c r="C281" s="53"/>
      <c r="D281" s="53"/>
      <c r="E281" s="53"/>
      <c r="F281" s="53"/>
      <c r="G281" s="54"/>
      <c r="H281" s="53"/>
      <c r="I281" s="53"/>
      <c r="J281" s="53"/>
      <c r="K281" s="53"/>
      <c r="L281" s="53"/>
      <c r="M281" s="53"/>
      <c r="N281" s="53"/>
      <c r="O281" s="53"/>
      <c r="P281" s="53"/>
      <c r="Q281" s="53"/>
      <c r="R281" s="53"/>
      <c r="S281" s="53"/>
      <c r="T281" s="53"/>
      <c r="U281" s="53"/>
    </row>
    <row r="282" spans="1:21" ht="16.8" x14ac:dyDescent="0.65">
      <c r="A282" s="54"/>
      <c r="B282" s="53"/>
      <c r="C282" s="53"/>
      <c r="D282" s="53"/>
      <c r="E282" s="53"/>
      <c r="F282" s="53"/>
      <c r="G282" s="54"/>
      <c r="H282" s="53"/>
      <c r="I282" s="53"/>
      <c r="J282" s="53"/>
      <c r="K282" s="53"/>
      <c r="L282" s="53"/>
      <c r="M282" s="53"/>
      <c r="N282" s="53"/>
      <c r="O282" s="53"/>
      <c r="P282" s="53"/>
      <c r="Q282" s="53"/>
      <c r="R282" s="53"/>
      <c r="S282" s="53"/>
      <c r="T282" s="53"/>
      <c r="U282" s="53"/>
    </row>
    <row r="283" spans="1:21" ht="16.8" x14ac:dyDescent="0.65">
      <c r="A283" s="54"/>
      <c r="B283" s="53"/>
      <c r="C283" s="53"/>
      <c r="D283" s="53"/>
      <c r="E283" s="53"/>
      <c r="F283" s="53"/>
      <c r="G283" s="54"/>
      <c r="H283" s="53"/>
      <c r="I283" s="53"/>
      <c r="J283" s="53"/>
      <c r="K283" s="53"/>
      <c r="L283" s="53"/>
      <c r="M283" s="53"/>
      <c r="N283" s="53"/>
      <c r="O283" s="53"/>
      <c r="P283" s="53"/>
      <c r="Q283" s="53"/>
      <c r="R283" s="53"/>
      <c r="S283" s="53"/>
      <c r="T283" s="53"/>
      <c r="U283" s="53"/>
    </row>
    <row r="284" spans="1:21" ht="16.8" x14ac:dyDescent="0.65">
      <c r="A284" s="54"/>
      <c r="B284" s="53"/>
      <c r="C284" s="53"/>
      <c r="D284" s="53"/>
      <c r="E284" s="53"/>
      <c r="F284" s="53"/>
      <c r="G284" s="54"/>
      <c r="H284" s="53"/>
      <c r="I284" s="53"/>
      <c r="J284" s="53"/>
      <c r="K284" s="53"/>
      <c r="L284" s="53"/>
      <c r="M284" s="53"/>
      <c r="N284" s="53"/>
      <c r="O284" s="53"/>
      <c r="P284" s="53"/>
      <c r="Q284" s="53"/>
      <c r="R284" s="53"/>
      <c r="S284" s="53"/>
      <c r="T284" s="53"/>
      <c r="U284" s="53"/>
    </row>
    <row r="285" spans="1:21" ht="16.8" x14ac:dyDescent="0.65">
      <c r="A285" s="54"/>
      <c r="B285" s="53"/>
      <c r="C285" s="53"/>
      <c r="D285" s="53"/>
      <c r="E285" s="53"/>
      <c r="F285" s="53"/>
      <c r="G285" s="54"/>
      <c r="H285" s="53"/>
      <c r="I285" s="53"/>
      <c r="J285" s="53"/>
      <c r="K285" s="53"/>
      <c r="L285" s="53"/>
      <c r="M285" s="53"/>
      <c r="N285" s="53"/>
      <c r="O285" s="53"/>
      <c r="P285" s="53"/>
      <c r="Q285" s="53"/>
      <c r="R285" s="53"/>
      <c r="S285" s="53"/>
      <c r="T285" s="53"/>
      <c r="U285" s="53"/>
    </row>
    <row r="286" spans="1:21" ht="16.8" x14ac:dyDescent="0.65">
      <c r="A286" s="54"/>
      <c r="B286" s="53"/>
      <c r="C286" s="53"/>
      <c r="D286" s="53"/>
      <c r="E286" s="53"/>
      <c r="F286" s="53"/>
      <c r="G286" s="54"/>
      <c r="H286" s="53"/>
      <c r="I286" s="53"/>
      <c r="J286" s="53"/>
      <c r="K286" s="53"/>
      <c r="L286" s="53"/>
      <c r="M286" s="53"/>
      <c r="N286" s="53"/>
      <c r="O286" s="53"/>
      <c r="P286" s="53"/>
      <c r="Q286" s="53"/>
      <c r="R286" s="53"/>
      <c r="S286" s="53"/>
      <c r="T286" s="53"/>
      <c r="U286" s="53"/>
    </row>
    <row r="287" spans="1:21" ht="16.8" x14ac:dyDescent="0.65">
      <c r="A287" s="54"/>
      <c r="B287" s="53"/>
      <c r="C287" s="53"/>
      <c r="D287" s="53"/>
      <c r="E287" s="53"/>
      <c r="F287" s="53"/>
      <c r="G287" s="54"/>
      <c r="H287" s="53"/>
      <c r="I287" s="53"/>
      <c r="J287" s="53"/>
      <c r="K287" s="53"/>
      <c r="L287" s="53"/>
      <c r="M287" s="53"/>
      <c r="N287" s="53"/>
      <c r="O287" s="53"/>
      <c r="P287" s="53"/>
      <c r="Q287" s="53"/>
      <c r="R287" s="53"/>
      <c r="S287" s="53"/>
      <c r="T287" s="53"/>
      <c r="U287" s="53"/>
    </row>
    <row r="288" spans="1:21" ht="16.8" x14ac:dyDescent="0.65">
      <c r="A288" s="54"/>
      <c r="B288" s="53"/>
      <c r="C288" s="53"/>
      <c r="D288" s="53"/>
      <c r="E288" s="53"/>
      <c r="F288" s="53"/>
      <c r="G288" s="54"/>
      <c r="H288" s="53"/>
      <c r="I288" s="53"/>
      <c r="J288" s="53"/>
      <c r="K288" s="53"/>
      <c r="L288" s="53"/>
      <c r="M288" s="53"/>
      <c r="N288" s="53"/>
      <c r="O288" s="53"/>
      <c r="P288" s="53"/>
      <c r="Q288" s="53"/>
      <c r="R288" s="53"/>
      <c r="S288" s="53"/>
      <c r="T288" s="53"/>
      <c r="U288" s="53"/>
    </row>
    <row r="289" spans="1:21" ht="16.8" x14ac:dyDescent="0.65">
      <c r="A289" s="54"/>
      <c r="B289" s="53"/>
      <c r="C289" s="53"/>
      <c r="D289" s="53"/>
      <c r="E289" s="53"/>
      <c r="F289" s="53"/>
      <c r="G289" s="54"/>
      <c r="H289" s="53"/>
      <c r="I289" s="53"/>
      <c r="J289" s="53"/>
      <c r="K289" s="53"/>
      <c r="L289" s="53"/>
      <c r="M289" s="53"/>
      <c r="N289" s="53"/>
      <c r="O289" s="53"/>
      <c r="P289" s="53"/>
      <c r="Q289" s="53"/>
      <c r="R289" s="53"/>
      <c r="S289" s="53"/>
      <c r="T289" s="53"/>
      <c r="U289" s="53"/>
    </row>
    <row r="290" spans="1:21" ht="16.8" x14ac:dyDescent="0.65">
      <c r="A290" s="54"/>
      <c r="B290" s="53"/>
      <c r="C290" s="53"/>
      <c r="D290" s="53"/>
      <c r="E290" s="53"/>
      <c r="F290" s="53"/>
      <c r="G290" s="54"/>
      <c r="H290" s="53"/>
      <c r="I290" s="53"/>
      <c r="J290" s="53"/>
      <c r="K290" s="53"/>
      <c r="L290" s="53"/>
      <c r="M290" s="53"/>
      <c r="N290" s="53"/>
      <c r="O290" s="53"/>
      <c r="P290" s="53"/>
      <c r="Q290" s="53"/>
      <c r="R290" s="53"/>
      <c r="S290" s="53"/>
      <c r="T290" s="53"/>
      <c r="U290" s="53"/>
    </row>
    <row r="291" spans="1:21" ht="16.8" x14ac:dyDescent="0.65">
      <c r="A291" s="54"/>
      <c r="B291" s="53"/>
      <c r="C291" s="53"/>
      <c r="D291" s="53"/>
      <c r="E291" s="53"/>
      <c r="F291" s="53"/>
      <c r="G291" s="54"/>
      <c r="H291" s="53"/>
      <c r="I291" s="53"/>
      <c r="J291" s="53"/>
      <c r="K291" s="53"/>
      <c r="L291" s="53"/>
      <c r="M291" s="53"/>
      <c r="N291" s="53"/>
      <c r="O291" s="53"/>
      <c r="P291" s="53"/>
      <c r="Q291" s="53"/>
      <c r="R291" s="53"/>
      <c r="S291" s="53"/>
      <c r="T291" s="53"/>
      <c r="U291" s="53"/>
    </row>
    <row r="292" spans="1:21" ht="16.8" x14ac:dyDescent="0.65">
      <c r="A292" s="54"/>
      <c r="B292" s="53"/>
      <c r="C292" s="53"/>
      <c r="D292" s="53"/>
      <c r="E292" s="53"/>
      <c r="F292" s="53"/>
      <c r="G292" s="54"/>
      <c r="H292" s="53"/>
      <c r="I292" s="53"/>
      <c r="J292" s="53"/>
      <c r="K292" s="53"/>
      <c r="L292" s="53"/>
      <c r="M292" s="53"/>
      <c r="N292" s="53"/>
      <c r="O292" s="53"/>
      <c r="P292" s="53"/>
      <c r="Q292" s="53"/>
      <c r="R292" s="53"/>
      <c r="S292" s="53"/>
      <c r="T292" s="53"/>
      <c r="U292" s="53"/>
    </row>
    <row r="293" spans="1:21" ht="16.8" x14ac:dyDescent="0.65">
      <c r="A293" s="54"/>
      <c r="B293" s="53"/>
      <c r="C293" s="53"/>
      <c r="D293" s="53"/>
      <c r="E293" s="53"/>
      <c r="F293" s="53"/>
      <c r="G293" s="54"/>
      <c r="H293" s="53"/>
      <c r="I293" s="53"/>
      <c r="J293" s="53"/>
      <c r="K293" s="53"/>
      <c r="L293" s="53"/>
      <c r="M293" s="53"/>
      <c r="N293" s="53"/>
      <c r="O293" s="53"/>
      <c r="P293" s="53"/>
      <c r="Q293" s="53"/>
      <c r="R293" s="53"/>
      <c r="S293" s="53"/>
      <c r="T293" s="53"/>
      <c r="U293" s="53"/>
    </row>
    <row r="294" spans="1:21" ht="16.8" x14ac:dyDescent="0.65">
      <c r="A294" s="54"/>
      <c r="B294" s="53"/>
      <c r="C294" s="53"/>
      <c r="D294" s="53"/>
      <c r="E294" s="53"/>
      <c r="F294" s="53"/>
      <c r="G294" s="54"/>
      <c r="H294" s="53"/>
      <c r="I294" s="53"/>
      <c r="J294" s="53"/>
      <c r="K294" s="53"/>
      <c r="L294" s="53"/>
      <c r="M294" s="53"/>
      <c r="N294" s="53"/>
      <c r="O294" s="53"/>
      <c r="P294" s="53"/>
      <c r="Q294" s="53"/>
      <c r="R294" s="53"/>
      <c r="S294" s="53"/>
      <c r="T294" s="53"/>
      <c r="U294" s="53"/>
    </row>
    <row r="295" spans="1:21" ht="16.8" x14ac:dyDescent="0.65">
      <c r="A295" s="54"/>
      <c r="B295" s="53"/>
      <c r="C295" s="53"/>
      <c r="D295" s="53"/>
      <c r="E295" s="53"/>
      <c r="F295" s="53"/>
      <c r="G295" s="54"/>
      <c r="H295" s="53"/>
      <c r="I295" s="53"/>
      <c r="J295" s="53"/>
      <c r="K295" s="53"/>
      <c r="L295" s="53"/>
      <c r="M295" s="53"/>
      <c r="N295" s="53"/>
      <c r="O295" s="53"/>
      <c r="P295" s="53"/>
      <c r="Q295" s="53"/>
      <c r="R295" s="53"/>
      <c r="S295" s="53"/>
      <c r="T295" s="53"/>
      <c r="U295" s="53"/>
    </row>
    <row r="296" spans="1:21" ht="16.8" x14ac:dyDescent="0.65">
      <c r="A296" s="54"/>
      <c r="B296" s="53"/>
      <c r="C296" s="53"/>
      <c r="D296" s="53"/>
      <c r="E296" s="53"/>
      <c r="F296" s="53"/>
      <c r="G296" s="54"/>
      <c r="H296" s="53"/>
      <c r="I296" s="53"/>
      <c r="J296" s="53"/>
      <c r="K296" s="53"/>
      <c r="L296" s="53"/>
      <c r="M296" s="53"/>
      <c r="N296" s="53"/>
      <c r="O296" s="53"/>
      <c r="P296" s="53"/>
      <c r="Q296" s="53"/>
      <c r="R296" s="53"/>
      <c r="S296" s="53"/>
      <c r="T296" s="53"/>
      <c r="U296" s="53"/>
    </row>
    <row r="297" spans="1:21" ht="16.8" x14ac:dyDescent="0.65">
      <c r="A297" s="54"/>
      <c r="B297" s="53"/>
      <c r="C297" s="53"/>
      <c r="D297" s="53"/>
      <c r="E297" s="53"/>
      <c r="F297" s="53"/>
      <c r="G297" s="54"/>
      <c r="H297" s="53"/>
      <c r="I297" s="53"/>
      <c r="J297" s="53"/>
      <c r="K297" s="53"/>
      <c r="L297" s="53"/>
      <c r="M297" s="53"/>
      <c r="N297" s="53"/>
      <c r="O297" s="53"/>
      <c r="P297" s="53"/>
      <c r="Q297" s="53"/>
      <c r="R297" s="53"/>
      <c r="S297" s="53"/>
      <c r="T297" s="53"/>
      <c r="U297" s="53"/>
    </row>
    <row r="298" spans="1:21" ht="16.8" x14ac:dyDescent="0.65">
      <c r="A298" s="54"/>
      <c r="B298" s="53"/>
      <c r="C298" s="53"/>
      <c r="D298" s="53"/>
      <c r="E298" s="53"/>
      <c r="F298" s="53"/>
      <c r="G298" s="54"/>
      <c r="H298" s="53"/>
      <c r="I298" s="53"/>
      <c r="J298" s="53"/>
      <c r="K298" s="53"/>
      <c r="L298" s="53"/>
      <c r="M298" s="53"/>
      <c r="N298" s="53"/>
      <c r="O298" s="53"/>
      <c r="P298" s="53"/>
      <c r="Q298" s="53"/>
      <c r="R298" s="53"/>
      <c r="S298" s="53"/>
      <c r="T298" s="53"/>
      <c r="U298" s="53"/>
    </row>
    <row r="299" spans="1:21" ht="16.8" x14ac:dyDescent="0.65">
      <c r="A299" s="54"/>
      <c r="B299" s="53"/>
      <c r="C299" s="53"/>
      <c r="D299" s="53"/>
      <c r="E299" s="53"/>
      <c r="F299" s="53"/>
      <c r="G299" s="54"/>
      <c r="H299" s="53"/>
      <c r="I299" s="53"/>
      <c r="J299" s="53"/>
      <c r="K299" s="53"/>
      <c r="L299" s="53"/>
      <c r="M299" s="53"/>
      <c r="N299" s="53"/>
      <c r="O299" s="53"/>
      <c r="P299" s="53"/>
      <c r="Q299" s="53"/>
      <c r="R299" s="53"/>
      <c r="S299" s="53"/>
      <c r="T299" s="53"/>
      <c r="U299" s="53"/>
    </row>
    <row r="300" spans="1:21" ht="16.8" x14ac:dyDescent="0.65">
      <c r="A300" s="54"/>
      <c r="B300" s="53"/>
      <c r="C300" s="53"/>
      <c r="D300" s="53"/>
      <c r="E300" s="53"/>
      <c r="F300" s="53"/>
      <c r="G300" s="54"/>
      <c r="H300" s="53"/>
      <c r="I300" s="53"/>
      <c r="J300" s="53"/>
      <c r="K300" s="53"/>
      <c r="L300" s="53"/>
      <c r="M300" s="53"/>
      <c r="N300" s="53"/>
      <c r="O300" s="53"/>
      <c r="P300" s="53"/>
      <c r="Q300" s="53"/>
      <c r="R300" s="53"/>
      <c r="S300" s="53"/>
      <c r="T300" s="53"/>
      <c r="U300" s="53"/>
    </row>
    <row r="301" spans="1:21" ht="16.8" x14ac:dyDescent="0.65">
      <c r="A301" s="54"/>
      <c r="B301" s="53"/>
      <c r="C301" s="53"/>
      <c r="D301" s="53"/>
      <c r="E301" s="53"/>
      <c r="F301" s="53"/>
      <c r="G301" s="54"/>
      <c r="H301" s="53"/>
      <c r="I301" s="53"/>
      <c r="J301" s="53"/>
      <c r="K301" s="53"/>
      <c r="L301" s="53"/>
      <c r="M301" s="53"/>
      <c r="N301" s="53"/>
      <c r="O301" s="53"/>
      <c r="P301" s="53"/>
      <c r="Q301" s="53"/>
      <c r="R301" s="53"/>
      <c r="S301" s="53"/>
      <c r="T301" s="53"/>
      <c r="U301" s="53"/>
    </row>
    <row r="302" spans="1:21" ht="16.8" x14ac:dyDescent="0.65">
      <c r="A302" s="54"/>
      <c r="B302" s="53"/>
      <c r="C302" s="53"/>
      <c r="D302" s="53"/>
      <c r="E302" s="53"/>
      <c r="F302" s="53"/>
      <c r="G302" s="54"/>
      <c r="H302" s="53"/>
      <c r="I302" s="53"/>
      <c r="J302" s="53"/>
      <c r="K302" s="53"/>
      <c r="L302" s="53"/>
      <c r="M302" s="53"/>
      <c r="N302" s="53"/>
      <c r="O302" s="53"/>
      <c r="P302" s="53"/>
      <c r="Q302" s="53"/>
      <c r="R302" s="53"/>
      <c r="S302" s="53"/>
      <c r="T302" s="53"/>
      <c r="U302" s="53"/>
    </row>
    <row r="303" spans="1:21" ht="16.8" x14ac:dyDescent="0.65">
      <c r="A303" s="54"/>
      <c r="B303" s="53"/>
      <c r="C303" s="53"/>
      <c r="D303" s="53"/>
      <c r="E303" s="53"/>
      <c r="F303" s="53"/>
      <c r="G303" s="54"/>
      <c r="H303" s="53"/>
      <c r="I303" s="53"/>
      <c r="J303" s="53"/>
      <c r="K303" s="53"/>
      <c r="L303" s="53"/>
      <c r="M303" s="53"/>
      <c r="N303" s="53"/>
      <c r="O303" s="53"/>
      <c r="P303" s="53"/>
      <c r="Q303" s="53"/>
      <c r="R303" s="53"/>
      <c r="S303" s="53"/>
      <c r="T303" s="53"/>
      <c r="U303" s="53"/>
    </row>
    <row r="304" spans="1:21" ht="16.8" x14ac:dyDescent="0.65">
      <c r="A304" s="54"/>
      <c r="B304" s="53"/>
      <c r="C304" s="53"/>
      <c r="D304" s="53"/>
      <c r="E304" s="53"/>
      <c r="F304" s="53"/>
      <c r="G304" s="54"/>
      <c r="H304" s="53"/>
      <c r="I304" s="53"/>
      <c r="J304" s="53"/>
      <c r="K304" s="53"/>
      <c r="L304" s="53"/>
      <c r="M304" s="53"/>
      <c r="N304" s="53"/>
      <c r="O304" s="53"/>
      <c r="P304" s="53"/>
      <c r="Q304" s="53"/>
      <c r="R304" s="53"/>
      <c r="S304" s="53"/>
      <c r="T304" s="53"/>
      <c r="U304" s="53"/>
    </row>
    <row r="305" spans="1:21" ht="16.8" x14ac:dyDescent="0.65">
      <c r="A305" s="54"/>
      <c r="B305" s="53"/>
      <c r="C305" s="53"/>
      <c r="D305" s="53"/>
      <c r="E305" s="53"/>
      <c r="F305" s="53"/>
      <c r="G305" s="54"/>
      <c r="H305" s="53"/>
      <c r="I305" s="53"/>
      <c r="J305" s="53"/>
      <c r="K305" s="53"/>
      <c r="L305" s="53"/>
      <c r="M305" s="53"/>
      <c r="N305" s="53"/>
      <c r="O305" s="53"/>
      <c r="P305" s="53"/>
      <c r="Q305" s="53"/>
      <c r="R305" s="53"/>
      <c r="S305" s="53"/>
      <c r="T305" s="53"/>
      <c r="U305" s="53"/>
    </row>
    <row r="306" spans="1:21" ht="16.8" x14ac:dyDescent="0.65">
      <c r="A306" s="54"/>
      <c r="B306" s="53"/>
      <c r="C306" s="53"/>
      <c r="D306" s="53"/>
      <c r="E306" s="53"/>
      <c r="F306" s="53"/>
      <c r="G306" s="54"/>
      <c r="H306" s="53"/>
      <c r="I306" s="53"/>
      <c r="J306" s="53"/>
      <c r="K306" s="53"/>
      <c r="L306" s="53"/>
      <c r="M306" s="53"/>
      <c r="N306" s="53"/>
      <c r="O306" s="53"/>
      <c r="P306" s="53"/>
      <c r="Q306" s="53"/>
      <c r="R306" s="53"/>
      <c r="S306" s="53"/>
      <c r="T306" s="53"/>
      <c r="U306" s="53"/>
    </row>
    <row r="307" spans="1:21" ht="16.8" x14ac:dyDescent="0.65">
      <c r="A307" s="54"/>
      <c r="B307" s="53"/>
      <c r="C307" s="53"/>
      <c r="D307" s="53"/>
      <c r="E307" s="53"/>
      <c r="F307" s="53"/>
      <c r="G307" s="54"/>
      <c r="H307" s="53"/>
      <c r="I307" s="53"/>
      <c r="J307" s="53"/>
      <c r="K307" s="53"/>
      <c r="L307" s="53"/>
      <c r="M307" s="53"/>
      <c r="N307" s="53"/>
      <c r="O307" s="53"/>
      <c r="P307" s="53"/>
      <c r="Q307" s="53"/>
      <c r="R307" s="53"/>
      <c r="S307" s="53"/>
      <c r="T307" s="53"/>
      <c r="U307" s="53"/>
    </row>
    <row r="308" spans="1:21" ht="16.8" x14ac:dyDescent="0.65">
      <c r="A308" s="54"/>
      <c r="B308" s="53"/>
      <c r="C308" s="53"/>
      <c r="D308" s="53"/>
      <c r="E308" s="53"/>
      <c r="F308" s="53"/>
      <c r="G308" s="54"/>
      <c r="H308" s="53"/>
      <c r="I308" s="53"/>
      <c r="J308" s="53"/>
      <c r="K308" s="53"/>
      <c r="L308" s="53"/>
      <c r="M308" s="53"/>
      <c r="N308" s="53"/>
      <c r="O308" s="53"/>
      <c r="P308" s="53"/>
      <c r="Q308" s="53"/>
      <c r="R308" s="53"/>
      <c r="S308" s="53"/>
      <c r="T308" s="53"/>
      <c r="U308" s="53"/>
    </row>
    <row r="309" spans="1:21" ht="16.8" x14ac:dyDescent="0.65">
      <c r="A309" s="54"/>
      <c r="B309" s="53"/>
      <c r="C309" s="53"/>
      <c r="D309" s="53"/>
      <c r="E309" s="53"/>
      <c r="F309" s="53"/>
      <c r="G309" s="54"/>
      <c r="H309" s="53"/>
      <c r="I309" s="53"/>
      <c r="J309" s="53"/>
      <c r="K309" s="53"/>
      <c r="L309" s="53"/>
      <c r="M309" s="53"/>
      <c r="N309" s="53"/>
      <c r="O309" s="53"/>
      <c r="P309" s="53"/>
      <c r="Q309" s="53"/>
      <c r="R309" s="53"/>
      <c r="S309" s="53"/>
      <c r="T309" s="53"/>
      <c r="U309" s="53"/>
    </row>
    <row r="310" spans="1:21" ht="16.8" x14ac:dyDescent="0.65">
      <c r="A310" s="54"/>
      <c r="B310" s="53"/>
      <c r="C310" s="53"/>
      <c r="D310" s="53"/>
      <c r="E310" s="53"/>
      <c r="F310" s="53"/>
      <c r="G310" s="54"/>
      <c r="H310" s="53"/>
      <c r="I310" s="53"/>
      <c r="J310" s="53"/>
      <c r="K310" s="53"/>
      <c r="L310" s="53"/>
      <c r="M310" s="53"/>
      <c r="N310" s="53"/>
      <c r="O310" s="53"/>
      <c r="P310" s="53"/>
      <c r="Q310" s="53"/>
      <c r="R310" s="53"/>
      <c r="S310" s="53"/>
      <c r="T310" s="53"/>
      <c r="U310" s="53"/>
    </row>
    <row r="311" spans="1:21" ht="16.8" x14ac:dyDescent="0.65">
      <c r="A311" s="54"/>
      <c r="B311" s="53"/>
      <c r="C311" s="53"/>
      <c r="D311" s="53"/>
      <c r="E311" s="53"/>
      <c r="F311" s="53"/>
      <c r="G311" s="54"/>
      <c r="H311" s="53"/>
      <c r="I311" s="53"/>
      <c r="J311" s="53"/>
      <c r="K311" s="53"/>
      <c r="L311" s="53"/>
      <c r="M311" s="53"/>
      <c r="N311" s="53"/>
      <c r="O311" s="53"/>
      <c r="P311" s="53"/>
      <c r="Q311" s="53"/>
      <c r="R311" s="53"/>
      <c r="S311" s="53"/>
      <c r="T311" s="53"/>
      <c r="U311" s="53"/>
    </row>
    <row r="312" spans="1:21" ht="16.8" x14ac:dyDescent="0.65">
      <c r="A312" s="54"/>
      <c r="B312" s="53"/>
      <c r="C312" s="53"/>
      <c r="D312" s="53"/>
      <c r="E312" s="53"/>
      <c r="F312" s="53"/>
      <c r="G312" s="54"/>
      <c r="H312" s="53"/>
      <c r="I312" s="53"/>
      <c r="J312" s="53"/>
      <c r="K312" s="53"/>
      <c r="L312" s="53"/>
      <c r="M312" s="53"/>
      <c r="N312" s="53"/>
      <c r="O312" s="53"/>
      <c r="P312" s="53"/>
      <c r="Q312" s="53"/>
      <c r="R312" s="53"/>
      <c r="S312" s="53"/>
      <c r="T312" s="53"/>
      <c r="U312" s="53"/>
    </row>
    <row r="313" spans="1:21" ht="16.8" x14ac:dyDescent="0.65">
      <c r="A313" s="54"/>
      <c r="B313" s="53"/>
      <c r="C313" s="53"/>
      <c r="D313" s="53"/>
      <c r="E313" s="53"/>
      <c r="F313" s="53"/>
      <c r="G313" s="54"/>
      <c r="H313" s="53"/>
      <c r="I313" s="53"/>
      <c r="J313" s="53"/>
      <c r="K313" s="53"/>
      <c r="L313" s="53"/>
      <c r="M313" s="53"/>
      <c r="N313" s="53"/>
      <c r="O313" s="53"/>
      <c r="P313" s="53"/>
      <c r="Q313" s="53"/>
      <c r="R313" s="53"/>
      <c r="S313" s="53"/>
      <c r="T313" s="53"/>
      <c r="U313" s="53"/>
    </row>
    <row r="314" spans="1:21" ht="16.8" x14ac:dyDescent="0.65">
      <c r="A314" s="54"/>
      <c r="B314" s="53"/>
      <c r="C314" s="53"/>
      <c r="D314" s="53"/>
      <c r="E314" s="53"/>
      <c r="F314" s="53"/>
      <c r="G314" s="54"/>
      <c r="H314" s="53"/>
      <c r="I314" s="53"/>
      <c r="J314" s="53"/>
      <c r="K314" s="53"/>
      <c r="L314" s="53"/>
      <c r="M314" s="53"/>
      <c r="N314" s="53"/>
      <c r="O314" s="53"/>
      <c r="P314" s="53"/>
      <c r="Q314" s="53"/>
      <c r="R314" s="53"/>
      <c r="S314" s="53"/>
      <c r="T314" s="53"/>
      <c r="U314" s="53"/>
    </row>
    <row r="315" spans="1:21" ht="16.8" x14ac:dyDescent="0.65">
      <c r="A315" s="54"/>
      <c r="B315" s="53"/>
      <c r="C315" s="53"/>
      <c r="D315" s="53"/>
      <c r="E315" s="53"/>
      <c r="F315" s="53"/>
      <c r="G315" s="54"/>
      <c r="H315" s="53"/>
      <c r="I315" s="53"/>
      <c r="J315" s="53"/>
      <c r="K315" s="53"/>
      <c r="L315" s="53"/>
      <c r="M315" s="53"/>
      <c r="N315" s="53"/>
      <c r="O315" s="53"/>
      <c r="P315" s="53"/>
      <c r="Q315" s="53"/>
      <c r="R315" s="53"/>
      <c r="S315" s="53"/>
      <c r="T315" s="53"/>
      <c r="U315" s="53"/>
    </row>
    <row r="316" spans="1:21" ht="16.8" x14ac:dyDescent="0.65">
      <c r="A316" s="54"/>
      <c r="B316" s="53"/>
      <c r="C316" s="53"/>
      <c r="D316" s="53"/>
      <c r="E316" s="53"/>
      <c r="F316" s="53"/>
      <c r="G316" s="54"/>
      <c r="H316" s="53"/>
      <c r="I316" s="53"/>
      <c r="J316" s="53"/>
      <c r="K316" s="53"/>
      <c r="L316" s="53"/>
      <c r="M316" s="53"/>
      <c r="N316" s="53"/>
      <c r="O316" s="53"/>
      <c r="P316" s="53"/>
      <c r="Q316" s="53"/>
      <c r="R316" s="53"/>
      <c r="S316" s="53"/>
      <c r="T316" s="53"/>
      <c r="U316" s="53"/>
    </row>
    <row r="317" spans="1:21" ht="16.8" x14ac:dyDescent="0.65">
      <c r="A317" s="54"/>
      <c r="B317" s="53"/>
      <c r="C317" s="53"/>
      <c r="D317" s="53"/>
      <c r="E317" s="53"/>
      <c r="F317" s="53"/>
      <c r="G317" s="54"/>
      <c r="H317" s="53"/>
      <c r="I317" s="53"/>
      <c r="J317" s="53"/>
      <c r="K317" s="53"/>
      <c r="L317" s="53"/>
      <c r="M317" s="53"/>
      <c r="N317" s="53"/>
      <c r="O317" s="53"/>
      <c r="P317" s="53"/>
      <c r="Q317" s="53"/>
      <c r="R317" s="53"/>
      <c r="S317" s="53"/>
      <c r="T317" s="53"/>
      <c r="U317" s="53"/>
    </row>
    <row r="318" spans="1:21" ht="16.8" x14ac:dyDescent="0.65">
      <c r="A318" s="54"/>
      <c r="B318" s="53"/>
      <c r="C318" s="53"/>
      <c r="D318" s="53"/>
      <c r="E318" s="53"/>
      <c r="F318" s="53"/>
      <c r="G318" s="54"/>
      <c r="H318" s="53"/>
      <c r="I318" s="53"/>
      <c r="J318" s="53"/>
      <c r="K318" s="53"/>
      <c r="L318" s="53"/>
      <c r="M318" s="53"/>
      <c r="N318" s="53"/>
      <c r="O318" s="53"/>
      <c r="P318" s="53"/>
      <c r="Q318" s="53"/>
      <c r="R318" s="53"/>
      <c r="S318" s="53"/>
      <c r="T318" s="53"/>
      <c r="U318" s="53"/>
    </row>
    <row r="319" spans="1:21" ht="16.8" x14ac:dyDescent="0.65">
      <c r="A319" s="54"/>
      <c r="B319" s="53"/>
      <c r="C319" s="53"/>
      <c r="D319" s="53"/>
      <c r="E319" s="53"/>
      <c r="F319" s="53"/>
      <c r="G319" s="54"/>
      <c r="H319" s="53"/>
      <c r="I319" s="53"/>
      <c r="J319" s="53"/>
      <c r="K319" s="53"/>
      <c r="L319" s="53"/>
      <c r="M319" s="53"/>
      <c r="N319" s="53"/>
      <c r="O319" s="53"/>
      <c r="P319" s="53"/>
      <c r="Q319" s="53"/>
      <c r="R319" s="53"/>
      <c r="S319" s="53"/>
      <c r="T319" s="53"/>
      <c r="U319" s="53"/>
    </row>
    <row r="320" spans="1:21" ht="16.8" x14ac:dyDescent="0.65">
      <c r="A320" s="54"/>
      <c r="B320" s="53"/>
      <c r="C320" s="53"/>
      <c r="D320" s="53"/>
      <c r="E320" s="53"/>
      <c r="F320" s="53"/>
      <c r="G320" s="54"/>
      <c r="H320" s="53"/>
      <c r="I320" s="53"/>
      <c r="J320" s="53"/>
      <c r="K320" s="53"/>
      <c r="L320" s="53"/>
      <c r="M320" s="53"/>
      <c r="N320" s="53"/>
      <c r="O320" s="53"/>
      <c r="P320" s="53"/>
      <c r="Q320" s="53"/>
      <c r="R320" s="53"/>
      <c r="S320" s="53"/>
      <c r="T320" s="53"/>
      <c r="U320" s="53"/>
    </row>
    <row r="321" spans="1:21" ht="16.8" x14ac:dyDescent="0.65">
      <c r="A321" s="54"/>
      <c r="B321" s="53"/>
      <c r="C321" s="53"/>
      <c r="D321" s="53"/>
      <c r="E321" s="53"/>
      <c r="F321" s="53"/>
      <c r="G321" s="54"/>
      <c r="H321" s="53"/>
      <c r="I321" s="53"/>
      <c r="J321" s="53"/>
      <c r="K321" s="53"/>
      <c r="L321" s="53"/>
      <c r="M321" s="53"/>
      <c r="N321" s="53"/>
      <c r="O321" s="53"/>
      <c r="P321" s="53"/>
      <c r="Q321" s="53"/>
      <c r="R321" s="53"/>
      <c r="S321" s="53"/>
      <c r="T321" s="53"/>
      <c r="U321" s="53"/>
    </row>
    <row r="322" spans="1:21" ht="16.8" x14ac:dyDescent="0.65">
      <c r="A322" s="54"/>
      <c r="B322" s="53"/>
      <c r="C322" s="53"/>
      <c r="D322" s="53"/>
      <c r="E322" s="53"/>
      <c r="F322" s="53"/>
      <c r="G322" s="54"/>
      <c r="H322" s="53"/>
      <c r="I322" s="53"/>
      <c r="J322" s="53"/>
      <c r="K322" s="53"/>
      <c r="L322" s="53"/>
      <c r="M322" s="53"/>
      <c r="N322" s="53"/>
      <c r="O322" s="53"/>
      <c r="P322" s="53"/>
      <c r="Q322" s="53"/>
      <c r="R322" s="53"/>
      <c r="S322" s="53"/>
      <c r="T322" s="53"/>
      <c r="U322" s="53"/>
    </row>
    <row r="323" spans="1:21" ht="16.8" x14ac:dyDescent="0.65">
      <c r="A323" s="54"/>
      <c r="B323" s="53"/>
      <c r="C323" s="53"/>
      <c r="D323" s="53"/>
      <c r="E323" s="53"/>
      <c r="F323" s="53"/>
      <c r="G323" s="54"/>
      <c r="H323" s="53"/>
      <c r="I323" s="53"/>
      <c r="J323" s="53"/>
      <c r="K323" s="53"/>
      <c r="L323" s="53"/>
      <c r="M323" s="53"/>
      <c r="N323" s="53"/>
      <c r="O323" s="53"/>
      <c r="P323" s="53"/>
      <c r="Q323" s="53"/>
      <c r="R323" s="53"/>
      <c r="S323" s="53"/>
      <c r="T323" s="53"/>
      <c r="U323" s="53"/>
    </row>
    <row r="324" spans="1:21" ht="16.8" x14ac:dyDescent="0.65">
      <c r="A324" s="54"/>
      <c r="B324" s="53"/>
      <c r="C324" s="53"/>
      <c r="D324" s="53"/>
      <c r="E324" s="53"/>
      <c r="F324" s="53"/>
      <c r="G324" s="54"/>
      <c r="H324" s="53"/>
      <c r="I324" s="53"/>
      <c r="J324" s="53"/>
      <c r="K324" s="53"/>
      <c r="L324" s="53"/>
      <c r="M324" s="53"/>
      <c r="N324" s="53"/>
      <c r="O324" s="53"/>
      <c r="P324" s="53"/>
      <c r="Q324" s="53"/>
      <c r="R324" s="53"/>
      <c r="S324" s="53"/>
      <c r="T324" s="53"/>
      <c r="U324" s="53"/>
    </row>
    <row r="325" spans="1:21" ht="16.8" x14ac:dyDescent="0.65">
      <c r="A325" s="54"/>
      <c r="B325" s="53"/>
      <c r="C325" s="53"/>
      <c r="D325" s="53"/>
      <c r="E325" s="53"/>
      <c r="F325" s="53"/>
      <c r="G325" s="54"/>
      <c r="H325" s="53"/>
      <c r="I325" s="53"/>
      <c r="J325" s="53"/>
      <c r="K325" s="53"/>
      <c r="L325" s="53"/>
      <c r="M325" s="53"/>
      <c r="N325" s="53"/>
      <c r="O325" s="53"/>
      <c r="P325" s="53"/>
      <c r="Q325" s="53"/>
      <c r="R325" s="53"/>
      <c r="S325" s="53"/>
      <c r="T325" s="53"/>
      <c r="U325" s="53"/>
    </row>
    <row r="326" spans="1:21" ht="16.8" x14ac:dyDescent="0.65">
      <c r="A326" s="54"/>
      <c r="B326" s="53"/>
      <c r="C326" s="53"/>
      <c r="D326" s="53"/>
      <c r="E326" s="53"/>
      <c r="F326" s="53"/>
      <c r="G326" s="54"/>
      <c r="H326" s="53"/>
      <c r="I326" s="53"/>
      <c r="J326" s="53"/>
      <c r="K326" s="53"/>
      <c r="L326" s="53"/>
      <c r="M326" s="53"/>
      <c r="N326" s="53"/>
      <c r="O326" s="53"/>
      <c r="P326" s="53"/>
      <c r="Q326" s="53"/>
      <c r="R326" s="53"/>
      <c r="S326" s="53"/>
      <c r="T326" s="53"/>
      <c r="U326" s="53"/>
    </row>
    <row r="327" spans="1:21" ht="16.8" x14ac:dyDescent="0.65">
      <c r="A327" s="54"/>
      <c r="B327" s="53"/>
      <c r="C327" s="53"/>
      <c r="D327" s="53"/>
      <c r="E327" s="53"/>
      <c r="F327" s="53"/>
      <c r="G327" s="54"/>
      <c r="H327" s="53"/>
      <c r="I327" s="53"/>
      <c r="J327" s="53"/>
      <c r="K327" s="53"/>
      <c r="L327" s="53"/>
      <c r="M327" s="53"/>
      <c r="N327" s="53"/>
      <c r="O327" s="53"/>
      <c r="P327" s="53"/>
      <c r="Q327" s="53"/>
      <c r="R327" s="53"/>
      <c r="S327" s="53"/>
      <c r="T327" s="53"/>
      <c r="U327" s="53"/>
    </row>
    <row r="328" spans="1:21" ht="16.8" x14ac:dyDescent="0.65">
      <c r="A328" s="54"/>
      <c r="B328" s="53"/>
      <c r="C328" s="53"/>
      <c r="D328" s="53"/>
      <c r="E328" s="53"/>
      <c r="F328" s="53"/>
      <c r="G328" s="54"/>
      <c r="H328" s="53"/>
      <c r="I328" s="53"/>
      <c r="J328" s="53"/>
      <c r="K328" s="53"/>
      <c r="L328" s="53"/>
      <c r="M328" s="53"/>
      <c r="N328" s="53"/>
      <c r="O328" s="53"/>
      <c r="P328" s="53"/>
      <c r="Q328" s="53"/>
      <c r="R328" s="53"/>
      <c r="S328" s="53"/>
      <c r="T328" s="53"/>
      <c r="U328" s="53"/>
    </row>
    <row r="329" spans="1:21" ht="16.8" x14ac:dyDescent="0.65">
      <c r="A329" s="54"/>
      <c r="B329" s="53"/>
      <c r="C329" s="53"/>
      <c r="D329" s="53"/>
      <c r="E329" s="53"/>
      <c r="F329" s="53"/>
      <c r="G329" s="54"/>
      <c r="H329" s="53"/>
      <c r="I329" s="53"/>
      <c r="J329" s="53"/>
      <c r="K329" s="53"/>
      <c r="L329" s="53"/>
      <c r="M329" s="53"/>
      <c r="N329" s="53"/>
      <c r="O329" s="53"/>
      <c r="P329" s="53"/>
      <c r="Q329" s="53"/>
      <c r="R329" s="53"/>
      <c r="S329" s="53"/>
      <c r="T329" s="53"/>
      <c r="U329" s="53"/>
    </row>
    <row r="330" spans="1:21" ht="16.8" x14ac:dyDescent="0.65">
      <c r="A330" s="54"/>
      <c r="B330" s="53"/>
      <c r="C330" s="53"/>
      <c r="D330" s="53"/>
      <c r="E330" s="53"/>
      <c r="F330" s="53"/>
      <c r="G330" s="54"/>
      <c r="H330" s="53"/>
      <c r="I330" s="53"/>
      <c r="J330" s="53"/>
      <c r="K330" s="53"/>
      <c r="L330" s="53"/>
      <c r="M330" s="53"/>
      <c r="N330" s="53"/>
      <c r="O330" s="53"/>
      <c r="P330" s="53"/>
      <c r="Q330" s="53"/>
      <c r="R330" s="53"/>
      <c r="S330" s="53"/>
      <c r="T330" s="53"/>
      <c r="U330" s="53"/>
    </row>
    <row r="331" spans="1:21" ht="16.8" x14ac:dyDescent="0.65">
      <c r="A331" s="54"/>
      <c r="B331" s="53"/>
      <c r="C331" s="53"/>
      <c r="D331" s="53"/>
      <c r="E331" s="53"/>
      <c r="F331" s="53"/>
      <c r="G331" s="54"/>
      <c r="H331" s="53"/>
      <c r="I331" s="53"/>
      <c r="J331" s="53"/>
      <c r="K331" s="53"/>
      <c r="L331" s="53"/>
      <c r="M331" s="53"/>
      <c r="N331" s="53"/>
      <c r="O331" s="53"/>
      <c r="P331" s="53"/>
      <c r="Q331" s="53"/>
      <c r="R331" s="53"/>
      <c r="S331" s="53"/>
      <c r="T331" s="53"/>
      <c r="U331" s="53"/>
    </row>
    <row r="332" spans="1:21" ht="16.8" x14ac:dyDescent="0.65">
      <c r="A332" s="54"/>
      <c r="B332" s="53"/>
      <c r="C332" s="53"/>
      <c r="D332" s="53"/>
      <c r="E332" s="53"/>
      <c r="F332" s="53"/>
      <c r="G332" s="54"/>
      <c r="H332" s="53"/>
      <c r="I332" s="53"/>
      <c r="J332" s="53"/>
      <c r="K332" s="53"/>
      <c r="L332" s="53"/>
      <c r="M332" s="53"/>
      <c r="N332" s="53"/>
      <c r="O332" s="53"/>
      <c r="P332" s="53"/>
      <c r="Q332" s="53"/>
      <c r="R332" s="53"/>
      <c r="S332" s="53"/>
      <c r="T332" s="53"/>
      <c r="U332" s="53"/>
    </row>
    <row r="333" spans="1:21" ht="16.8" x14ac:dyDescent="0.65">
      <c r="A333" s="54"/>
      <c r="B333" s="53"/>
      <c r="C333" s="53"/>
      <c r="D333" s="53"/>
      <c r="E333" s="53"/>
      <c r="F333" s="53"/>
      <c r="G333" s="54"/>
      <c r="H333" s="53"/>
      <c r="I333" s="53"/>
      <c r="J333" s="53"/>
      <c r="K333" s="53"/>
      <c r="L333" s="53"/>
      <c r="M333" s="53"/>
      <c r="N333" s="53"/>
      <c r="O333" s="53"/>
      <c r="P333" s="53"/>
      <c r="Q333" s="53"/>
      <c r="R333" s="53"/>
      <c r="S333" s="53"/>
      <c r="T333" s="53"/>
      <c r="U333" s="53"/>
    </row>
    <row r="334" spans="1:21" ht="16.8" x14ac:dyDescent="0.65">
      <c r="A334" s="54"/>
      <c r="B334" s="53"/>
      <c r="C334" s="53"/>
      <c r="D334" s="53"/>
      <c r="E334" s="53"/>
      <c r="F334" s="53"/>
      <c r="G334" s="54"/>
      <c r="H334" s="53"/>
      <c r="I334" s="53"/>
      <c r="J334" s="53"/>
      <c r="K334" s="53"/>
      <c r="L334" s="53"/>
      <c r="M334" s="53"/>
      <c r="N334" s="53"/>
      <c r="O334" s="53"/>
      <c r="P334" s="53"/>
      <c r="Q334" s="53"/>
      <c r="R334" s="53"/>
      <c r="S334" s="53"/>
      <c r="T334" s="53"/>
      <c r="U334" s="53"/>
    </row>
    <row r="335" spans="1:21" ht="16.8" x14ac:dyDescent="0.65">
      <c r="A335" s="54"/>
      <c r="B335" s="53"/>
      <c r="C335" s="53"/>
      <c r="D335" s="53"/>
      <c r="E335" s="53"/>
      <c r="F335" s="53"/>
      <c r="G335" s="54"/>
      <c r="H335" s="53"/>
      <c r="I335" s="53"/>
      <c r="J335" s="53"/>
      <c r="K335" s="53"/>
      <c r="L335" s="53"/>
      <c r="M335" s="53"/>
      <c r="N335" s="53"/>
      <c r="O335" s="53"/>
      <c r="P335" s="53"/>
      <c r="Q335" s="53"/>
      <c r="R335" s="53"/>
      <c r="S335" s="53"/>
      <c r="T335" s="53"/>
      <c r="U335" s="53"/>
    </row>
    <row r="336" spans="1:21" ht="16.8" x14ac:dyDescent="0.65">
      <c r="A336" s="54"/>
      <c r="B336" s="53"/>
      <c r="C336" s="53"/>
      <c r="D336" s="53"/>
      <c r="E336" s="53"/>
      <c r="F336" s="53"/>
      <c r="G336" s="54"/>
      <c r="H336" s="53"/>
      <c r="I336" s="53"/>
      <c r="J336" s="53"/>
      <c r="K336" s="53"/>
      <c r="L336" s="53"/>
      <c r="M336" s="53"/>
      <c r="N336" s="53"/>
      <c r="O336" s="53"/>
      <c r="P336" s="53"/>
      <c r="Q336" s="53"/>
      <c r="R336" s="53"/>
      <c r="S336" s="53"/>
      <c r="T336" s="53"/>
      <c r="U336" s="53"/>
    </row>
    <row r="337" spans="1:21" ht="16.8" x14ac:dyDescent="0.65">
      <c r="A337" s="54"/>
      <c r="B337" s="53"/>
      <c r="C337" s="53"/>
      <c r="D337" s="53"/>
      <c r="E337" s="53"/>
      <c r="F337" s="53"/>
      <c r="G337" s="54"/>
      <c r="H337" s="53"/>
      <c r="I337" s="53"/>
      <c r="J337" s="53"/>
      <c r="K337" s="53"/>
      <c r="L337" s="53"/>
      <c r="M337" s="53"/>
      <c r="N337" s="53"/>
      <c r="O337" s="53"/>
      <c r="P337" s="53"/>
      <c r="Q337" s="53"/>
      <c r="R337" s="53"/>
      <c r="S337" s="53"/>
      <c r="T337" s="53"/>
      <c r="U337" s="53"/>
    </row>
    <row r="338" spans="1:21" ht="16.8" x14ac:dyDescent="0.65">
      <c r="A338" s="54"/>
      <c r="B338" s="53"/>
      <c r="C338" s="53"/>
      <c r="D338" s="53"/>
      <c r="E338" s="53"/>
      <c r="F338" s="53"/>
      <c r="G338" s="54"/>
      <c r="H338" s="53"/>
      <c r="I338" s="53"/>
      <c r="J338" s="53"/>
      <c r="K338" s="53"/>
      <c r="L338" s="53"/>
      <c r="M338" s="53"/>
      <c r="N338" s="53"/>
      <c r="O338" s="53"/>
      <c r="P338" s="53"/>
      <c r="Q338" s="53"/>
      <c r="R338" s="53"/>
      <c r="S338" s="53"/>
      <c r="T338" s="53"/>
      <c r="U338" s="53"/>
    </row>
    <row r="339" spans="1:21" ht="16.8" x14ac:dyDescent="0.65">
      <c r="A339" s="54"/>
      <c r="B339" s="53"/>
      <c r="C339" s="53"/>
      <c r="D339" s="53"/>
      <c r="E339" s="53"/>
      <c r="F339" s="53"/>
      <c r="G339" s="54"/>
      <c r="H339" s="53"/>
      <c r="I339" s="53"/>
      <c r="J339" s="53"/>
      <c r="K339" s="53"/>
      <c r="L339" s="53"/>
      <c r="M339" s="53"/>
      <c r="N339" s="53"/>
      <c r="O339" s="53"/>
      <c r="P339" s="53"/>
      <c r="Q339" s="53"/>
      <c r="R339" s="53"/>
      <c r="S339" s="53"/>
      <c r="T339" s="53"/>
      <c r="U339" s="53"/>
    </row>
    <row r="340" spans="1:21" ht="16.8" x14ac:dyDescent="0.65">
      <c r="A340" s="54"/>
      <c r="B340" s="53"/>
      <c r="C340" s="53"/>
      <c r="D340" s="53"/>
      <c r="E340" s="53"/>
      <c r="F340" s="53"/>
      <c r="G340" s="54"/>
      <c r="H340" s="53"/>
      <c r="I340" s="53"/>
      <c r="J340" s="53"/>
      <c r="K340" s="53"/>
      <c r="L340" s="53"/>
      <c r="M340" s="53"/>
      <c r="N340" s="53"/>
      <c r="O340" s="53"/>
      <c r="P340" s="53"/>
      <c r="Q340" s="53"/>
      <c r="R340" s="53"/>
      <c r="S340" s="53"/>
      <c r="T340" s="53"/>
      <c r="U340" s="53"/>
    </row>
    <row r="341" spans="1:21" ht="16.8" x14ac:dyDescent="0.65">
      <c r="A341" s="54"/>
      <c r="B341" s="53"/>
      <c r="C341" s="53"/>
      <c r="D341" s="53"/>
      <c r="E341" s="53"/>
      <c r="F341" s="53"/>
      <c r="G341" s="54"/>
      <c r="H341" s="53"/>
      <c r="I341" s="53"/>
      <c r="J341" s="53"/>
      <c r="K341" s="53"/>
      <c r="L341" s="53"/>
      <c r="M341" s="53"/>
      <c r="N341" s="53"/>
      <c r="O341" s="53"/>
      <c r="P341" s="53"/>
      <c r="Q341" s="53"/>
      <c r="R341" s="53"/>
      <c r="S341" s="53"/>
      <c r="T341" s="53"/>
      <c r="U341" s="53"/>
    </row>
    <row r="342" spans="1:21" ht="16.8" x14ac:dyDescent="0.65">
      <c r="A342" s="54"/>
      <c r="B342" s="53"/>
      <c r="C342" s="53"/>
      <c r="D342" s="53"/>
      <c r="E342" s="53"/>
      <c r="F342" s="53"/>
      <c r="G342" s="54"/>
      <c r="H342" s="53"/>
      <c r="I342" s="53"/>
      <c r="J342" s="53"/>
      <c r="K342" s="53"/>
      <c r="L342" s="53"/>
      <c r="M342" s="53"/>
      <c r="N342" s="53"/>
      <c r="O342" s="53"/>
      <c r="P342" s="53"/>
      <c r="Q342" s="53"/>
      <c r="R342" s="53"/>
      <c r="S342" s="53"/>
      <c r="T342" s="53"/>
      <c r="U342" s="53"/>
    </row>
    <row r="343" spans="1:21" ht="16.8" x14ac:dyDescent="0.65">
      <c r="A343" s="54"/>
      <c r="B343" s="53"/>
      <c r="C343" s="53"/>
      <c r="D343" s="53"/>
      <c r="E343" s="53"/>
      <c r="F343" s="53"/>
      <c r="G343" s="54"/>
      <c r="H343" s="53"/>
      <c r="I343" s="53"/>
      <c r="J343" s="53"/>
      <c r="K343" s="53"/>
      <c r="L343" s="53"/>
      <c r="M343" s="53"/>
      <c r="N343" s="53"/>
      <c r="O343" s="53"/>
      <c r="P343" s="53"/>
      <c r="Q343" s="53"/>
      <c r="R343" s="53"/>
      <c r="S343" s="53"/>
      <c r="T343" s="53"/>
      <c r="U343" s="53"/>
    </row>
    <row r="344" spans="1:21" ht="16.8" x14ac:dyDescent="0.65">
      <c r="A344" s="54"/>
      <c r="B344" s="53"/>
      <c r="C344" s="53"/>
      <c r="D344" s="53"/>
      <c r="E344" s="53"/>
      <c r="F344" s="53"/>
      <c r="G344" s="54"/>
      <c r="H344" s="53"/>
      <c r="I344" s="53"/>
      <c r="J344" s="53"/>
      <c r="K344" s="53"/>
      <c r="L344" s="53"/>
      <c r="M344" s="53"/>
      <c r="N344" s="53"/>
      <c r="O344" s="53"/>
      <c r="P344" s="53"/>
      <c r="Q344" s="53"/>
      <c r="R344" s="53"/>
      <c r="S344" s="53"/>
      <c r="T344" s="53"/>
      <c r="U344" s="53"/>
    </row>
    <row r="345" spans="1:21" ht="16.8" x14ac:dyDescent="0.65">
      <c r="A345" s="54"/>
      <c r="B345" s="53"/>
      <c r="C345" s="53"/>
      <c r="D345" s="53"/>
      <c r="E345" s="53"/>
      <c r="F345" s="53"/>
      <c r="G345" s="54"/>
      <c r="H345" s="53"/>
      <c r="I345" s="53"/>
      <c r="J345" s="53"/>
      <c r="K345" s="53"/>
      <c r="L345" s="53"/>
      <c r="M345" s="53"/>
      <c r="N345" s="53"/>
      <c r="O345" s="53"/>
      <c r="P345" s="53"/>
      <c r="Q345" s="53"/>
      <c r="R345" s="53"/>
      <c r="S345" s="53"/>
      <c r="T345" s="53"/>
      <c r="U345" s="53"/>
    </row>
    <row r="346" spans="1:21" ht="16.8" x14ac:dyDescent="0.65">
      <c r="A346" s="54"/>
      <c r="B346" s="53"/>
      <c r="C346" s="53"/>
      <c r="D346" s="53"/>
      <c r="E346" s="53"/>
      <c r="F346" s="53"/>
      <c r="G346" s="54"/>
      <c r="H346" s="53"/>
      <c r="I346" s="53"/>
      <c r="J346" s="53"/>
      <c r="K346" s="53"/>
      <c r="L346" s="53"/>
      <c r="M346" s="53"/>
      <c r="N346" s="53"/>
      <c r="O346" s="53"/>
      <c r="P346" s="53"/>
      <c r="Q346" s="53"/>
      <c r="R346" s="53"/>
      <c r="S346" s="53"/>
      <c r="T346" s="53"/>
      <c r="U346" s="53"/>
    </row>
    <row r="347" spans="1:21" ht="16.8" x14ac:dyDescent="0.65">
      <c r="A347" s="54"/>
      <c r="B347" s="53"/>
      <c r="C347" s="53"/>
      <c r="D347" s="53"/>
      <c r="E347" s="53"/>
      <c r="F347" s="53"/>
      <c r="G347" s="54"/>
      <c r="H347" s="53"/>
      <c r="I347" s="53"/>
      <c r="J347" s="53"/>
      <c r="K347" s="53"/>
      <c r="L347" s="53"/>
      <c r="M347" s="53"/>
      <c r="N347" s="53"/>
      <c r="O347" s="53"/>
      <c r="P347" s="53"/>
      <c r="Q347" s="53"/>
      <c r="R347" s="53"/>
      <c r="S347" s="53"/>
      <c r="T347" s="53"/>
      <c r="U347" s="53"/>
    </row>
    <row r="348" spans="1:21" ht="16.8" x14ac:dyDescent="0.65">
      <c r="A348" s="54"/>
      <c r="B348" s="53"/>
      <c r="C348" s="53"/>
      <c r="D348" s="53"/>
      <c r="E348" s="53"/>
      <c r="F348" s="53"/>
      <c r="G348" s="54"/>
      <c r="H348" s="53"/>
      <c r="I348" s="53"/>
      <c r="J348" s="53"/>
      <c r="K348" s="53"/>
      <c r="L348" s="53"/>
      <c r="M348" s="53"/>
      <c r="N348" s="53"/>
      <c r="O348" s="53"/>
      <c r="P348" s="53"/>
      <c r="Q348" s="53"/>
      <c r="R348" s="53"/>
      <c r="S348" s="53"/>
      <c r="T348" s="53"/>
      <c r="U348" s="53"/>
    </row>
    <row r="349" spans="1:21" ht="16.8" x14ac:dyDescent="0.65">
      <c r="A349" s="54"/>
      <c r="B349" s="53"/>
      <c r="C349" s="53"/>
      <c r="D349" s="53"/>
      <c r="E349" s="53"/>
      <c r="F349" s="53"/>
      <c r="G349" s="54"/>
      <c r="H349" s="53"/>
      <c r="I349" s="53"/>
      <c r="J349" s="53"/>
      <c r="K349" s="53"/>
      <c r="L349" s="53"/>
      <c r="M349" s="53"/>
      <c r="N349" s="53"/>
      <c r="O349" s="53"/>
      <c r="P349" s="53"/>
      <c r="Q349" s="53"/>
      <c r="R349" s="53"/>
      <c r="S349" s="53"/>
      <c r="T349" s="53"/>
      <c r="U349" s="53"/>
    </row>
    <row r="350" spans="1:21" ht="16.8" x14ac:dyDescent="0.65">
      <c r="A350" s="54"/>
      <c r="B350" s="53"/>
      <c r="C350" s="53"/>
      <c r="D350" s="53"/>
      <c r="E350" s="53"/>
      <c r="F350" s="53"/>
      <c r="G350" s="54"/>
      <c r="H350" s="53"/>
      <c r="I350" s="53"/>
      <c r="J350" s="53"/>
      <c r="K350" s="53"/>
      <c r="L350" s="53"/>
      <c r="M350" s="53"/>
      <c r="N350" s="53"/>
      <c r="O350" s="53"/>
      <c r="P350" s="53"/>
      <c r="Q350" s="53"/>
      <c r="R350" s="53"/>
      <c r="S350" s="53"/>
      <c r="T350" s="53"/>
      <c r="U350" s="53"/>
    </row>
    <row r="351" spans="1:21" ht="16.8" x14ac:dyDescent="0.65">
      <c r="A351" s="54"/>
      <c r="B351" s="53"/>
      <c r="C351" s="53"/>
      <c r="D351" s="53"/>
      <c r="E351" s="53"/>
      <c r="F351" s="53"/>
      <c r="G351" s="54"/>
      <c r="H351" s="53"/>
      <c r="I351" s="53"/>
      <c r="J351" s="53"/>
      <c r="K351" s="53"/>
      <c r="L351" s="53"/>
      <c r="M351" s="53"/>
      <c r="N351" s="53"/>
      <c r="O351" s="53"/>
      <c r="P351" s="53"/>
      <c r="Q351" s="53"/>
      <c r="R351" s="53"/>
      <c r="S351" s="53"/>
      <c r="T351" s="53"/>
      <c r="U351" s="53"/>
    </row>
    <row r="352" spans="1:21" ht="16.8" x14ac:dyDescent="0.65">
      <c r="A352" s="54"/>
      <c r="B352" s="53"/>
      <c r="C352" s="53"/>
      <c r="D352" s="53"/>
      <c r="E352" s="53"/>
      <c r="F352" s="53"/>
      <c r="G352" s="54"/>
      <c r="H352" s="53"/>
      <c r="I352" s="53"/>
      <c r="J352" s="53"/>
      <c r="K352" s="53"/>
      <c r="L352" s="53"/>
      <c r="M352" s="53"/>
      <c r="N352" s="53"/>
      <c r="O352" s="53"/>
      <c r="P352" s="53"/>
      <c r="Q352" s="53"/>
      <c r="R352" s="53"/>
      <c r="S352" s="53"/>
      <c r="T352" s="53"/>
      <c r="U352" s="53"/>
    </row>
    <row r="353" spans="1:21" ht="16.8" x14ac:dyDescent="0.65">
      <c r="A353" s="54"/>
      <c r="B353" s="53"/>
      <c r="C353" s="53"/>
      <c r="D353" s="53"/>
      <c r="E353" s="53"/>
      <c r="F353" s="53"/>
      <c r="G353" s="54"/>
      <c r="H353" s="53"/>
      <c r="I353" s="53"/>
      <c r="J353" s="53"/>
      <c r="K353" s="53"/>
      <c r="L353" s="53"/>
      <c r="M353" s="53"/>
      <c r="N353" s="53"/>
      <c r="O353" s="53"/>
      <c r="P353" s="53"/>
      <c r="Q353" s="53"/>
      <c r="R353" s="53"/>
      <c r="S353" s="53"/>
      <c r="T353" s="53"/>
      <c r="U353" s="53"/>
    </row>
    <row r="354" spans="1:21" ht="16.8" x14ac:dyDescent="0.65">
      <c r="A354" s="54"/>
      <c r="B354" s="53"/>
      <c r="C354" s="53"/>
      <c r="D354" s="53"/>
      <c r="E354" s="53"/>
      <c r="F354" s="53"/>
      <c r="G354" s="54"/>
      <c r="H354" s="53"/>
      <c r="I354" s="53"/>
      <c r="J354" s="53"/>
      <c r="K354" s="53"/>
      <c r="L354" s="53"/>
      <c r="M354" s="53"/>
      <c r="N354" s="53"/>
      <c r="O354" s="53"/>
      <c r="P354" s="53"/>
      <c r="Q354" s="53"/>
      <c r="R354" s="53"/>
      <c r="S354" s="53"/>
      <c r="T354" s="53"/>
      <c r="U354" s="53"/>
    </row>
    <row r="355" spans="1:21" ht="16.8" x14ac:dyDescent="0.65">
      <c r="A355" s="54"/>
      <c r="B355" s="53"/>
      <c r="C355" s="53"/>
      <c r="D355" s="53"/>
      <c r="E355" s="53"/>
      <c r="F355" s="53"/>
      <c r="G355" s="54"/>
      <c r="H355" s="53"/>
      <c r="I355" s="53"/>
      <c r="J355" s="53"/>
      <c r="K355" s="53"/>
      <c r="L355" s="53"/>
      <c r="M355" s="53"/>
      <c r="N355" s="53"/>
      <c r="O355" s="53"/>
      <c r="P355" s="53"/>
      <c r="Q355" s="53"/>
      <c r="R355" s="53"/>
      <c r="S355" s="53"/>
      <c r="T355" s="53"/>
      <c r="U355" s="53"/>
    </row>
    <row r="356" spans="1:21" ht="16.8" x14ac:dyDescent="0.65">
      <c r="A356" s="54"/>
      <c r="B356" s="53"/>
      <c r="C356" s="53"/>
      <c r="D356" s="53"/>
      <c r="E356" s="53"/>
      <c r="F356" s="53"/>
      <c r="G356" s="54"/>
      <c r="H356" s="53"/>
      <c r="I356" s="53"/>
      <c r="J356" s="53"/>
      <c r="K356" s="53"/>
      <c r="L356" s="53"/>
      <c r="M356" s="53"/>
      <c r="N356" s="53"/>
      <c r="O356" s="53"/>
      <c r="P356" s="53"/>
      <c r="Q356" s="53"/>
      <c r="R356" s="53"/>
      <c r="S356" s="53"/>
      <c r="T356" s="53"/>
      <c r="U356" s="53"/>
    </row>
    <row r="357" spans="1:21" ht="16.8" x14ac:dyDescent="0.65">
      <c r="A357" s="54"/>
      <c r="B357" s="53"/>
      <c r="C357" s="53"/>
      <c r="D357" s="53"/>
      <c r="E357" s="53"/>
      <c r="F357" s="53"/>
      <c r="G357" s="54"/>
      <c r="H357" s="53"/>
      <c r="I357" s="53"/>
      <c r="J357" s="53"/>
      <c r="K357" s="53"/>
      <c r="L357" s="53"/>
      <c r="M357" s="53"/>
      <c r="N357" s="53"/>
      <c r="O357" s="53"/>
      <c r="P357" s="53"/>
      <c r="Q357" s="53"/>
      <c r="R357" s="53"/>
      <c r="S357" s="53"/>
      <c r="T357" s="53"/>
      <c r="U357" s="53"/>
    </row>
    <row r="358" spans="1:21" ht="16.8" x14ac:dyDescent="0.65">
      <c r="A358" s="54"/>
      <c r="B358" s="53"/>
      <c r="C358" s="53"/>
      <c r="D358" s="53"/>
      <c r="E358" s="53"/>
      <c r="F358" s="53"/>
      <c r="G358" s="54"/>
      <c r="H358" s="53"/>
      <c r="I358" s="53"/>
      <c r="J358" s="53"/>
      <c r="K358" s="53"/>
      <c r="L358" s="53"/>
      <c r="M358" s="53"/>
      <c r="N358" s="53"/>
      <c r="O358" s="53"/>
      <c r="P358" s="53"/>
      <c r="Q358" s="53"/>
      <c r="R358" s="53"/>
      <c r="S358" s="53"/>
      <c r="T358" s="53"/>
      <c r="U358" s="53"/>
    </row>
    <row r="359" spans="1:21" ht="16.8" x14ac:dyDescent="0.65">
      <c r="A359" s="54"/>
      <c r="B359" s="53"/>
      <c r="C359" s="53"/>
      <c r="D359" s="53"/>
      <c r="E359" s="53"/>
      <c r="F359" s="53"/>
      <c r="G359" s="54"/>
      <c r="H359" s="53"/>
      <c r="I359" s="53"/>
      <c r="J359" s="53"/>
      <c r="K359" s="53"/>
      <c r="L359" s="53"/>
      <c r="M359" s="53"/>
      <c r="N359" s="53"/>
      <c r="O359" s="53"/>
      <c r="P359" s="53"/>
      <c r="Q359" s="53"/>
      <c r="R359" s="53"/>
      <c r="S359" s="53"/>
      <c r="T359" s="53"/>
      <c r="U359" s="53"/>
    </row>
    <row r="360" spans="1:21" ht="16.8" x14ac:dyDescent="0.65">
      <c r="A360" s="54"/>
      <c r="B360" s="53"/>
      <c r="C360" s="53"/>
      <c r="D360" s="53"/>
      <c r="E360" s="53"/>
      <c r="F360" s="53"/>
      <c r="G360" s="54"/>
      <c r="H360" s="53"/>
      <c r="I360" s="53"/>
      <c r="J360" s="53"/>
      <c r="K360" s="53"/>
      <c r="L360" s="53"/>
      <c r="M360" s="53"/>
      <c r="N360" s="53"/>
      <c r="O360" s="53"/>
      <c r="P360" s="53"/>
      <c r="Q360" s="53"/>
      <c r="R360" s="53"/>
      <c r="S360" s="53"/>
      <c r="T360" s="53"/>
      <c r="U360" s="53"/>
    </row>
    <row r="361" spans="1:21" ht="16.8" x14ac:dyDescent="0.65">
      <c r="A361" s="54"/>
      <c r="B361" s="53"/>
      <c r="C361" s="53"/>
      <c r="D361" s="53"/>
      <c r="E361" s="53"/>
      <c r="F361" s="53"/>
      <c r="G361" s="54"/>
      <c r="H361" s="53"/>
      <c r="I361" s="53"/>
      <c r="J361" s="53"/>
      <c r="K361" s="53"/>
      <c r="L361" s="53"/>
      <c r="M361" s="53"/>
      <c r="N361" s="53"/>
      <c r="O361" s="53"/>
      <c r="P361" s="53"/>
      <c r="Q361" s="53"/>
      <c r="R361" s="53"/>
      <c r="S361" s="53"/>
      <c r="T361" s="53"/>
      <c r="U361" s="53"/>
    </row>
    <row r="362" spans="1:21" ht="16.8" x14ac:dyDescent="0.65">
      <c r="A362" s="54"/>
      <c r="B362" s="53"/>
      <c r="C362" s="53"/>
      <c r="D362" s="53"/>
      <c r="E362" s="53"/>
      <c r="F362" s="53"/>
      <c r="G362" s="54"/>
      <c r="H362" s="53"/>
      <c r="I362" s="53"/>
      <c r="J362" s="53"/>
      <c r="K362" s="53"/>
      <c r="L362" s="53"/>
      <c r="M362" s="53"/>
      <c r="N362" s="53"/>
      <c r="O362" s="53"/>
      <c r="P362" s="53"/>
      <c r="Q362" s="53"/>
      <c r="R362" s="53"/>
      <c r="S362" s="53"/>
      <c r="T362" s="53"/>
      <c r="U362" s="53"/>
    </row>
    <row r="363" spans="1:21" ht="16.8" x14ac:dyDescent="0.65">
      <c r="A363" s="54"/>
      <c r="B363" s="53"/>
      <c r="C363" s="53"/>
      <c r="D363" s="53"/>
      <c r="E363" s="53"/>
      <c r="F363" s="53"/>
      <c r="G363" s="54"/>
      <c r="H363" s="53"/>
      <c r="I363" s="53"/>
      <c r="J363" s="53"/>
      <c r="K363" s="53"/>
      <c r="L363" s="53"/>
      <c r="M363" s="53"/>
      <c r="N363" s="53"/>
      <c r="O363" s="53"/>
      <c r="P363" s="53"/>
      <c r="Q363" s="53"/>
      <c r="R363" s="53"/>
      <c r="S363" s="53"/>
      <c r="T363" s="53"/>
      <c r="U363" s="53"/>
    </row>
    <row r="364" spans="1:21" ht="16.8" x14ac:dyDescent="0.65">
      <c r="A364" s="54"/>
      <c r="B364" s="53"/>
      <c r="C364" s="53"/>
      <c r="D364" s="53"/>
      <c r="E364" s="53"/>
      <c r="F364" s="53"/>
      <c r="G364" s="54"/>
      <c r="H364" s="53"/>
      <c r="I364" s="53"/>
      <c r="J364" s="53"/>
      <c r="K364" s="53"/>
      <c r="L364" s="53"/>
      <c r="M364" s="53"/>
      <c r="N364" s="53"/>
      <c r="O364" s="53"/>
      <c r="P364" s="53"/>
      <c r="Q364" s="53"/>
      <c r="R364" s="53"/>
      <c r="S364" s="53"/>
      <c r="T364" s="53"/>
      <c r="U364" s="53"/>
    </row>
    <row r="365" spans="1:21" ht="16.8" x14ac:dyDescent="0.65">
      <c r="A365" s="54"/>
      <c r="B365" s="53"/>
      <c r="C365" s="53"/>
      <c r="D365" s="53"/>
      <c r="E365" s="53"/>
      <c r="F365" s="53"/>
      <c r="G365" s="54"/>
      <c r="H365" s="53"/>
      <c r="I365" s="53"/>
      <c r="J365" s="53"/>
      <c r="K365" s="53"/>
      <c r="L365" s="53"/>
      <c r="M365" s="53"/>
      <c r="N365" s="53"/>
      <c r="O365" s="53"/>
      <c r="P365" s="53"/>
      <c r="Q365" s="53"/>
      <c r="R365" s="53"/>
      <c r="S365" s="53"/>
      <c r="T365" s="53"/>
      <c r="U365" s="53"/>
    </row>
    <row r="366" spans="1:21" ht="16.8" x14ac:dyDescent="0.65">
      <c r="A366" s="54"/>
      <c r="B366" s="53"/>
      <c r="C366" s="53"/>
      <c r="D366" s="53"/>
      <c r="E366" s="53"/>
      <c r="F366" s="53"/>
      <c r="G366" s="54"/>
      <c r="H366" s="53"/>
      <c r="I366" s="53"/>
      <c r="J366" s="53"/>
      <c r="K366" s="53"/>
      <c r="L366" s="53"/>
      <c r="M366" s="53"/>
      <c r="N366" s="53"/>
      <c r="O366" s="53"/>
      <c r="P366" s="53"/>
      <c r="Q366" s="53"/>
      <c r="R366" s="53"/>
      <c r="S366" s="53"/>
      <c r="T366" s="53"/>
      <c r="U366" s="53"/>
    </row>
    <row r="367" spans="1:21" ht="16.8" x14ac:dyDescent="0.65">
      <c r="A367" s="54"/>
      <c r="B367" s="53"/>
      <c r="C367" s="53"/>
      <c r="D367" s="53"/>
      <c r="E367" s="53"/>
      <c r="F367" s="53"/>
      <c r="G367" s="54"/>
      <c r="H367" s="53"/>
      <c r="I367" s="53"/>
      <c r="J367" s="53"/>
      <c r="K367" s="53"/>
      <c r="L367" s="53"/>
      <c r="M367" s="53"/>
      <c r="N367" s="53"/>
      <c r="O367" s="53"/>
      <c r="P367" s="53"/>
      <c r="Q367" s="53"/>
      <c r="R367" s="53"/>
      <c r="S367" s="53"/>
      <c r="T367" s="53"/>
      <c r="U367" s="53"/>
    </row>
    <row r="368" spans="1:21" ht="16.8" x14ac:dyDescent="0.65">
      <c r="A368" s="54"/>
      <c r="B368" s="53"/>
      <c r="C368" s="53"/>
      <c r="D368" s="53"/>
      <c r="E368" s="53"/>
      <c r="F368" s="53"/>
      <c r="G368" s="54"/>
      <c r="H368" s="53"/>
      <c r="I368" s="53"/>
      <c r="J368" s="53"/>
      <c r="K368" s="53"/>
      <c r="L368" s="53"/>
      <c r="M368" s="53"/>
      <c r="N368" s="53"/>
      <c r="O368" s="53"/>
      <c r="P368" s="53"/>
      <c r="Q368" s="53"/>
      <c r="R368" s="53"/>
      <c r="S368" s="53"/>
      <c r="T368" s="53"/>
      <c r="U368" s="53"/>
    </row>
    <row r="369" spans="1:21" ht="16.8" x14ac:dyDescent="0.65">
      <c r="A369" s="54"/>
      <c r="B369" s="53"/>
      <c r="C369" s="53"/>
      <c r="D369" s="53"/>
      <c r="E369" s="53"/>
      <c r="F369" s="53"/>
      <c r="G369" s="54"/>
      <c r="H369" s="53"/>
      <c r="I369" s="53"/>
      <c r="J369" s="53"/>
      <c r="K369" s="53"/>
      <c r="L369" s="53"/>
      <c r="M369" s="53"/>
      <c r="N369" s="53"/>
      <c r="O369" s="53"/>
      <c r="P369" s="53"/>
      <c r="Q369" s="53"/>
      <c r="R369" s="53"/>
      <c r="S369" s="53"/>
      <c r="T369" s="53"/>
      <c r="U369" s="53"/>
    </row>
    <row r="370" spans="1:21" ht="16.8" x14ac:dyDescent="0.65">
      <c r="A370" s="54"/>
      <c r="B370" s="53"/>
      <c r="C370" s="53"/>
      <c r="D370" s="53"/>
      <c r="E370" s="53"/>
      <c r="F370" s="53"/>
      <c r="G370" s="54"/>
      <c r="H370" s="53"/>
      <c r="I370" s="53"/>
      <c r="J370" s="53"/>
      <c r="K370" s="53"/>
      <c r="L370" s="53"/>
      <c r="M370" s="53"/>
      <c r="N370" s="53"/>
      <c r="O370" s="53"/>
      <c r="P370" s="53"/>
      <c r="Q370" s="53"/>
      <c r="R370" s="53"/>
      <c r="S370" s="53"/>
      <c r="T370" s="53"/>
      <c r="U370" s="53"/>
    </row>
    <row r="371" spans="1:21" ht="16.8" x14ac:dyDescent="0.65">
      <c r="A371" s="54"/>
      <c r="B371" s="53"/>
      <c r="C371" s="53"/>
      <c r="D371" s="53"/>
      <c r="E371" s="53"/>
      <c r="F371" s="53"/>
      <c r="G371" s="54"/>
      <c r="H371" s="53"/>
      <c r="I371" s="53"/>
      <c r="J371" s="53"/>
      <c r="K371" s="53"/>
      <c r="L371" s="53"/>
      <c r="M371" s="53"/>
      <c r="N371" s="53"/>
      <c r="O371" s="53"/>
      <c r="P371" s="53"/>
      <c r="Q371" s="53"/>
      <c r="R371" s="53"/>
      <c r="S371" s="53"/>
      <c r="T371" s="53"/>
      <c r="U371" s="53"/>
    </row>
    <row r="372" spans="1:21" ht="16.8" x14ac:dyDescent="0.65">
      <c r="A372" s="54"/>
      <c r="B372" s="53"/>
      <c r="C372" s="53"/>
      <c r="D372" s="53"/>
      <c r="E372" s="53"/>
      <c r="F372" s="53"/>
      <c r="G372" s="54"/>
      <c r="H372" s="53"/>
      <c r="I372" s="53"/>
      <c r="J372" s="53"/>
      <c r="K372" s="53"/>
      <c r="L372" s="53"/>
      <c r="M372" s="53"/>
      <c r="N372" s="53"/>
      <c r="O372" s="53"/>
      <c r="P372" s="53"/>
      <c r="Q372" s="53"/>
      <c r="R372" s="53"/>
      <c r="S372" s="53"/>
      <c r="T372" s="53"/>
      <c r="U372" s="53"/>
    </row>
    <row r="373" spans="1:21" ht="16.8" x14ac:dyDescent="0.65">
      <c r="A373" s="54"/>
      <c r="B373" s="53"/>
      <c r="C373" s="53"/>
      <c r="D373" s="53"/>
      <c r="E373" s="53"/>
      <c r="F373" s="53"/>
      <c r="G373" s="54"/>
      <c r="H373" s="53"/>
      <c r="I373" s="53"/>
      <c r="J373" s="53"/>
      <c r="K373" s="53"/>
      <c r="L373" s="53"/>
      <c r="M373" s="53"/>
      <c r="N373" s="53"/>
      <c r="O373" s="53"/>
      <c r="P373" s="53"/>
      <c r="Q373" s="53"/>
      <c r="R373" s="53"/>
      <c r="S373" s="53"/>
      <c r="T373" s="53"/>
      <c r="U373" s="53"/>
    </row>
    <row r="374" spans="1:21" ht="16.8" x14ac:dyDescent="0.65">
      <c r="A374" s="54"/>
      <c r="B374" s="53"/>
      <c r="C374" s="53"/>
      <c r="D374" s="53"/>
      <c r="E374" s="53"/>
      <c r="F374" s="53"/>
      <c r="G374" s="54"/>
      <c r="H374" s="53"/>
      <c r="I374" s="53"/>
      <c r="J374" s="53"/>
      <c r="K374" s="53"/>
      <c r="L374" s="53"/>
      <c r="M374" s="53"/>
      <c r="N374" s="53"/>
      <c r="O374" s="53"/>
      <c r="P374" s="53"/>
      <c r="Q374" s="53"/>
      <c r="R374" s="53"/>
      <c r="S374" s="53"/>
      <c r="T374" s="53"/>
      <c r="U374" s="53"/>
    </row>
    <row r="375" spans="1:21" ht="16.8" x14ac:dyDescent="0.65">
      <c r="A375" s="54"/>
      <c r="B375" s="53"/>
      <c r="C375" s="53"/>
      <c r="D375" s="53"/>
      <c r="E375" s="53"/>
      <c r="F375" s="53"/>
      <c r="G375" s="54"/>
      <c r="H375" s="53"/>
      <c r="I375" s="53"/>
      <c r="J375" s="53"/>
      <c r="K375" s="53"/>
      <c r="L375" s="53"/>
      <c r="M375" s="53"/>
      <c r="N375" s="53"/>
      <c r="O375" s="53"/>
      <c r="P375" s="53"/>
      <c r="Q375" s="53"/>
      <c r="R375" s="53"/>
      <c r="S375" s="53"/>
      <c r="T375" s="53"/>
      <c r="U375" s="53"/>
    </row>
    <row r="376" spans="1:21" ht="16.8" x14ac:dyDescent="0.65">
      <c r="A376" s="54"/>
      <c r="B376" s="53"/>
      <c r="C376" s="53"/>
      <c r="D376" s="53"/>
      <c r="E376" s="53"/>
      <c r="F376" s="53"/>
      <c r="G376" s="54"/>
      <c r="H376" s="53"/>
      <c r="I376" s="53"/>
      <c r="J376" s="53"/>
      <c r="K376" s="53"/>
      <c r="L376" s="53"/>
      <c r="M376" s="53"/>
      <c r="N376" s="53"/>
      <c r="O376" s="53"/>
      <c r="P376" s="53"/>
      <c r="Q376" s="53"/>
      <c r="R376" s="53"/>
      <c r="S376" s="53"/>
      <c r="T376" s="53"/>
      <c r="U376" s="53"/>
    </row>
    <row r="377" spans="1:21" ht="16.8" x14ac:dyDescent="0.65">
      <c r="A377" s="54"/>
      <c r="B377" s="53"/>
      <c r="C377" s="53"/>
      <c r="D377" s="53"/>
      <c r="E377" s="53"/>
      <c r="F377" s="53"/>
      <c r="G377" s="54"/>
      <c r="H377" s="53"/>
      <c r="I377" s="53"/>
      <c r="J377" s="53"/>
      <c r="K377" s="53"/>
      <c r="L377" s="53"/>
      <c r="M377" s="53"/>
      <c r="N377" s="53"/>
      <c r="O377" s="53"/>
      <c r="P377" s="53"/>
      <c r="Q377" s="53"/>
      <c r="R377" s="53"/>
      <c r="S377" s="53"/>
      <c r="T377" s="53"/>
      <c r="U377" s="53"/>
    </row>
    <row r="378" spans="1:21" ht="16.8" x14ac:dyDescent="0.65">
      <c r="A378" s="54"/>
      <c r="B378" s="53"/>
      <c r="C378" s="53"/>
      <c r="D378" s="53"/>
      <c r="E378" s="53"/>
      <c r="F378" s="53"/>
      <c r="G378" s="54"/>
      <c r="H378" s="53"/>
      <c r="I378" s="53"/>
      <c r="J378" s="53"/>
      <c r="K378" s="53"/>
      <c r="L378" s="53"/>
      <c r="M378" s="53"/>
      <c r="N378" s="53"/>
      <c r="O378" s="53"/>
      <c r="P378" s="53"/>
      <c r="Q378" s="53"/>
      <c r="R378" s="53"/>
      <c r="S378" s="53"/>
      <c r="T378" s="53"/>
      <c r="U378" s="53"/>
    </row>
    <row r="379" spans="1:21" ht="16.8" x14ac:dyDescent="0.65">
      <c r="A379" s="54"/>
      <c r="B379" s="53"/>
      <c r="C379" s="53"/>
      <c r="D379" s="53"/>
      <c r="E379" s="53"/>
      <c r="F379" s="53"/>
      <c r="G379" s="54"/>
      <c r="H379" s="53"/>
      <c r="I379" s="53"/>
      <c r="J379" s="53"/>
      <c r="K379" s="53"/>
      <c r="L379" s="53"/>
      <c r="M379" s="53"/>
      <c r="N379" s="53"/>
      <c r="O379" s="53"/>
      <c r="P379" s="53"/>
      <c r="Q379" s="53"/>
      <c r="R379" s="53"/>
      <c r="S379" s="53"/>
      <c r="T379" s="53"/>
      <c r="U379" s="53"/>
    </row>
    <row r="380" spans="1:21" ht="16.8" x14ac:dyDescent="0.65">
      <c r="A380" s="54"/>
      <c r="B380" s="53"/>
      <c r="C380" s="53"/>
      <c r="D380" s="53"/>
      <c r="E380" s="53"/>
      <c r="F380" s="53"/>
      <c r="G380" s="54"/>
      <c r="H380" s="53"/>
      <c r="I380" s="53"/>
      <c r="J380" s="53"/>
      <c r="K380" s="53"/>
      <c r="L380" s="53"/>
      <c r="M380" s="53"/>
      <c r="N380" s="53"/>
      <c r="O380" s="53"/>
      <c r="P380" s="53"/>
      <c r="Q380" s="53"/>
      <c r="R380" s="53"/>
      <c r="S380" s="53"/>
      <c r="T380" s="53"/>
      <c r="U380" s="53"/>
    </row>
    <row r="381" spans="1:21" ht="16.8" x14ac:dyDescent="0.65">
      <c r="A381" s="54"/>
      <c r="B381" s="53"/>
      <c r="C381" s="53"/>
      <c r="D381" s="53"/>
      <c r="E381" s="53"/>
      <c r="F381" s="53"/>
      <c r="G381" s="54"/>
      <c r="H381" s="53"/>
      <c r="I381" s="53"/>
      <c r="J381" s="53"/>
      <c r="K381" s="53"/>
      <c r="L381" s="53"/>
      <c r="M381" s="53"/>
      <c r="N381" s="53"/>
      <c r="O381" s="53"/>
      <c r="P381" s="53"/>
      <c r="Q381" s="53"/>
      <c r="R381" s="53"/>
      <c r="S381" s="53"/>
      <c r="T381" s="53"/>
      <c r="U381" s="53"/>
    </row>
    <row r="382" spans="1:21" ht="16.8" x14ac:dyDescent="0.65">
      <c r="A382" s="54"/>
      <c r="B382" s="53"/>
      <c r="C382" s="53"/>
      <c r="D382" s="53"/>
      <c r="E382" s="53"/>
      <c r="F382" s="53"/>
      <c r="G382" s="54"/>
      <c r="H382" s="53"/>
      <c r="I382" s="53"/>
      <c r="J382" s="53"/>
      <c r="K382" s="53"/>
      <c r="L382" s="53"/>
      <c r="M382" s="53"/>
      <c r="N382" s="53"/>
      <c r="O382" s="53"/>
      <c r="P382" s="53"/>
      <c r="Q382" s="53"/>
      <c r="R382" s="53"/>
      <c r="S382" s="53"/>
      <c r="T382" s="53"/>
      <c r="U382" s="53"/>
    </row>
    <row r="383" spans="1:21" ht="16.8" x14ac:dyDescent="0.65">
      <c r="A383" s="54"/>
      <c r="B383" s="53"/>
      <c r="C383" s="53"/>
      <c r="D383" s="53"/>
      <c r="E383" s="53"/>
      <c r="F383" s="53"/>
      <c r="G383" s="54"/>
      <c r="H383" s="53"/>
      <c r="I383" s="53"/>
      <c r="J383" s="53"/>
      <c r="K383" s="53"/>
      <c r="L383" s="53"/>
      <c r="M383" s="53"/>
      <c r="N383" s="53"/>
      <c r="O383" s="53"/>
      <c r="P383" s="53"/>
      <c r="Q383" s="53"/>
      <c r="R383" s="53"/>
      <c r="S383" s="53"/>
      <c r="T383" s="53"/>
      <c r="U383" s="53"/>
    </row>
    <row r="384" spans="1:21" ht="16.8" x14ac:dyDescent="0.65">
      <c r="A384" s="54"/>
      <c r="B384" s="53"/>
      <c r="C384" s="53"/>
      <c r="D384" s="53"/>
      <c r="E384" s="53"/>
      <c r="F384" s="53"/>
      <c r="G384" s="54"/>
      <c r="H384" s="53"/>
      <c r="I384" s="53"/>
      <c r="J384" s="53"/>
      <c r="K384" s="53"/>
      <c r="L384" s="53"/>
      <c r="M384" s="53"/>
      <c r="N384" s="53"/>
      <c r="O384" s="53"/>
      <c r="P384" s="53"/>
      <c r="Q384" s="53"/>
      <c r="R384" s="53"/>
      <c r="S384" s="53"/>
      <c r="T384" s="53"/>
      <c r="U384" s="53"/>
    </row>
    <row r="385" spans="1:21" ht="16.8" x14ac:dyDescent="0.65">
      <c r="A385" s="54"/>
      <c r="B385" s="53"/>
      <c r="C385" s="53"/>
      <c r="D385" s="53"/>
      <c r="E385" s="53"/>
      <c r="F385" s="53"/>
      <c r="G385" s="54"/>
      <c r="H385" s="53"/>
      <c r="I385" s="53"/>
      <c r="J385" s="53"/>
      <c r="K385" s="53"/>
      <c r="L385" s="53"/>
      <c r="M385" s="53"/>
      <c r="N385" s="53"/>
      <c r="O385" s="53"/>
      <c r="P385" s="53"/>
      <c r="Q385" s="53"/>
      <c r="R385" s="53"/>
      <c r="S385" s="53"/>
      <c r="T385" s="53"/>
      <c r="U385" s="53"/>
    </row>
    <row r="386" spans="1:21" ht="16.8" x14ac:dyDescent="0.65">
      <c r="A386" s="54"/>
      <c r="B386" s="53"/>
      <c r="C386" s="53"/>
      <c r="D386" s="53"/>
      <c r="E386" s="53"/>
      <c r="F386" s="53"/>
      <c r="G386" s="54"/>
      <c r="H386" s="53"/>
      <c r="I386" s="53"/>
      <c r="J386" s="53"/>
      <c r="K386" s="53"/>
      <c r="L386" s="53"/>
      <c r="M386" s="53"/>
      <c r="N386" s="53"/>
      <c r="O386" s="53"/>
      <c r="P386" s="53"/>
      <c r="Q386" s="53"/>
      <c r="R386" s="53"/>
      <c r="S386" s="53"/>
      <c r="T386" s="53"/>
      <c r="U386" s="53"/>
    </row>
    <row r="387" spans="1:21" ht="16.8" x14ac:dyDescent="0.65">
      <c r="A387" s="54"/>
      <c r="B387" s="53"/>
      <c r="C387" s="53"/>
      <c r="D387" s="53"/>
      <c r="E387" s="53"/>
      <c r="F387" s="53"/>
      <c r="G387" s="54"/>
      <c r="H387" s="53"/>
      <c r="I387" s="53"/>
      <c r="J387" s="53"/>
      <c r="K387" s="53"/>
      <c r="L387" s="53"/>
      <c r="M387" s="53"/>
      <c r="N387" s="53"/>
      <c r="O387" s="53"/>
      <c r="P387" s="53"/>
      <c r="Q387" s="53"/>
      <c r="R387" s="53"/>
      <c r="S387" s="53"/>
      <c r="T387" s="53"/>
      <c r="U387" s="53"/>
    </row>
    <row r="388" spans="1:21" ht="16.8" x14ac:dyDescent="0.65">
      <c r="A388" s="54"/>
      <c r="B388" s="53"/>
      <c r="C388" s="53"/>
      <c r="D388" s="53"/>
      <c r="E388" s="53"/>
      <c r="F388" s="53"/>
      <c r="G388" s="54"/>
      <c r="H388" s="53"/>
      <c r="I388" s="53"/>
      <c r="J388" s="53"/>
      <c r="K388" s="53"/>
      <c r="L388" s="53"/>
      <c r="M388" s="53"/>
      <c r="N388" s="53"/>
      <c r="O388" s="53"/>
      <c r="P388" s="53"/>
      <c r="Q388" s="53"/>
      <c r="R388" s="53"/>
      <c r="S388" s="53"/>
      <c r="T388" s="53"/>
      <c r="U388" s="53"/>
    </row>
    <row r="389" spans="1:21" ht="16.8" x14ac:dyDescent="0.65">
      <c r="A389" s="54"/>
      <c r="B389" s="53"/>
      <c r="C389" s="53"/>
      <c r="D389" s="53"/>
      <c r="E389" s="53"/>
      <c r="F389" s="53"/>
      <c r="G389" s="54"/>
      <c r="H389" s="53"/>
      <c r="I389" s="53"/>
      <c r="J389" s="53"/>
      <c r="K389" s="53"/>
      <c r="L389" s="53"/>
      <c r="M389" s="53"/>
      <c r="N389" s="53"/>
      <c r="O389" s="53"/>
      <c r="P389" s="53"/>
      <c r="Q389" s="53"/>
      <c r="R389" s="53"/>
      <c r="S389" s="53"/>
      <c r="T389" s="53"/>
      <c r="U389" s="53"/>
    </row>
    <row r="390" spans="1:21" ht="16.8" x14ac:dyDescent="0.65">
      <c r="A390" s="54"/>
      <c r="B390" s="53"/>
      <c r="C390" s="53"/>
      <c r="D390" s="53"/>
      <c r="E390" s="53"/>
      <c r="F390" s="53"/>
      <c r="G390" s="54"/>
      <c r="H390" s="53"/>
      <c r="I390" s="53"/>
      <c r="J390" s="53"/>
      <c r="K390" s="53"/>
      <c r="L390" s="53"/>
      <c r="M390" s="53"/>
      <c r="N390" s="53"/>
      <c r="O390" s="53"/>
      <c r="P390" s="53"/>
      <c r="Q390" s="53"/>
      <c r="R390" s="53"/>
      <c r="S390" s="53"/>
      <c r="T390" s="53"/>
      <c r="U390" s="53"/>
    </row>
    <row r="391" spans="1:21" ht="16.8" x14ac:dyDescent="0.65">
      <c r="A391" s="54"/>
      <c r="B391" s="53"/>
      <c r="C391" s="53"/>
      <c r="D391" s="53"/>
      <c r="E391" s="53"/>
      <c r="F391" s="53"/>
      <c r="G391" s="54"/>
      <c r="H391" s="53"/>
      <c r="I391" s="53"/>
      <c r="J391" s="53"/>
      <c r="K391" s="53"/>
      <c r="L391" s="53"/>
      <c r="M391" s="53"/>
      <c r="N391" s="53"/>
      <c r="O391" s="53"/>
      <c r="P391" s="53"/>
      <c r="Q391" s="53"/>
      <c r="R391" s="53"/>
      <c r="S391" s="53"/>
      <c r="T391" s="53"/>
      <c r="U391" s="53"/>
    </row>
    <row r="392" spans="1:21" ht="16.8" x14ac:dyDescent="0.65">
      <c r="A392" s="54"/>
      <c r="B392" s="53"/>
      <c r="C392" s="53"/>
      <c r="D392" s="53"/>
      <c r="E392" s="53"/>
      <c r="F392" s="53"/>
      <c r="G392" s="54"/>
      <c r="H392" s="53"/>
      <c r="I392" s="53"/>
      <c r="J392" s="53"/>
      <c r="K392" s="53"/>
      <c r="L392" s="53"/>
      <c r="M392" s="53"/>
      <c r="N392" s="53"/>
      <c r="O392" s="53"/>
      <c r="P392" s="53"/>
      <c r="Q392" s="53"/>
      <c r="R392" s="53"/>
      <c r="S392" s="53"/>
      <c r="T392" s="53"/>
      <c r="U392" s="53"/>
    </row>
    <row r="393" spans="1:21" ht="16.8" x14ac:dyDescent="0.65">
      <c r="A393" s="54"/>
      <c r="B393" s="53"/>
      <c r="C393" s="53"/>
      <c r="D393" s="53"/>
      <c r="E393" s="53"/>
      <c r="F393" s="53"/>
      <c r="G393" s="54"/>
      <c r="H393" s="53"/>
      <c r="I393" s="53"/>
      <c r="J393" s="53"/>
      <c r="K393" s="53"/>
      <c r="L393" s="53"/>
      <c r="M393" s="53"/>
      <c r="N393" s="53"/>
      <c r="O393" s="53"/>
      <c r="P393" s="53"/>
      <c r="Q393" s="53"/>
      <c r="R393" s="53"/>
      <c r="S393" s="53"/>
      <c r="T393" s="53"/>
      <c r="U393" s="53"/>
    </row>
    <row r="394" spans="1:21" ht="16.8" x14ac:dyDescent="0.65">
      <c r="A394" s="54"/>
      <c r="B394" s="53"/>
      <c r="C394" s="53"/>
      <c r="D394" s="53"/>
      <c r="E394" s="53"/>
      <c r="F394" s="53"/>
      <c r="G394" s="54"/>
      <c r="H394" s="53"/>
      <c r="I394" s="53"/>
      <c r="J394" s="53"/>
      <c r="K394" s="53"/>
      <c r="L394" s="53"/>
      <c r="M394" s="53"/>
      <c r="N394" s="53"/>
      <c r="O394" s="53"/>
      <c r="P394" s="53"/>
      <c r="Q394" s="53"/>
      <c r="R394" s="53"/>
      <c r="S394" s="53"/>
      <c r="T394" s="53"/>
      <c r="U394" s="53"/>
    </row>
    <row r="395" spans="1:21" ht="16.8" x14ac:dyDescent="0.65">
      <c r="A395" s="54"/>
      <c r="B395" s="53"/>
      <c r="C395" s="53"/>
      <c r="D395" s="53"/>
      <c r="E395" s="53"/>
      <c r="F395" s="53"/>
      <c r="G395" s="54"/>
      <c r="H395" s="53"/>
      <c r="I395" s="53"/>
      <c r="J395" s="53"/>
      <c r="K395" s="53"/>
      <c r="L395" s="53"/>
      <c r="M395" s="53"/>
      <c r="N395" s="53"/>
      <c r="O395" s="53"/>
      <c r="P395" s="53"/>
      <c r="Q395" s="53"/>
      <c r="R395" s="53"/>
      <c r="S395" s="53"/>
      <c r="T395" s="53"/>
      <c r="U395" s="53"/>
    </row>
    <row r="396" spans="1:21" ht="16.8" x14ac:dyDescent="0.65">
      <c r="A396" s="54"/>
      <c r="B396" s="53"/>
      <c r="C396" s="53"/>
      <c r="D396" s="53"/>
      <c r="E396" s="53"/>
      <c r="F396" s="53"/>
      <c r="G396" s="54"/>
      <c r="H396" s="53"/>
      <c r="I396" s="53"/>
      <c r="J396" s="53"/>
      <c r="K396" s="53"/>
      <c r="L396" s="53"/>
      <c r="M396" s="53"/>
      <c r="N396" s="53"/>
      <c r="O396" s="53"/>
      <c r="P396" s="53"/>
      <c r="Q396" s="53"/>
      <c r="R396" s="53"/>
      <c r="S396" s="53"/>
      <c r="T396" s="53"/>
      <c r="U396" s="53"/>
    </row>
    <row r="397" spans="1:21" ht="16.8" x14ac:dyDescent="0.65">
      <c r="A397" s="54"/>
      <c r="B397" s="53"/>
      <c r="C397" s="53"/>
      <c r="D397" s="53"/>
      <c r="E397" s="53"/>
      <c r="F397" s="53"/>
      <c r="G397" s="54"/>
      <c r="H397" s="53"/>
      <c r="I397" s="53"/>
      <c r="J397" s="53"/>
      <c r="K397" s="53"/>
      <c r="L397" s="53"/>
      <c r="M397" s="53"/>
      <c r="N397" s="53"/>
      <c r="O397" s="53"/>
      <c r="P397" s="53"/>
      <c r="Q397" s="53"/>
      <c r="R397" s="53"/>
      <c r="S397" s="53"/>
      <c r="T397" s="53"/>
      <c r="U397" s="53"/>
    </row>
    <row r="398" spans="1:21" ht="16.8" x14ac:dyDescent="0.65">
      <c r="A398" s="54"/>
      <c r="B398" s="53"/>
      <c r="C398" s="53"/>
      <c r="D398" s="53"/>
      <c r="E398" s="53"/>
      <c r="F398" s="53"/>
      <c r="G398" s="54"/>
      <c r="H398" s="53"/>
      <c r="I398" s="53"/>
      <c r="J398" s="53"/>
      <c r="K398" s="53"/>
      <c r="L398" s="53"/>
      <c r="M398" s="53"/>
      <c r="N398" s="53"/>
      <c r="O398" s="53"/>
      <c r="P398" s="53"/>
      <c r="Q398" s="53"/>
      <c r="R398" s="53"/>
      <c r="S398" s="53"/>
      <c r="T398" s="53"/>
      <c r="U398" s="53"/>
    </row>
    <row r="399" spans="1:21" ht="16.8" x14ac:dyDescent="0.65">
      <c r="A399" s="54"/>
      <c r="B399" s="53"/>
      <c r="C399" s="53"/>
      <c r="D399" s="53"/>
      <c r="E399" s="53"/>
      <c r="F399" s="53"/>
      <c r="G399" s="54"/>
      <c r="H399" s="53"/>
      <c r="I399" s="53"/>
      <c r="J399" s="53"/>
      <c r="K399" s="53"/>
      <c r="L399" s="53"/>
      <c r="M399" s="53"/>
      <c r="N399" s="53"/>
      <c r="O399" s="53"/>
      <c r="P399" s="53"/>
      <c r="Q399" s="53"/>
      <c r="R399" s="53"/>
      <c r="S399" s="53"/>
      <c r="T399" s="53"/>
      <c r="U399" s="53"/>
    </row>
    <row r="400" spans="1:21" ht="16.8" x14ac:dyDescent="0.65">
      <c r="A400" s="54"/>
      <c r="B400" s="53"/>
      <c r="C400" s="53"/>
      <c r="D400" s="53"/>
      <c r="E400" s="53"/>
      <c r="F400" s="53"/>
      <c r="G400" s="54"/>
      <c r="H400" s="53"/>
      <c r="I400" s="53"/>
      <c r="J400" s="53"/>
      <c r="K400" s="53"/>
      <c r="L400" s="53"/>
      <c r="M400" s="53"/>
      <c r="N400" s="53"/>
      <c r="O400" s="53"/>
      <c r="P400" s="53"/>
      <c r="Q400" s="53"/>
      <c r="R400" s="53"/>
      <c r="S400" s="53"/>
      <c r="T400" s="53"/>
      <c r="U400" s="53"/>
    </row>
    <row r="401" spans="1:21" ht="16.8" x14ac:dyDescent="0.65">
      <c r="A401" s="54"/>
      <c r="B401" s="53"/>
      <c r="C401" s="53"/>
      <c r="D401" s="53"/>
      <c r="E401" s="53"/>
      <c r="F401" s="53"/>
      <c r="G401" s="54"/>
      <c r="H401" s="53"/>
      <c r="I401" s="53"/>
      <c r="J401" s="53"/>
      <c r="K401" s="53"/>
      <c r="L401" s="53"/>
      <c r="M401" s="53"/>
      <c r="N401" s="53"/>
      <c r="O401" s="53"/>
      <c r="P401" s="53"/>
      <c r="Q401" s="53"/>
      <c r="R401" s="53"/>
      <c r="S401" s="53"/>
      <c r="T401" s="53"/>
      <c r="U401" s="53"/>
    </row>
    <row r="402" spans="1:21" ht="16.8" x14ac:dyDescent="0.65">
      <c r="A402" s="54"/>
      <c r="B402" s="53"/>
      <c r="C402" s="53"/>
      <c r="D402" s="53"/>
      <c r="E402" s="53"/>
      <c r="F402" s="53"/>
      <c r="G402" s="54"/>
      <c r="H402" s="53"/>
      <c r="I402" s="53"/>
      <c r="J402" s="53"/>
      <c r="K402" s="53"/>
      <c r="L402" s="53"/>
      <c r="M402" s="53"/>
      <c r="N402" s="53"/>
      <c r="O402" s="53"/>
      <c r="P402" s="53"/>
      <c r="Q402" s="53"/>
      <c r="R402" s="53"/>
      <c r="S402" s="53"/>
      <c r="T402" s="53"/>
      <c r="U402" s="53"/>
    </row>
    <row r="403" spans="1:21" ht="16.8" x14ac:dyDescent="0.65">
      <c r="A403" s="54"/>
      <c r="B403" s="53"/>
      <c r="C403" s="53"/>
      <c r="D403" s="53"/>
      <c r="E403" s="53"/>
      <c r="F403" s="53"/>
      <c r="G403" s="54"/>
      <c r="H403" s="53"/>
      <c r="I403" s="53"/>
      <c r="J403" s="53"/>
      <c r="K403" s="53"/>
      <c r="L403" s="53"/>
      <c r="M403" s="53"/>
      <c r="N403" s="53"/>
      <c r="O403" s="53"/>
      <c r="P403" s="53"/>
      <c r="Q403" s="53"/>
      <c r="R403" s="53"/>
      <c r="S403" s="53"/>
      <c r="T403" s="53"/>
      <c r="U403" s="53"/>
    </row>
    <row r="404" spans="1:21" ht="16.8" x14ac:dyDescent="0.65">
      <c r="A404" s="54"/>
      <c r="B404" s="53"/>
      <c r="C404" s="53"/>
      <c r="D404" s="53"/>
      <c r="E404" s="53"/>
      <c r="F404" s="53"/>
      <c r="G404" s="54"/>
      <c r="H404" s="53"/>
      <c r="I404" s="53"/>
      <c r="J404" s="53"/>
      <c r="K404" s="53"/>
      <c r="L404" s="53"/>
      <c r="M404" s="53"/>
      <c r="N404" s="53"/>
      <c r="O404" s="53"/>
      <c r="P404" s="53"/>
      <c r="Q404" s="53"/>
      <c r="R404" s="53"/>
      <c r="S404" s="53"/>
      <c r="T404" s="53"/>
      <c r="U404" s="53"/>
    </row>
    <row r="405" spans="1:21" ht="16.8" x14ac:dyDescent="0.65">
      <c r="A405" s="54"/>
      <c r="B405" s="53"/>
      <c r="C405" s="53"/>
      <c r="D405" s="53"/>
      <c r="E405" s="53"/>
      <c r="F405" s="53"/>
      <c r="G405" s="54"/>
      <c r="H405" s="53"/>
      <c r="I405" s="53"/>
      <c r="J405" s="53"/>
      <c r="K405" s="53"/>
      <c r="L405" s="53"/>
      <c r="M405" s="53"/>
      <c r="N405" s="53"/>
      <c r="O405" s="53"/>
      <c r="P405" s="53"/>
      <c r="Q405" s="53"/>
      <c r="R405" s="53"/>
      <c r="S405" s="53"/>
      <c r="T405" s="53"/>
      <c r="U405" s="53"/>
    </row>
    <row r="406" spans="1:21" ht="16.8" x14ac:dyDescent="0.65">
      <c r="A406" s="54"/>
      <c r="B406" s="53"/>
      <c r="C406" s="53"/>
      <c r="D406" s="53"/>
      <c r="E406" s="53"/>
      <c r="F406" s="53"/>
      <c r="G406" s="54"/>
      <c r="H406" s="53"/>
      <c r="I406" s="53"/>
      <c r="J406" s="53"/>
      <c r="K406" s="53"/>
      <c r="L406" s="53"/>
      <c r="M406" s="53"/>
      <c r="N406" s="53"/>
      <c r="O406" s="53"/>
      <c r="P406" s="53"/>
      <c r="Q406" s="53"/>
      <c r="R406" s="53"/>
      <c r="S406" s="53"/>
      <c r="T406" s="53"/>
      <c r="U406" s="53"/>
    </row>
    <row r="407" spans="1:21" ht="16.8" x14ac:dyDescent="0.65">
      <c r="A407" s="54"/>
      <c r="B407" s="53"/>
      <c r="C407" s="53"/>
      <c r="D407" s="53"/>
      <c r="E407" s="53"/>
      <c r="F407" s="53"/>
      <c r="G407" s="54"/>
      <c r="H407" s="53"/>
      <c r="I407" s="53"/>
      <c r="J407" s="53"/>
      <c r="K407" s="53"/>
      <c r="L407" s="53"/>
      <c r="M407" s="53"/>
      <c r="N407" s="53"/>
      <c r="O407" s="53"/>
      <c r="P407" s="53"/>
      <c r="Q407" s="53"/>
      <c r="R407" s="53"/>
      <c r="S407" s="53"/>
      <c r="T407" s="53"/>
      <c r="U407" s="53"/>
    </row>
    <row r="408" spans="1:21" ht="16.8" x14ac:dyDescent="0.65">
      <c r="A408" s="54"/>
      <c r="B408" s="53"/>
      <c r="C408" s="53"/>
      <c r="D408" s="53"/>
      <c r="E408" s="53"/>
      <c r="F408" s="53"/>
      <c r="G408" s="54"/>
      <c r="H408" s="53"/>
      <c r="I408" s="53"/>
      <c r="J408" s="53"/>
      <c r="K408" s="53"/>
      <c r="L408" s="53"/>
      <c r="M408" s="53"/>
      <c r="N408" s="53"/>
      <c r="O408" s="53"/>
      <c r="P408" s="53"/>
      <c r="Q408" s="53"/>
      <c r="R408" s="53"/>
      <c r="S408" s="53"/>
      <c r="T408" s="53"/>
      <c r="U408" s="53"/>
    </row>
    <row r="409" spans="1:21" ht="16.8" x14ac:dyDescent="0.65">
      <c r="A409" s="54"/>
      <c r="B409" s="53"/>
      <c r="C409" s="53"/>
      <c r="D409" s="53"/>
      <c r="E409" s="53"/>
      <c r="F409" s="53"/>
      <c r="G409" s="54"/>
      <c r="H409" s="53"/>
      <c r="I409" s="53"/>
      <c r="J409" s="53"/>
      <c r="K409" s="53"/>
      <c r="L409" s="53"/>
      <c r="M409" s="53"/>
      <c r="N409" s="53"/>
      <c r="O409" s="53"/>
      <c r="P409" s="53"/>
      <c r="Q409" s="53"/>
      <c r="R409" s="53"/>
      <c r="S409" s="53"/>
      <c r="T409" s="53"/>
      <c r="U409" s="53"/>
    </row>
    <row r="410" spans="1:21" ht="16.8" x14ac:dyDescent="0.65">
      <c r="A410" s="54"/>
      <c r="B410" s="53"/>
      <c r="C410" s="53"/>
      <c r="D410" s="53"/>
      <c r="E410" s="53"/>
      <c r="F410" s="53"/>
      <c r="G410" s="54"/>
      <c r="H410" s="53"/>
      <c r="I410" s="53"/>
      <c r="J410" s="53"/>
      <c r="K410" s="53"/>
      <c r="L410" s="53"/>
      <c r="M410" s="53"/>
      <c r="N410" s="53"/>
      <c r="O410" s="53"/>
      <c r="P410" s="53"/>
      <c r="Q410" s="53"/>
      <c r="R410" s="53"/>
      <c r="S410" s="53"/>
      <c r="T410" s="53"/>
      <c r="U410" s="53"/>
    </row>
    <row r="411" spans="1:21" ht="16.8" x14ac:dyDescent="0.65">
      <c r="A411" s="54"/>
      <c r="B411" s="53"/>
      <c r="C411" s="53"/>
      <c r="D411" s="53"/>
      <c r="E411" s="53"/>
      <c r="F411" s="53"/>
      <c r="G411" s="54"/>
      <c r="H411" s="53"/>
      <c r="I411" s="53"/>
      <c r="J411" s="53"/>
      <c r="K411" s="53"/>
      <c r="L411" s="53"/>
      <c r="M411" s="53"/>
      <c r="N411" s="53"/>
      <c r="O411" s="53"/>
      <c r="P411" s="53"/>
      <c r="Q411" s="53"/>
      <c r="R411" s="53"/>
      <c r="S411" s="53"/>
      <c r="T411" s="53"/>
      <c r="U411" s="53"/>
    </row>
    <row r="412" spans="1:21" ht="16.8" x14ac:dyDescent="0.65">
      <c r="A412" s="54"/>
      <c r="B412" s="53"/>
      <c r="C412" s="53"/>
      <c r="D412" s="53"/>
      <c r="E412" s="53"/>
      <c r="F412" s="53"/>
      <c r="G412" s="54"/>
      <c r="H412" s="53"/>
      <c r="I412" s="53"/>
      <c r="J412" s="53"/>
      <c r="K412" s="53"/>
      <c r="L412" s="53"/>
      <c r="M412" s="53"/>
      <c r="N412" s="53"/>
      <c r="O412" s="53"/>
      <c r="P412" s="53"/>
      <c r="Q412" s="53"/>
      <c r="R412" s="53"/>
      <c r="S412" s="53"/>
      <c r="T412" s="53"/>
      <c r="U412" s="53"/>
    </row>
    <row r="413" spans="1:21" ht="16.8" x14ac:dyDescent="0.65">
      <c r="A413" s="54"/>
      <c r="B413" s="53"/>
      <c r="C413" s="53"/>
      <c r="D413" s="53"/>
      <c r="E413" s="53"/>
      <c r="F413" s="53"/>
      <c r="G413" s="54"/>
      <c r="H413" s="53"/>
      <c r="I413" s="53"/>
      <c r="J413" s="53"/>
      <c r="K413" s="53"/>
      <c r="L413" s="53"/>
      <c r="M413" s="53"/>
      <c r="N413" s="53"/>
      <c r="O413" s="53"/>
      <c r="P413" s="53"/>
      <c r="Q413" s="53"/>
      <c r="R413" s="53"/>
      <c r="S413" s="53"/>
      <c r="T413" s="53"/>
      <c r="U413" s="53"/>
    </row>
    <row r="414" spans="1:21" ht="16.8" x14ac:dyDescent="0.65">
      <c r="A414" s="54"/>
      <c r="B414" s="53"/>
      <c r="C414" s="53"/>
      <c r="D414" s="53"/>
      <c r="E414" s="53"/>
      <c r="F414" s="53"/>
      <c r="G414" s="54"/>
      <c r="H414" s="53"/>
      <c r="I414" s="53"/>
      <c r="J414" s="53"/>
      <c r="K414" s="53"/>
      <c r="L414" s="53"/>
      <c r="M414" s="53"/>
      <c r="N414" s="53"/>
      <c r="O414" s="53"/>
      <c r="P414" s="53"/>
      <c r="Q414" s="53"/>
      <c r="R414" s="53"/>
      <c r="S414" s="53"/>
      <c r="T414" s="53"/>
      <c r="U414" s="53"/>
    </row>
    <row r="415" spans="1:21" ht="16.8" x14ac:dyDescent="0.65">
      <c r="A415" s="54"/>
      <c r="B415" s="53"/>
      <c r="C415" s="53"/>
      <c r="D415" s="53"/>
      <c r="E415" s="53"/>
      <c r="F415" s="53"/>
      <c r="G415" s="54"/>
      <c r="H415" s="53"/>
      <c r="I415" s="53"/>
      <c r="J415" s="53"/>
      <c r="K415" s="53"/>
      <c r="L415" s="53"/>
      <c r="M415" s="53"/>
      <c r="N415" s="53"/>
      <c r="O415" s="53"/>
      <c r="P415" s="53"/>
      <c r="Q415" s="53"/>
      <c r="R415" s="53"/>
      <c r="S415" s="53"/>
      <c r="T415" s="53"/>
      <c r="U415" s="53"/>
    </row>
    <row r="416" spans="1:21" ht="16.8" x14ac:dyDescent="0.65">
      <c r="A416" s="54"/>
      <c r="B416" s="53"/>
      <c r="C416" s="53"/>
      <c r="D416" s="53"/>
      <c r="E416" s="53"/>
      <c r="F416" s="53"/>
      <c r="G416" s="54"/>
      <c r="H416" s="53"/>
      <c r="I416" s="53"/>
      <c r="J416" s="53"/>
      <c r="K416" s="53"/>
      <c r="L416" s="53"/>
      <c r="M416" s="53"/>
      <c r="N416" s="53"/>
      <c r="O416" s="53"/>
      <c r="P416" s="53"/>
      <c r="Q416" s="53"/>
      <c r="R416" s="53"/>
      <c r="S416" s="53"/>
      <c r="T416" s="53"/>
      <c r="U416" s="53"/>
    </row>
    <row r="417" spans="1:21" ht="16.8" x14ac:dyDescent="0.65">
      <c r="A417" s="54"/>
      <c r="B417" s="53"/>
      <c r="C417" s="53"/>
      <c r="D417" s="53"/>
      <c r="E417" s="53"/>
      <c r="F417" s="53"/>
      <c r="G417" s="54"/>
      <c r="H417" s="53"/>
      <c r="I417" s="53"/>
      <c r="J417" s="53"/>
      <c r="K417" s="53"/>
      <c r="L417" s="53"/>
      <c r="M417" s="53"/>
      <c r="N417" s="53"/>
      <c r="O417" s="53"/>
      <c r="P417" s="53"/>
      <c r="Q417" s="53"/>
      <c r="R417" s="53"/>
      <c r="S417" s="53"/>
      <c r="T417" s="53"/>
      <c r="U417" s="53"/>
    </row>
    <row r="418" spans="1:21" ht="16.8" x14ac:dyDescent="0.65">
      <c r="A418" s="54"/>
      <c r="B418" s="53"/>
      <c r="C418" s="53"/>
      <c r="D418" s="53"/>
      <c r="E418" s="53"/>
      <c r="F418" s="53"/>
      <c r="G418" s="54"/>
      <c r="H418" s="53"/>
      <c r="I418" s="53"/>
      <c r="J418" s="53"/>
      <c r="K418" s="53"/>
      <c r="L418" s="53"/>
      <c r="M418" s="53"/>
      <c r="N418" s="53"/>
      <c r="O418" s="53"/>
      <c r="P418" s="53"/>
      <c r="Q418" s="53"/>
      <c r="R418" s="53"/>
      <c r="S418" s="53"/>
      <c r="T418" s="53"/>
      <c r="U418" s="53"/>
    </row>
    <row r="419" spans="1:21" ht="16.8" x14ac:dyDescent="0.65">
      <c r="A419" s="54"/>
      <c r="B419" s="53"/>
      <c r="C419" s="53"/>
      <c r="D419" s="53"/>
      <c r="E419" s="53"/>
      <c r="F419" s="53"/>
      <c r="G419" s="54"/>
      <c r="H419" s="53"/>
      <c r="I419" s="53"/>
      <c r="J419" s="53"/>
      <c r="K419" s="53"/>
      <c r="L419" s="53"/>
      <c r="M419" s="53"/>
      <c r="N419" s="53"/>
      <c r="O419" s="53"/>
      <c r="P419" s="53"/>
      <c r="Q419" s="53"/>
      <c r="R419" s="53"/>
      <c r="S419" s="53"/>
      <c r="T419" s="53"/>
      <c r="U419" s="53"/>
    </row>
    <row r="420" spans="1:21" ht="16.8" x14ac:dyDescent="0.65">
      <c r="A420" s="54"/>
      <c r="B420" s="53"/>
      <c r="C420" s="53"/>
      <c r="D420" s="53"/>
      <c r="E420" s="53"/>
      <c r="F420" s="53"/>
      <c r="G420" s="54"/>
      <c r="H420" s="53"/>
      <c r="I420" s="53"/>
      <c r="J420" s="53"/>
      <c r="K420" s="53"/>
      <c r="L420" s="53"/>
      <c r="M420" s="53"/>
      <c r="N420" s="53"/>
      <c r="O420" s="53"/>
      <c r="P420" s="53"/>
      <c r="Q420" s="53"/>
      <c r="R420" s="53"/>
      <c r="S420" s="53"/>
      <c r="T420" s="53"/>
      <c r="U420" s="53"/>
    </row>
    <row r="421" spans="1:21" ht="16.8" x14ac:dyDescent="0.65">
      <c r="A421" s="54"/>
      <c r="B421" s="53"/>
      <c r="C421" s="53"/>
      <c r="D421" s="53"/>
      <c r="E421" s="53"/>
      <c r="F421" s="53"/>
      <c r="G421" s="54"/>
      <c r="H421" s="53"/>
      <c r="I421" s="53"/>
      <c r="J421" s="53"/>
      <c r="K421" s="53"/>
      <c r="L421" s="53"/>
      <c r="M421" s="53"/>
      <c r="N421" s="53"/>
      <c r="O421" s="53"/>
      <c r="P421" s="53"/>
      <c r="Q421" s="53"/>
      <c r="R421" s="53"/>
      <c r="S421" s="53"/>
      <c r="T421" s="53"/>
      <c r="U421" s="53"/>
    </row>
    <row r="422" spans="1:21" ht="16.8" x14ac:dyDescent="0.65">
      <c r="A422" s="54"/>
      <c r="B422" s="53"/>
      <c r="C422" s="53"/>
      <c r="D422" s="53"/>
      <c r="E422" s="53"/>
      <c r="F422" s="53"/>
      <c r="G422" s="54"/>
      <c r="H422" s="53"/>
      <c r="I422" s="53"/>
      <c r="J422" s="53"/>
      <c r="K422" s="53"/>
      <c r="L422" s="53"/>
      <c r="M422" s="53"/>
      <c r="N422" s="53"/>
      <c r="O422" s="53"/>
      <c r="P422" s="53"/>
      <c r="Q422" s="53"/>
      <c r="R422" s="53"/>
      <c r="S422" s="53"/>
      <c r="T422" s="53"/>
      <c r="U422" s="53"/>
    </row>
    <row r="423" spans="1:21" ht="16.8" x14ac:dyDescent="0.65">
      <c r="A423" s="54"/>
      <c r="B423" s="53"/>
      <c r="C423" s="53"/>
      <c r="D423" s="53"/>
      <c r="E423" s="53"/>
      <c r="F423" s="53"/>
      <c r="G423" s="54"/>
      <c r="H423" s="53"/>
      <c r="I423" s="53"/>
      <c r="J423" s="53"/>
      <c r="K423" s="53"/>
      <c r="L423" s="53"/>
      <c r="M423" s="53"/>
      <c r="N423" s="53"/>
      <c r="O423" s="53"/>
      <c r="P423" s="53"/>
      <c r="Q423" s="53"/>
      <c r="R423" s="53"/>
      <c r="S423" s="53"/>
      <c r="T423" s="53"/>
      <c r="U423" s="53"/>
    </row>
    <row r="424" spans="1:21" ht="16.8" x14ac:dyDescent="0.65">
      <c r="A424" s="54"/>
      <c r="B424" s="53"/>
      <c r="C424" s="53"/>
      <c r="D424" s="53"/>
      <c r="E424" s="53"/>
      <c r="F424" s="53"/>
      <c r="G424" s="54"/>
      <c r="H424" s="53"/>
      <c r="I424" s="53"/>
      <c r="J424" s="53"/>
      <c r="K424" s="53"/>
      <c r="L424" s="53"/>
      <c r="M424" s="53"/>
      <c r="N424" s="53"/>
      <c r="O424" s="53"/>
      <c r="P424" s="53"/>
      <c r="Q424" s="53"/>
      <c r="R424" s="53"/>
      <c r="S424" s="53"/>
      <c r="T424" s="53"/>
      <c r="U424" s="53"/>
    </row>
    <row r="425" spans="1:21" ht="16.8" x14ac:dyDescent="0.65">
      <c r="A425" s="54"/>
      <c r="B425" s="53"/>
      <c r="C425" s="53"/>
      <c r="D425" s="53"/>
      <c r="E425" s="53"/>
      <c r="F425" s="53"/>
      <c r="G425" s="54"/>
      <c r="H425" s="53"/>
      <c r="I425" s="53"/>
      <c r="J425" s="53"/>
      <c r="K425" s="53"/>
      <c r="L425" s="53"/>
      <c r="M425" s="53"/>
      <c r="N425" s="53"/>
      <c r="O425" s="53"/>
      <c r="P425" s="53"/>
      <c r="Q425" s="53"/>
      <c r="R425" s="53"/>
      <c r="S425" s="53"/>
      <c r="T425" s="53"/>
      <c r="U425" s="53"/>
    </row>
    <row r="426" spans="1:21" ht="16.8" x14ac:dyDescent="0.65">
      <c r="A426" s="54"/>
      <c r="B426" s="53"/>
      <c r="C426" s="53"/>
      <c r="D426" s="53"/>
      <c r="E426" s="53"/>
      <c r="F426" s="53"/>
      <c r="G426" s="54"/>
      <c r="H426" s="53"/>
      <c r="I426" s="53"/>
      <c r="J426" s="53"/>
      <c r="K426" s="53"/>
      <c r="L426" s="53"/>
      <c r="M426" s="53"/>
      <c r="N426" s="53"/>
      <c r="O426" s="53"/>
      <c r="P426" s="53"/>
      <c r="Q426" s="53"/>
      <c r="R426" s="53"/>
      <c r="S426" s="53"/>
      <c r="T426" s="53"/>
      <c r="U426" s="53"/>
    </row>
    <row r="427" spans="1:21" ht="16.8" x14ac:dyDescent="0.65">
      <c r="A427" s="54"/>
      <c r="B427" s="53"/>
      <c r="C427" s="53"/>
      <c r="D427" s="53"/>
      <c r="E427" s="53"/>
      <c r="F427" s="53"/>
      <c r="G427" s="54"/>
      <c r="H427" s="53"/>
      <c r="I427" s="53"/>
      <c r="J427" s="53"/>
      <c r="K427" s="53"/>
      <c r="L427" s="53"/>
      <c r="M427" s="53"/>
      <c r="N427" s="53"/>
      <c r="O427" s="53"/>
      <c r="P427" s="53"/>
      <c r="Q427" s="53"/>
      <c r="R427" s="53"/>
      <c r="S427" s="53"/>
      <c r="T427" s="53"/>
      <c r="U427" s="53"/>
    </row>
    <row r="428" spans="1:21" ht="16.8" x14ac:dyDescent="0.65">
      <c r="A428" s="54"/>
      <c r="B428" s="53"/>
      <c r="C428" s="53"/>
      <c r="D428" s="53"/>
      <c r="E428" s="53"/>
      <c r="F428" s="53"/>
      <c r="G428" s="54"/>
      <c r="H428" s="53"/>
      <c r="I428" s="53"/>
      <c r="J428" s="53"/>
      <c r="K428" s="53"/>
      <c r="L428" s="53"/>
      <c r="M428" s="53"/>
      <c r="N428" s="53"/>
      <c r="O428" s="53"/>
      <c r="P428" s="53"/>
      <c r="Q428" s="53"/>
      <c r="R428" s="53"/>
      <c r="S428" s="53"/>
      <c r="T428" s="53"/>
      <c r="U428" s="53"/>
    </row>
    <row r="429" spans="1:21" ht="16.8" x14ac:dyDescent="0.65">
      <c r="A429" s="54"/>
      <c r="B429" s="53"/>
      <c r="C429" s="53"/>
      <c r="D429" s="53"/>
      <c r="E429" s="53"/>
      <c r="F429" s="53"/>
      <c r="G429" s="54"/>
      <c r="H429" s="53"/>
      <c r="I429" s="53"/>
      <c r="J429" s="53"/>
      <c r="K429" s="53"/>
      <c r="L429" s="53"/>
      <c r="M429" s="53"/>
      <c r="N429" s="53"/>
      <c r="O429" s="53"/>
      <c r="P429" s="53"/>
      <c r="Q429" s="53"/>
      <c r="R429" s="53"/>
      <c r="S429" s="53"/>
      <c r="T429" s="53"/>
      <c r="U429" s="53"/>
    </row>
    <row r="430" spans="1:21" ht="16.8" x14ac:dyDescent="0.65">
      <c r="A430" s="54"/>
      <c r="B430" s="53"/>
      <c r="C430" s="53"/>
      <c r="D430" s="53"/>
      <c r="E430" s="53"/>
      <c r="F430" s="53"/>
      <c r="G430" s="54"/>
      <c r="H430" s="53"/>
      <c r="I430" s="53"/>
      <c r="J430" s="53"/>
      <c r="K430" s="53"/>
      <c r="L430" s="53"/>
      <c r="M430" s="53"/>
      <c r="N430" s="53"/>
      <c r="O430" s="53"/>
      <c r="P430" s="53"/>
      <c r="Q430" s="53"/>
      <c r="R430" s="53"/>
      <c r="S430" s="53"/>
      <c r="T430" s="53"/>
      <c r="U430" s="53"/>
    </row>
    <row r="431" spans="1:21" ht="16.8" x14ac:dyDescent="0.65">
      <c r="A431" s="54"/>
      <c r="B431" s="53"/>
      <c r="C431" s="53"/>
      <c r="D431" s="53"/>
      <c r="E431" s="53"/>
      <c r="F431" s="53"/>
      <c r="G431" s="54"/>
      <c r="H431" s="53"/>
      <c r="I431" s="53"/>
      <c r="J431" s="53"/>
      <c r="K431" s="53"/>
      <c r="L431" s="53"/>
      <c r="M431" s="53"/>
      <c r="N431" s="53"/>
      <c r="O431" s="53"/>
      <c r="P431" s="53"/>
      <c r="Q431" s="53"/>
      <c r="R431" s="53"/>
      <c r="S431" s="53"/>
      <c r="T431" s="53"/>
      <c r="U431" s="53"/>
    </row>
    <row r="432" spans="1:21" ht="16.8" x14ac:dyDescent="0.65">
      <c r="A432" s="54"/>
      <c r="B432" s="53"/>
      <c r="C432" s="53"/>
      <c r="D432" s="53"/>
      <c r="E432" s="53"/>
      <c r="F432" s="53"/>
      <c r="G432" s="54"/>
      <c r="H432" s="53"/>
      <c r="I432" s="53"/>
      <c r="J432" s="53"/>
      <c r="K432" s="53"/>
      <c r="L432" s="53"/>
      <c r="M432" s="53"/>
      <c r="N432" s="53"/>
      <c r="O432" s="53"/>
      <c r="P432" s="53"/>
      <c r="Q432" s="53"/>
      <c r="R432" s="53"/>
      <c r="S432" s="53"/>
      <c r="T432" s="53"/>
      <c r="U432" s="53"/>
    </row>
    <row r="433" spans="1:21" ht="16.8" x14ac:dyDescent="0.65">
      <c r="A433" s="54"/>
      <c r="B433" s="53"/>
      <c r="C433" s="53"/>
      <c r="D433" s="53"/>
      <c r="E433" s="53"/>
      <c r="F433" s="53"/>
      <c r="G433" s="54"/>
      <c r="H433" s="53"/>
      <c r="I433" s="53"/>
      <c r="J433" s="53"/>
      <c r="K433" s="53"/>
      <c r="L433" s="53"/>
      <c r="M433" s="53"/>
      <c r="N433" s="53"/>
      <c r="O433" s="53"/>
      <c r="P433" s="53"/>
      <c r="Q433" s="53"/>
      <c r="R433" s="53"/>
      <c r="S433" s="53"/>
      <c r="T433" s="53"/>
      <c r="U433" s="53"/>
    </row>
    <row r="434" spans="1:21" ht="16.8" x14ac:dyDescent="0.65">
      <c r="A434" s="54"/>
      <c r="B434" s="53"/>
      <c r="C434" s="53"/>
      <c r="D434" s="53"/>
      <c r="E434" s="53"/>
      <c r="F434" s="53"/>
      <c r="G434" s="54"/>
      <c r="H434" s="53"/>
      <c r="I434" s="53"/>
      <c r="J434" s="53"/>
      <c r="K434" s="53"/>
      <c r="L434" s="53"/>
      <c r="M434" s="53"/>
      <c r="N434" s="53"/>
      <c r="O434" s="53"/>
      <c r="P434" s="53"/>
      <c r="Q434" s="53"/>
      <c r="R434" s="53"/>
      <c r="S434" s="53"/>
      <c r="T434" s="53"/>
      <c r="U434" s="53"/>
    </row>
    <row r="435" spans="1:21" ht="16.8" x14ac:dyDescent="0.65">
      <c r="A435" s="54"/>
      <c r="B435" s="53"/>
      <c r="C435" s="53"/>
      <c r="D435" s="53"/>
      <c r="E435" s="53"/>
      <c r="F435" s="53"/>
      <c r="G435" s="54"/>
      <c r="H435" s="53"/>
      <c r="I435" s="53"/>
      <c r="J435" s="53"/>
      <c r="K435" s="53"/>
      <c r="L435" s="53"/>
      <c r="M435" s="53"/>
      <c r="N435" s="53"/>
      <c r="O435" s="53"/>
      <c r="P435" s="53"/>
      <c r="Q435" s="53"/>
      <c r="R435" s="53"/>
      <c r="S435" s="53"/>
      <c r="T435" s="53"/>
      <c r="U435" s="53"/>
    </row>
    <row r="436" spans="1:21" ht="16.8" x14ac:dyDescent="0.65">
      <c r="A436" s="54"/>
      <c r="B436" s="53"/>
      <c r="C436" s="53"/>
      <c r="D436" s="53"/>
      <c r="E436" s="53"/>
      <c r="F436" s="53"/>
      <c r="G436" s="54"/>
      <c r="H436" s="53"/>
      <c r="I436" s="53"/>
      <c r="J436" s="53"/>
      <c r="K436" s="53"/>
      <c r="L436" s="53"/>
      <c r="M436" s="53"/>
      <c r="N436" s="53"/>
      <c r="O436" s="53"/>
      <c r="P436" s="53"/>
      <c r="Q436" s="53"/>
      <c r="R436" s="53"/>
      <c r="S436" s="53"/>
      <c r="T436" s="53"/>
      <c r="U436" s="53"/>
    </row>
    <row r="437" spans="1:21" ht="16.8" x14ac:dyDescent="0.65">
      <c r="A437" s="54"/>
      <c r="B437" s="53"/>
      <c r="C437" s="53"/>
      <c r="D437" s="53"/>
      <c r="E437" s="53"/>
      <c r="F437" s="53"/>
      <c r="G437" s="54"/>
      <c r="H437" s="53"/>
      <c r="I437" s="53"/>
      <c r="J437" s="53"/>
      <c r="K437" s="53"/>
      <c r="L437" s="53"/>
      <c r="M437" s="53"/>
      <c r="N437" s="53"/>
      <c r="O437" s="53"/>
      <c r="P437" s="53"/>
      <c r="Q437" s="53"/>
      <c r="R437" s="53"/>
      <c r="S437" s="53"/>
      <c r="T437" s="53"/>
      <c r="U437" s="53"/>
    </row>
    <row r="438" spans="1:21" ht="16.8" x14ac:dyDescent="0.65">
      <c r="A438" s="54"/>
      <c r="B438" s="53"/>
      <c r="C438" s="53"/>
      <c r="D438" s="53"/>
      <c r="E438" s="53"/>
      <c r="F438" s="53"/>
      <c r="G438" s="54"/>
      <c r="H438" s="53"/>
      <c r="I438" s="53"/>
      <c r="J438" s="53"/>
      <c r="K438" s="53"/>
      <c r="L438" s="53"/>
      <c r="M438" s="53"/>
      <c r="N438" s="53"/>
      <c r="O438" s="53"/>
      <c r="P438" s="53"/>
      <c r="Q438" s="53"/>
      <c r="R438" s="53"/>
      <c r="S438" s="53"/>
      <c r="T438" s="53"/>
      <c r="U438" s="53"/>
    </row>
    <row r="439" spans="1:21" ht="16.8" x14ac:dyDescent="0.65">
      <c r="A439" s="54"/>
      <c r="B439" s="53"/>
      <c r="C439" s="53"/>
      <c r="D439" s="53"/>
      <c r="E439" s="53"/>
      <c r="F439" s="53"/>
      <c r="G439" s="54"/>
      <c r="H439" s="53"/>
      <c r="I439" s="53"/>
      <c r="J439" s="53"/>
      <c r="K439" s="53"/>
      <c r="L439" s="53"/>
      <c r="M439" s="53"/>
      <c r="N439" s="53"/>
      <c r="O439" s="53"/>
      <c r="P439" s="53"/>
      <c r="Q439" s="53"/>
      <c r="R439" s="53"/>
      <c r="S439" s="53"/>
      <c r="T439" s="53"/>
      <c r="U439" s="53"/>
    </row>
    <row r="440" spans="1:21" ht="16.8" x14ac:dyDescent="0.65">
      <c r="A440" s="54"/>
      <c r="B440" s="53"/>
      <c r="C440" s="53"/>
      <c r="D440" s="53"/>
      <c r="E440" s="53"/>
      <c r="F440" s="53"/>
      <c r="G440" s="54"/>
      <c r="H440" s="53"/>
      <c r="I440" s="53"/>
      <c r="J440" s="53"/>
      <c r="K440" s="53"/>
      <c r="L440" s="53"/>
      <c r="M440" s="53"/>
      <c r="N440" s="53"/>
      <c r="O440" s="53"/>
      <c r="P440" s="53"/>
      <c r="Q440" s="53"/>
      <c r="R440" s="53"/>
      <c r="S440" s="53"/>
      <c r="T440" s="53"/>
      <c r="U440" s="53"/>
    </row>
    <row r="441" spans="1:21" ht="16.8" x14ac:dyDescent="0.65">
      <c r="A441" s="54"/>
      <c r="B441" s="53"/>
      <c r="C441" s="53"/>
      <c r="D441" s="53"/>
      <c r="E441" s="53"/>
      <c r="F441" s="53"/>
      <c r="G441" s="54"/>
      <c r="H441" s="53"/>
      <c r="I441" s="53"/>
      <c r="J441" s="53"/>
      <c r="K441" s="53"/>
      <c r="L441" s="53"/>
      <c r="M441" s="53"/>
      <c r="N441" s="53"/>
      <c r="O441" s="53"/>
      <c r="P441" s="53"/>
      <c r="Q441" s="53"/>
      <c r="R441" s="53"/>
      <c r="S441" s="53"/>
      <c r="T441" s="53"/>
      <c r="U441" s="53"/>
    </row>
    <row r="442" spans="1:21" ht="16.8" x14ac:dyDescent="0.65">
      <c r="A442" s="54"/>
      <c r="B442" s="53"/>
      <c r="C442" s="53"/>
      <c r="D442" s="53"/>
      <c r="E442" s="53"/>
      <c r="F442" s="53"/>
      <c r="G442" s="54"/>
      <c r="H442" s="53"/>
      <c r="I442" s="53"/>
      <c r="J442" s="53"/>
      <c r="K442" s="53"/>
      <c r="L442" s="53"/>
      <c r="M442" s="53"/>
      <c r="N442" s="53"/>
      <c r="O442" s="53"/>
      <c r="P442" s="53"/>
      <c r="Q442" s="53"/>
      <c r="R442" s="53"/>
      <c r="S442" s="53"/>
      <c r="T442" s="53"/>
      <c r="U442" s="53"/>
    </row>
    <row r="443" spans="1:21" ht="16.8" x14ac:dyDescent="0.65">
      <c r="A443" s="54"/>
      <c r="B443" s="53"/>
      <c r="C443" s="53"/>
      <c r="D443" s="53"/>
      <c r="E443" s="53"/>
      <c r="F443" s="53"/>
      <c r="G443" s="54"/>
      <c r="H443" s="53"/>
      <c r="I443" s="53"/>
      <c r="J443" s="53"/>
      <c r="K443" s="53"/>
      <c r="L443" s="53"/>
      <c r="M443" s="53"/>
      <c r="N443" s="53"/>
      <c r="O443" s="53"/>
      <c r="P443" s="53"/>
      <c r="Q443" s="53"/>
      <c r="R443" s="53"/>
      <c r="S443" s="53"/>
      <c r="T443" s="53"/>
      <c r="U443" s="53"/>
    </row>
    <row r="444" spans="1:21" ht="16.8" x14ac:dyDescent="0.65">
      <c r="A444" s="54"/>
      <c r="B444" s="53"/>
      <c r="C444" s="53"/>
      <c r="D444" s="53"/>
      <c r="E444" s="53"/>
      <c r="F444" s="53"/>
      <c r="G444" s="54"/>
      <c r="H444" s="53"/>
      <c r="I444" s="53"/>
      <c r="J444" s="53"/>
      <c r="K444" s="53"/>
      <c r="L444" s="53"/>
      <c r="M444" s="53"/>
      <c r="N444" s="53"/>
      <c r="O444" s="53"/>
      <c r="P444" s="53"/>
      <c r="Q444" s="53"/>
      <c r="R444" s="53"/>
      <c r="S444" s="53"/>
      <c r="T444" s="53"/>
      <c r="U444" s="53"/>
    </row>
    <row r="445" spans="1:21" ht="16.8" x14ac:dyDescent="0.65">
      <c r="A445" s="54"/>
      <c r="B445" s="53"/>
      <c r="C445" s="53"/>
      <c r="D445" s="53"/>
      <c r="E445" s="53"/>
      <c r="F445" s="53"/>
      <c r="G445" s="54"/>
      <c r="H445" s="53"/>
      <c r="I445" s="53"/>
      <c r="J445" s="53"/>
      <c r="K445" s="53"/>
      <c r="L445" s="53"/>
      <c r="M445" s="53"/>
      <c r="N445" s="53"/>
      <c r="O445" s="53"/>
      <c r="P445" s="53"/>
      <c r="Q445" s="53"/>
      <c r="R445" s="53"/>
      <c r="S445" s="53"/>
      <c r="T445" s="53"/>
      <c r="U445" s="53"/>
    </row>
    <row r="446" spans="1:21" ht="16.8" x14ac:dyDescent="0.65">
      <c r="A446" s="54"/>
      <c r="B446" s="53"/>
      <c r="C446" s="53"/>
      <c r="D446" s="53"/>
      <c r="E446" s="53"/>
      <c r="F446" s="53"/>
      <c r="G446" s="54"/>
      <c r="H446" s="53"/>
      <c r="I446" s="53"/>
      <c r="J446" s="53"/>
      <c r="K446" s="53"/>
      <c r="L446" s="53"/>
      <c r="M446" s="53"/>
      <c r="N446" s="53"/>
      <c r="O446" s="53"/>
      <c r="P446" s="53"/>
      <c r="Q446" s="53"/>
      <c r="R446" s="53"/>
      <c r="S446" s="53"/>
      <c r="T446" s="53"/>
      <c r="U446" s="53"/>
    </row>
    <row r="447" spans="1:21" ht="16.8" x14ac:dyDescent="0.65">
      <c r="A447" s="54"/>
      <c r="B447" s="53"/>
      <c r="C447" s="53"/>
      <c r="D447" s="53"/>
      <c r="E447" s="53"/>
      <c r="F447" s="53"/>
      <c r="G447" s="54"/>
      <c r="H447" s="53"/>
      <c r="I447" s="53"/>
      <c r="J447" s="53"/>
      <c r="K447" s="53"/>
      <c r="L447" s="53"/>
      <c r="M447" s="53"/>
      <c r="N447" s="53"/>
      <c r="O447" s="53"/>
      <c r="P447" s="53"/>
      <c r="Q447" s="53"/>
      <c r="R447" s="53"/>
      <c r="S447" s="53"/>
      <c r="T447" s="53"/>
      <c r="U447" s="53"/>
    </row>
    <row r="448" spans="1:21" ht="16.8" x14ac:dyDescent="0.65">
      <c r="A448" s="54"/>
      <c r="B448" s="53"/>
      <c r="C448" s="53"/>
      <c r="D448" s="53"/>
      <c r="E448" s="53"/>
      <c r="F448" s="53"/>
      <c r="G448" s="54"/>
      <c r="H448" s="53"/>
      <c r="I448" s="53"/>
      <c r="J448" s="53"/>
      <c r="K448" s="53"/>
      <c r="L448" s="53"/>
      <c r="M448" s="53"/>
      <c r="N448" s="53"/>
      <c r="O448" s="53"/>
      <c r="P448" s="53"/>
      <c r="Q448" s="53"/>
      <c r="R448" s="53"/>
      <c r="S448" s="53"/>
      <c r="T448" s="53"/>
      <c r="U448" s="53"/>
    </row>
    <row r="449" spans="1:21" ht="16.8" x14ac:dyDescent="0.65">
      <c r="A449" s="54"/>
      <c r="B449" s="53"/>
      <c r="C449" s="53"/>
      <c r="D449" s="53"/>
      <c r="E449" s="53"/>
      <c r="F449" s="53"/>
      <c r="G449" s="54"/>
      <c r="H449" s="53"/>
      <c r="I449" s="53"/>
      <c r="J449" s="53"/>
      <c r="K449" s="53"/>
      <c r="L449" s="53"/>
      <c r="M449" s="53"/>
      <c r="N449" s="53"/>
      <c r="O449" s="53"/>
      <c r="P449" s="53"/>
      <c r="Q449" s="53"/>
      <c r="R449" s="53"/>
      <c r="S449" s="53"/>
      <c r="T449" s="53"/>
      <c r="U449" s="53"/>
    </row>
    <row r="450" spans="1:21" ht="16.8" x14ac:dyDescent="0.65">
      <c r="A450" s="54"/>
      <c r="B450" s="53"/>
      <c r="C450" s="53"/>
      <c r="D450" s="53"/>
      <c r="E450" s="53"/>
      <c r="F450" s="53"/>
      <c r="G450" s="54"/>
      <c r="H450" s="53"/>
      <c r="I450" s="53"/>
      <c r="J450" s="53"/>
      <c r="K450" s="53"/>
      <c r="L450" s="53"/>
      <c r="M450" s="53"/>
      <c r="N450" s="53"/>
      <c r="O450" s="53"/>
      <c r="P450" s="53"/>
      <c r="Q450" s="53"/>
      <c r="R450" s="53"/>
      <c r="S450" s="53"/>
      <c r="T450" s="53"/>
      <c r="U450" s="53"/>
    </row>
    <row r="451" spans="1:21" ht="16.8" x14ac:dyDescent="0.65">
      <c r="A451" s="54"/>
      <c r="B451" s="53"/>
      <c r="C451" s="53"/>
      <c r="D451" s="53"/>
      <c r="E451" s="53"/>
      <c r="F451" s="53"/>
      <c r="G451" s="54"/>
      <c r="H451" s="53"/>
      <c r="I451" s="53"/>
      <c r="J451" s="53"/>
      <c r="K451" s="53"/>
      <c r="L451" s="53"/>
      <c r="M451" s="53"/>
      <c r="N451" s="53"/>
      <c r="O451" s="53"/>
      <c r="P451" s="53"/>
      <c r="Q451" s="53"/>
      <c r="R451" s="53"/>
      <c r="S451" s="53"/>
      <c r="T451" s="53"/>
      <c r="U451" s="53"/>
    </row>
    <row r="452" spans="1:21" ht="16.8" x14ac:dyDescent="0.65">
      <c r="A452" s="54"/>
      <c r="B452" s="53"/>
      <c r="C452" s="53"/>
      <c r="D452" s="53"/>
      <c r="E452" s="53"/>
      <c r="F452" s="53"/>
      <c r="G452" s="54"/>
      <c r="H452" s="53"/>
      <c r="I452" s="53"/>
      <c r="J452" s="53"/>
      <c r="K452" s="53"/>
      <c r="L452" s="53"/>
      <c r="M452" s="53"/>
      <c r="N452" s="53"/>
      <c r="O452" s="53"/>
      <c r="P452" s="53"/>
      <c r="Q452" s="53"/>
      <c r="R452" s="53"/>
      <c r="S452" s="53"/>
      <c r="T452" s="53"/>
      <c r="U452" s="53"/>
    </row>
    <row r="453" spans="1:21" ht="16.8" x14ac:dyDescent="0.65">
      <c r="A453" s="54"/>
      <c r="B453" s="53"/>
      <c r="C453" s="53"/>
      <c r="D453" s="53"/>
      <c r="E453" s="53"/>
      <c r="F453" s="53"/>
      <c r="G453" s="54"/>
      <c r="H453" s="53"/>
      <c r="I453" s="53"/>
      <c r="J453" s="53"/>
      <c r="K453" s="53"/>
      <c r="L453" s="53"/>
      <c r="M453" s="53"/>
      <c r="N453" s="53"/>
      <c r="O453" s="53"/>
      <c r="P453" s="53"/>
      <c r="Q453" s="53"/>
      <c r="R453" s="53"/>
      <c r="S453" s="53"/>
      <c r="T453" s="53"/>
      <c r="U453" s="53"/>
    </row>
    <row r="454" spans="1:21" ht="16.8" x14ac:dyDescent="0.65">
      <c r="A454" s="54"/>
      <c r="B454" s="53"/>
      <c r="C454" s="53"/>
      <c r="D454" s="53"/>
      <c r="E454" s="53"/>
      <c r="F454" s="53"/>
      <c r="G454" s="54"/>
      <c r="H454" s="53"/>
      <c r="I454" s="53"/>
      <c r="J454" s="53"/>
      <c r="K454" s="53"/>
      <c r="L454" s="53"/>
      <c r="M454" s="53"/>
      <c r="N454" s="53"/>
      <c r="O454" s="53"/>
      <c r="P454" s="53"/>
      <c r="Q454" s="53"/>
      <c r="R454" s="53"/>
      <c r="S454" s="53"/>
      <c r="T454" s="53"/>
      <c r="U454" s="53"/>
    </row>
    <row r="455" spans="1:21" ht="16.8" x14ac:dyDescent="0.65">
      <c r="A455" s="54"/>
      <c r="B455" s="53"/>
      <c r="C455" s="53"/>
      <c r="D455" s="53"/>
      <c r="E455" s="53"/>
      <c r="F455" s="53"/>
      <c r="G455" s="54"/>
      <c r="H455" s="53"/>
      <c r="I455" s="53"/>
      <c r="J455" s="53"/>
      <c r="K455" s="53"/>
      <c r="L455" s="53"/>
      <c r="M455" s="53"/>
      <c r="N455" s="53"/>
      <c r="O455" s="53"/>
      <c r="P455" s="53"/>
      <c r="Q455" s="53"/>
      <c r="R455" s="53"/>
      <c r="S455" s="53"/>
      <c r="T455" s="53"/>
      <c r="U455" s="53"/>
    </row>
    <row r="456" spans="1:21" ht="16.8" x14ac:dyDescent="0.65">
      <c r="A456" s="54"/>
      <c r="B456" s="53"/>
      <c r="C456" s="53"/>
      <c r="D456" s="53"/>
      <c r="E456" s="53"/>
      <c r="F456" s="53"/>
      <c r="G456" s="54"/>
      <c r="H456" s="53"/>
      <c r="I456" s="53"/>
      <c r="J456" s="53"/>
      <c r="K456" s="53"/>
      <c r="L456" s="53"/>
      <c r="M456" s="53"/>
      <c r="N456" s="53"/>
      <c r="O456" s="53"/>
      <c r="P456" s="53"/>
      <c r="Q456" s="53"/>
      <c r="R456" s="53"/>
      <c r="S456" s="53"/>
      <c r="T456" s="53"/>
      <c r="U456" s="53"/>
    </row>
    <row r="457" spans="1:21" ht="16.8" x14ac:dyDescent="0.65">
      <c r="A457" s="54"/>
      <c r="B457" s="53"/>
      <c r="C457" s="53"/>
      <c r="D457" s="53"/>
      <c r="E457" s="53"/>
      <c r="F457" s="53"/>
      <c r="G457" s="54"/>
      <c r="H457" s="53"/>
      <c r="I457" s="53"/>
      <c r="J457" s="53"/>
      <c r="K457" s="53"/>
      <c r="L457" s="53"/>
      <c r="M457" s="53"/>
      <c r="N457" s="53"/>
      <c r="O457" s="53"/>
      <c r="P457" s="53"/>
      <c r="Q457" s="53"/>
      <c r="R457" s="53"/>
      <c r="S457" s="53"/>
      <c r="T457" s="53"/>
      <c r="U457" s="53"/>
    </row>
    <row r="458" spans="1:21" ht="16.8" x14ac:dyDescent="0.65">
      <c r="A458" s="54"/>
      <c r="B458" s="53"/>
      <c r="C458" s="53"/>
      <c r="D458" s="53"/>
      <c r="E458" s="53"/>
      <c r="F458" s="53"/>
      <c r="G458" s="54"/>
      <c r="H458" s="53"/>
      <c r="I458" s="53"/>
      <c r="J458" s="53"/>
      <c r="K458" s="53"/>
      <c r="L458" s="53"/>
      <c r="M458" s="53"/>
      <c r="N458" s="53"/>
      <c r="O458" s="53"/>
      <c r="P458" s="53"/>
      <c r="Q458" s="53"/>
      <c r="R458" s="53"/>
      <c r="S458" s="53"/>
      <c r="T458" s="53"/>
      <c r="U458" s="53"/>
    </row>
    <row r="459" spans="1:21" ht="16.8" x14ac:dyDescent="0.65">
      <c r="A459" s="54"/>
      <c r="B459" s="53"/>
      <c r="C459" s="53"/>
      <c r="D459" s="53"/>
      <c r="E459" s="53"/>
      <c r="F459" s="53"/>
      <c r="G459" s="54"/>
      <c r="H459" s="53"/>
      <c r="I459" s="53"/>
      <c r="J459" s="53"/>
      <c r="K459" s="53"/>
      <c r="L459" s="53"/>
      <c r="M459" s="53"/>
      <c r="N459" s="53"/>
      <c r="O459" s="53"/>
      <c r="P459" s="53"/>
      <c r="Q459" s="53"/>
      <c r="R459" s="53"/>
      <c r="S459" s="53"/>
      <c r="T459" s="53"/>
      <c r="U459" s="53"/>
    </row>
    <row r="460" spans="1:21" ht="16.8" x14ac:dyDescent="0.65">
      <c r="A460" s="54"/>
      <c r="B460" s="53"/>
      <c r="C460" s="53"/>
      <c r="D460" s="53"/>
      <c r="E460" s="53"/>
      <c r="F460" s="53"/>
      <c r="G460" s="54"/>
      <c r="H460" s="53"/>
      <c r="I460" s="53"/>
      <c r="J460" s="53"/>
      <c r="K460" s="53"/>
      <c r="L460" s="53"/>
      <c r="M460" s="53"/>
      <c r="N460" s="53"/>
      <c r="O460" s="53"/>
      <c r="P460" s="53"/>
      <c r="Q460" s="53"/>
      <c r="R460" s="53"/>
      <c r="S460" s="53"/>
      <c r="T460" s="53"/>
      <c r="U460" s="53"/>
    </row>
    <row r="461" spans="1:21" ht="16.8" x14ac:dyDescent="0.65">
      <c r="A461" s="54"/>
      <c r="B461" s="53"/>
      <c r="C461" s="53"/>
      <c r="D461" s="53"/>
      <c r="E461" s="53"/>
      <c r="F461" s="53"/>
      <c r="G461" s="54"/>
      <c r="H461" s="53"/>
      <c r="I461" s="53"/>
      <c r="J461" s="53"/>
      <c r="K461" s="53"/>
      <c r="L461" s="53"/>
      <c r="M461" s="53"/>
      <c r="N461" s="53"/>
      <c r="O461" s="53"/>
      <c r="P461" s="53"/>
      <c r="Q461" s="53"/>
      <c r="R461" s="53"/>
      <c r="S461" s="53"/>
      <c r="T461" s="53"/>
      <c r="U461" s="53"/>
    </row>
    <row r="462" spans="1:21" ht="16.8" x14ac:dyDescent="0.65">
      <c r="A462" s="54"/>
      <c r="B462" s="53"/>
      <c r="C462" s="53"/>
      <c r="D462" s="53"/>
      <c r="E462" s="53"/>
      <c r="F462" s="53"/>
      <c r="G462" s="54"/>
      <c r="H462" s="53"/>
      <c r="I462" s="53"/>
      <c r="J462" s="53"/>
      <c r="K462" s="53"/>
      <c r="L462" s="53"/>
      <c r="M462" s="53"/>
      <c r="N462" s="53"/>
      <c r="O462" s="53"/>
      <c r="P462" s="53"/>
      <c r="Q462" s="53"/>
      <c r="R462" s="53"/>
      <c r="S462" s="53"/>
      <c r="T462" s="53"/>
      <c r="U462" s="53"/>
    </row>
    <row r="463" spans="1:21" ht="16.8" x14ac:dyDescent="0.65">
      <c r="A463" s="54"/>
      <c r="B463" s="53"/>
      <c r="C463" s="53"/>
      <c r="D463" s="53"/>
      <c r="E463" s="53"/>
      <c r="F463" s="53"/>
      <c r="G463" s="54"/>
      <c r="H463" s="53"/>
      <c r="I463" s="53"/>
      <c r="J463" s="53"/>
      <c r="K463" s="53"/>
      <c r="L463" s="53"/>
      <c r="M463" s="53"/>
      <c r="N463" s="53"/>
      <c r="O463" s="53"/>
      <c r="P463" s="53"/>
      <c r="Q463" s="53"/>
      <c r="R463" s="53"/>
      <c r="S463" s="53"/>
      <c r="T463" s="53"/>
      <c r="U463" s="53"/>
    </row>
    <row r="464" spans="1:21" ht="16.8" x14ac:dyDescent="0.65">
      <c r="A464" s="54"/>
      <c r="B464" s="53"/>
      <c r="C464" s="53"/>
      <c r="D464" s="53"/>
      <c r="E464" s="53"/>
      <c r="F464" s="53"/>
      <c r="G464" s="54"/>
      <c r="H464" s="53"/>
      <c r="I464" s="53"/>
      <c r="J464" s="53"/>
      <c r="K464" s="53"/>
      <c r="L464" s="53"/>
      <c r="M464" s="53"/>
      <c r="N464" s="53"/>
      <c r="O464" s="53"/>
      <c r="P464" s="53"/>
      <c r="Q464" s="53"/>
      <c r="R464" s="53"/>
      <c r="S464" s="53"/>
      <c r="T464" s="53"/>
      <c r="U464" s="53"/>
    </row>
    <row r="465" spans="1:21" ht="16.8" x14ac:dyDescent="0.65">
      <c r="A465" s="54"/>
      <c r="B465" s="53"/>
      <c r="C465" s="53"/>
      <c r="D465" s="53"/>
      <c r="E465" s="53"/>
      <c r="F465" s="53"/>
      <c r="G465" s="54"/>
      <c r="H465" s="53"/>
      <c r="I465" s="53"/>
      <c r="J465" s="53"/>
      <c r="K465" s="53"/>
      <c r="L465" s="53"/>
      <c r="M465" s="53"/>
      <c r="N465" s="53"/>
      <c r="O465" s="53"/>
      <c r="P465" s="53"/>
      <c r="Q465" s="53"/>
      <c r="R465" s="53"/>
      <c r="S465" s="53"/>
      <c r="T465" s="53"/>
      <c r="U465" s="53"/>
    </row>
    <row r="466" spans="1:21" ht="16.8" x14ac:dyDescent="0.65">
      <c r="A466" s="54"/>
      <c r="B466" s="53"/>
      <c r="C466" s="53"/>
      <c r="D466" s="53"/>
      <c r="E466" s="53"/>
      <c r="F466" s="53"/>
      <c r="G466" s="54"/>
      <c r="H466" s="53"/>
      <c r="I466" s="53"/>
      <c r="J466" s="53"/>
      <c r="K466" s="53"/>
      <c r="L466" s="53"/>
      <c r="M466" s="53"/>
      <c r="N466" s="53"/>
      <c r="O466" s="53"/>
      <c r="P466" s="53"/>
      <c r="Q466" s="53"/>
      <c r="R466" s="53"/>
      <c r="S466" s="53"/>
      <c r="T466" s="53"/>
      <c r="U466" s="53"/>
    </row>
    <row r="467" spans="1:21" ht="16.8" x14ac:dyDescent="0.65">
      <c r="A467" s="54"/>
      <c r="B467" s="53"/>
      <c r="C467" s="53"/>
      <c r="D467" s="53"/>
      <c r="E467" s="53"/>
      <c r="F467" s="53"/>
      <c r="G467" s="54"/>
      <c r="H467" s="53"/>
      <c r="I467" s="53"/>
      <c r="J467" s="53"/>
      <c r="K467" s="53"/>
      <c r="L467" s="53"/>
      <c r="M467" s="53"/>
      <c r="N467" s="53"/>
      <c r="O467" s="53"/>
      <c r="P467" s="53"/>
      <c r="Q467" s="53"/>
      <c r="R467" s="53"/>
      <c r="S467" s="53"/>
      <c r="T467" s="53"/>
      <c r="U467" s="53"/>
    </row>
    <row r="468" spans="1:21" ht="16.8" x14ac:dyDescent="0.65">
      <c r="A468" s="54"/>
      <c r="B468" s="53"/>
      <c r="C468" s="53"/>
      <c r="D468" s="53"/>
      <c r="E468" s="53"/>
      <c r="F468" s="53"/>
      <c r="G468" s="54"/>
      <c r="H468" s="53"/>
      <c r="I468" s="53"/>
      <c r="J468" s="53"/>
      <c r="K468" s="53"/>
      <c r="L468" s="53"/>
      <c r="M468" s="53"/>
      <c r="N468" s="53"/>
      <c r="O468" s="53"/>
      <c r="P468" s="53"/>
      <c r="Q468" s="53"/>
      <c r="R468" s="53"/>
      <c r="S468" s="53"/>
      <c r="T468" s="53"/>
      <c r="U468" s="53"/>
    </row>
    <row r="469" spans="1:21" ht="16.8" x14ac:dyDescent="0.65">
      <c r="A469" s="54"/>
      <c r="B469" s="53"/>
      <c r="C469" s="53"/>
      <c r="D469" s="53"/>
      <c r="E469" s="53"/>
      <c r="F469" s="53"/>
      <c r="G469" s="54"/>
      <c r="H469" s="53"/>
      <c r="I469" s="53"/>
      <c r="J469" s="53"/>
      <c r="K469" s="53"/>
      <c r="L469" s="53"/>
      <c r="M469" s="53"/>
      <c r="N469" s="53"/>
      <c r="O469" s="53"/>
      <c r="P469" s="53"/>
      <c r="Q469" s="53"/>
      <c r="R469" s="53"/>
      <c r="S469" s="53"/>
      <c r="T469" s="53"/>
      <c r="U469" s="53"/>
    </row>
    <row r="470" spans="1:21" ht="16.8" x14ac:dyDescent="0.65">
      <c r="A470" s="54"/>
      <c r="B470" s="53"/>
      <c r="C470" s="53"/>
      <c r="D470" s="53"/>
      <c r="E470" s="53"/>
      <c r="F470" s="53"/>
      <c r="G470" s="54"/>
      <c r="H470" s="53"/>
      <c r="I470" s="53"/>
      <c r="J470" s="53"/>
      <c r="K470" s="53"/>
      <c r="L470" s="53"/>
      <c r="M470" s="53"/>
      <c r="N470" s="53"/>
      <c r="O470" s="53"/>
      <c r="P470" s="53"/>
      <c r="Q470" s="53"/>
      <c r="R470" s="53"/>
      <c r="S470" s="53"/>
      <c r="T470" s="53"/>
      <c r="U470" s="53"/>
    </row>
    <row r="471" spans="1:21" ht="16.8" x14ac:dyDescent="0.65">
      <c r="A471" s="54"/>
      <c r="B471" s="53"/>
      <c r="C471" s="53"/>
      <c r="D471" s="53"/>
      <c r="E471" s="53"/>
      <c r="F471" s="53"/>
      <c r="G471" s="54"/>
      <c r="H471" s="53"/>
      <c r="I471" s="53"/>
      <c r="J471" s="53"/>
      <c r="K471" s="53"/>
      <c r="L471" s="53"/>
      <c r="M471" s="53"/>
      <c r="N471" s="53"/>
      <c r="O471" s="53"/>
      <c r="P471" s="53"/>
      <c r="Q471" s="53"/>
      <c r="R471" s="53"/>
      <c r="S471" s="53"/>
      <c r="T471" s="53"/>
      <c r="U471" s="53"/>
    </row>
    <row r="472" spans="1:21" ht="16.8" x14ac:dyDescent="0.65">
      <c r="A472" s="54"/>
      <c r="B472" s="53"/>
      <c r="C472" s="53"/>
      <c r="D472" s="53"/>
      <c r="E472" s="53"/>
      <c r="F472" s="53"/>
      <c r="G472" s="54"/>
      <c r="H472" s="53"/>
      <c r="I472" s="53"/>
      <c r="J472" s="53"/>
      <c r="K472" s="53"/>
      <c r="L472" s="53"/>
      <c r="M472" s="53"/>
      <c r="N472" s="53"/>
      <c r="O472" s="53"/>
      <c r="P472" s="53"/>
      <c r="Q472" s="53"/>
      <c r="R472" s="53"/>
      <c r="S472" s="53"/>
      <c r="T472" s="53"/>
      <c r="U472" s="53"/>
    </row>
    <row r="473" spans="1:21" ht="16.8" x14ac:dyDescent="0.65">
      <c r="A473" s="54"/>
      <c r="B473" s="53"/>
      <c r="C473" s="53"/>
      <c r="D473" s="53"/>
      <c r="E473" s="53"/>
      <c r="F473" s="53"/>
      <c r="G473" s="54"/>
      <c r="H473" s="53"/>
      <c r="I473" s="53"/>
      <c r="J473" s="53"/>
      <c r="K473" s="53"/>
      <c r="L473" s="53"/>
      <c r="M473" s="53"/>
      <c r="N473" s="53"/>
      <c r="O473" s="53"/>
      <c r="P473" s="53"/>
      <c r="Q473" s="53"/>
      <c r="R473" s="53"/>
      <c r="S473" s="53"/>
      <c r="T473" s="53"/>
      <c r="U473" s="53"/>
    </row>
    <row r="474" spans="1:21" ht="16.8" x14ac:dyDescent="0.65">
      <c r="A474" s="54"/>
      <c r="B474" s="53"/>
      <c r="C474" s="53"/>
      <c r="D474" s="53"/>
      <c r="E474" s="53"/>
      <c r="F474" s="53"/>
      <c r="G474" s="54"/>
      <c r="H474" s="53"/>
      <c r="I474" s="53"/>
      <c r="J474" s="53"/>
      <c r="K474" s="53"/>
      <c r="L474" s="53"/>
      <c r="M474" s="53"/>
      <c r="N474" s="53"/>
      <c r="O474" s="53"/>
      <c r="P474" s="53"/>
      <c r="Q474" s="53"/>
      <c r="R474" s="53"/>
      <c r="S474" s="53"/>
      <c r="T474" s="53"/>
      <c r="U474" s="53"/>
    </row>
    <row r="475" spans="1:21" ht="16.8" x14ac:dyDescent="0.65">
      <c r="A475" s="54"/>
      <c r="B475" s="53"/>
      <c r="C475" s="53"/>
      <c r="D475" s="53"/>
      <c r="E475" s="53"/>
      <c r="F475" s="53"/>
      <c r="G475" s="54"/>
      <c r="H475" s="53"/>
      <c r="I475" s="53"/>
      <c r="J475" s="53"/>
      <c r="K475" s="53"/>
      <c r="L475" s="53"/>
      <c r="M475" s="53"/>
      <c r="N475" s="53"/>
      <c r="O475" s="53"/>
      <c r="P475" s="53"/>
      <c r="Q475" s="53"/>
      <c r="R475" s="53"/>
      <c r="S475" s="53"/>
      <c r="T475" s="53"/>
      <c r="U475" s="53"/>
    </row>
    <row r="476" spans="1:21" ht="16.8" x14ac:dyDescent="0.65">
      <c r="A476" s="54"/>
      <c r="B476" s="53"/>
      <c r="C476" s="53"/>
      <c r="D476" s="53"/>
      <c r="E476" s="53"/>
      <c r="F476" s="53"/>
      <c r="G476" s="54"/>
      <c r="H476" s="53"/>
      <c r="I476" s="53"/>
      <c r="J476" s="53"/>
      <c r="K476" s="53"/>
      <c r="L476" s="53"/>
      <c r="M476" s="53"/>
      <c r="N476" s="53"/>
      <c r="O476" s="53"/>
      <c r="P476" s="53"/>
      <c r="Q476" s="53"/>
      <c r="R476" s="53"/>
      <c r="S476" s="53"/>
      <c r="T476" s="53"/>
      <c r="U476" s="53"/>
    </row>
    <row r="477" spans="1:21" ht="16.8" x14ac:dyDescent="0.65">
      <c r="A477" s="54"/>
      <c r="B477" s="53"/>
      <c r="C477" s="53"/>
      <c r="D477" s="53"/>
      <c r="E477" s="53"/>
      <c r="F477" s="53"/>
      <c r="G477" s="54"/>
      <c r="H477" s="53"/>
      <c r="I477" s="53"/>
      <c r="J477" s="53"/>
      <c r="K477" s="53"/>
      <c r="L477" s="53"/>
      <c r="M477" s="53"/>
      <c r="N477" s="53"/>
      <c r="O477" s="53"/>
      <c r="P477" s="53"/>
      <c r="Q477" s="53"/>
      <c r="R477" s="53"/>
      <c r="S477" s="53"/>
      <c r="T477" s="53"/>
      <c r="U477" s="53"/>
    </row>
    <row r="478" spans="1:21" ht="16.8" x14ac:dyDescent="0.65">
      <c r="A478" s="54"/>
      <c r="B478" s="53"/>
      <c r="C478" s="53"/>
      <c r="D478" s="53"/>
      <c r="E478" s="53"/>
      <c r="F478" s="53"/>
      <c r="G478" s="54"/>
      <c r="H478" s="53"/>
      <c r="I478" s="53"/>
      <c r="J478" s="53"/>
      <c r="K478" s="53"/>
      <c r="L478" s="53"/>
      <c r="M478" s="53"/>
      <c r="N478" s="53"/>
      <c r="O478" s="53"/>
      <c r="P478" s="53"/>
      <c r="Q478" s="53"/>
      <c r="R478" s="53"/>
      <c r="S478" s="53"/>
      <c r="T478" s="53"/>
      <c r="U478" s="53"/>
    </row>
    <row r="479" spans="1:21" ht="16.8" x14ac:dyDescent="0.65">
      <c r="A479" s="54"/>
      <c r="B479" s="53"/>
      <c r="C479" s="53"/>
      <c r="D479" s="53"/>
      <c r="E479" s="53"/>
      <c r="F479" s="53"/>
      <c r="G479" s="54"/>
      <c r="H479" s="53"/>
      <c r="I479" s="53"/>
      <c r="J479" s="53"/>
      <c r="K479" s="53"/>
      <c r="L479" s="53"/>
      <c r="M479" s="53"/>
      <c r="N479" s="53"/>
      <c r="O479" s="53"/>
      <c r="P479" s="53"/>
      <c r="Q479" s="53"/>
      <c r="R479" s="53"/>
      <c r="S479" s="53"/>
      <c r="T479" s="53"/>
      <c r="U479" s="53"/>
    </row>
    <row r="480" spans="1:21" ht="16.8" x14ac:dyDescent="0.65">
      <c r="A480" s="54"/>
      <c r="B480" s="53"/>
      <c r="C480" s="53"/>
      <c r="D480" s="53"/>
      <c r="E480" s="53"/>
      <c r="F480" s="53"/>
      <c r="G480" s="54"/>
      <c r="H480" s="53"/>
      <c r="I480" s="53"/>
      <c r="J480" s="53"/>
      <c r="K480" s="53"/>
      <c r="L480" s="53"/>
      <c r="M480" s="53"/>
      <c r="N480" s="53"/>
      <c r="O480" s="53"/>
      <c r="P480" s="53"/>
      <c r="Q480" s="53"/>
      <c r="R480" s="53"/>
      <c r="S480" s="53"/>
      <c r="T480" s="53"/>
      <c r="U480" s="53"/>
    </row>
    <row r="481" spans="1:21" ht="16.8" x14ac:dyDescent="0.65">
      <c r="A481" s="54"/>
      <c r="B481" s="53"/>
      <c r="C481" s="53"/>
      <c r="D481" s="53"/>
      <c r="E481" s="53"/>
      <c r="F481" s="53"/>
      <c r="G481" s="54"/>
      <c r="H481" s="53"/>
      <c r="I481" s="53"/>
      <c r="J481" s="53"/>
      <c r="K481" s="53"/>
      <c r="L481" s="53"/>
      <c r="M481" s="53"/>
      <c r="N481" s="53"/>
      <c r="O481" s="53"/>
      <c r="P481" s="53"/>
      <c r="Q481" s="53"/>
      <c r="R481" s="53"/>
      <c r="S481" s="53"/>
      <c r="T481" s="53"/>
      <c r="U481" s="53"/>
    </row>
    <row r="482" spans="1:21" ht="16.8" x14ac:dyDescent="0.65">
      <c r="A482" s="54"/>
      <c r="B482" s="53"/>
      <c r="C482" s="53"/>
      <c r="D482" s="53"/>
      <c r="E482" s="53"/>
      <c r="F482" s="53"/>
      <c r="G482" s="54"/>
      <c r="H482" s="53"/>
      <c r="I482" s="53"/>
      <c r="J482" s="53"/>
      <c r="K482" s="53"/>
      <c r="L482" s="53"/>
      <c r="M482" s="53"/>
      <c r="N482" s="53"/>
      <c r="O482" s="53"/>
      <c r="P482" s="53"/>
      <c r="Q482" s="53"/>
      <c r="R482" s="53"/>
      <c r="S482" s="53"/>
      <c r="T482" s="53"/>
      <c r="U482" s="53"/>
    </row>
    <row r="483" spans="1:21" ht="16.8" x14ac:dyDescent="0.65">
      <c r="A483" s="54"/>
      <c r="B483" s="53"/>
      <c r="C483" s="53"/>
      <c r="D483" s="53"/>
      <c r="E483" s="53"/>
      <c r="F483" s="53"/>
      <c r="G483" s="54"/>
      <c r="H483" s="53"/>
      <c r="I483" s="53"/>
      <c r="J483" s="53"/>
      <c r="K483" s="53"/>
      <c r="L483" s="53"/>
      <c r="M483" s="53"/>
      <c r="N483" s="53"/>
      <c r="O483" s="53"/>
      <c r="P483" s="53"/>
      <c r="Q483" s="53"/>
      <c r="R483" s="53"/>
      <c r="S483" s="53"/>
      <c r="T483" s="53"/>
      <c r="U483" s="53"/>
    </row>
    <row r="484" spans="1:21" ht="16.8" x14ac:dyDescent="0.65">
      <c r="A484" s="54"/>
      <c r="B484" s="53"/>
      <c r="C484" s="53"/>
      <c r="D484" s="53"/>
      <c r="E484" s="53"/>
      <c r="F484" s="53"/>
      <c r="G484" s="54"/>
      <c r="H484" s="53"/>
      <c r="I484" s="53"/>
      <c r="J484" s="53"/>
      <c r="K484" s="53"/>
      <c r="L484" s="53"/>
      <c r="M484" s="53"/>
      <c r="N484" s="53"/>
      <c r="O484" s="53"/>
      <c r="P484" s="53"/>
      <c r="Q484" s="53"/>
      <c r="R484" s="53"/>
      <c r="S484" s="53"/>
      <c r="T484" s="53"/>
      <c r="U484" s="53"/>
    </row>
    <row r="485" spans="1:21" ht="16.8" x14ac:dyDescent="0.65">
      <c r="A485" s="54"/>
      <c r="B485" s="53"/>
      <c r="C485" s="53"/>
      <c r="D485" s="53"/>
      <c r="E485" s="53"/>
      <c r="F485" s="53"/>
      <c r="G485" s="54"/>
      <c r="H485" s="53"/>
      <c r="I485" s="53"/>
      <c r="J485" s="53"/>
      <c r="K485" s="53"/>
      <c r="L485" s="53"/>
      <c r="M485" s="53"/>
      <c r="N485" s="53"/>
      <c r="O485" s="53"/>
      <c r="P485" s="53"/>
      <c r="Q485" s="53"/>
      <c r="R485" s="53"/>
      <c r="S485" s="53"/>
      <c r="T485" s="53"/>
      <c r="U485" s="53"/>
    </row>
    <row r="486" spans="1:21" ht="16.8" x14ac:dyDescent="0.65">
      <c r="A486" s="54"/>
      <c r="B486" s="53"/>
      <c r="C486" s="53"/>
      <c r="D486" s="53"/>
      <c r="E486" s="53"/>
      <c r="F486" s="53"/>
      <c r="G486" s="54"/>
      <c r="H486" s="53"/>
      <c r="I486" s="53"/>
      <c r="J486" s="53"/>
      <c r="K486" s="53"/>
      <c r="L486" s="53"/>
      <c r="M486" s="53"/>
      <c r="N486" s="53"/>
      <c r="O486" s="53"/>
      <c r="P486" s="53"/>
      <c r="Q486" s="53"/>
      <c r="R486" s="53"/>
      <c r="S486" s="53"/>
      <c r="T486" s="53"/>
      <c r="U486" s="53"/>
    </row>
    <row r="487" spans="1:21" ht="16.8" x14ac:dyDescent="0.65">
      <c r="A487" s="54"/>
      <c r="B487" s="53"/>
      <c r="C487" s="53"/>
      <c r="D487" s="53"/>
      <c r="E487" s="53"/>
      <c r="F487" s="53"/>
      <c r="G487" s="54"/>
      <c r="H487" s="53"/>
      <c r="I487" s="53"/>
      <c r="J487" s="53"/>
      <c r="K487" s="53"/>
      <c r="L487" s="53"/>
      <c r="M487" s="53"/>
      <c r="N487" s="53"/>
      <c r="O487" s="53"/>
      <c r="P487" s="53"/>
      <c r="Q487" s="53"/>
      <c r="R487" s="53"/>
      <c r="S487" s="53"/>
      <c r="T487" s="53"/>
      <c r="U487" s="53"/>
    </row>
    <row r="488" spans="1:21" ht="16.8" x14ac:dyDescent="0.65">
      <c r="A488" s="54"/>
      <c r="B488" s="53"/>
      <c r="C488" s="53"/>
      <c r="D488" s="53"/>
      <c r="E488" s="53"/>
      <c r="F488" s="53"/>
      <c r="G488" s="54"/>
      <c r="H488" s="53"/>
      <c r="I488" s="53"/>
      <c r="J488" s="53"/>
      <c r="K488" s="53"/>
      <c r="L488" s="53"/>
      <c r="M488" s="53"/>
      <c r="N488" s="53"/>
      <c r="O488" s="53"/>
      <c r="P488" s="53"/>
      <c r="Q488" s="53"/>
      <c r="R488" s="53"/>
      <c r="S488" s="53"/>
      <c r="T488" s="53"/>
      <c r="U488" s="53"/>
    </row>
    <row r="489" spans="1:21" ht="16.8" x14ac:dyDescent="0.65">
      <c r="A489" s="54"/>
      <c r="B489" s="53"/>
      <c r="C489" s="53"/>
      <c r="D489" s="53"/>
      <c r="E489" s="53"/>
      <c r="F489" s="53"/>
      <c r="G489" s="54"/>
      <c r="H489" s="53"/>
      <c r="I489" s="53"/>
      <c r="J489" s="53"/>
      <c r="K489" s="53"/>
      <c r="L489" s="53"/>
      <c r="M489" s="53"/>
      <c r="N489" s="53"/>
      <c r="O489" s="53"/>
      <c r="P489" s="53"/>
      <c r="Q489" s="53"/>
      <c r="R489" s="53"/>
      <c r="S489" s="53"/>
      <c r="T489" s="53"/>
      <c r="U489" s="53"/>
    </row>
    <row r="490" spans="1:21" ht="16.8" x14ac:dyDescent="0.65">
      <c r="A490" s="54"/>
      <c r="B490" s="53"/>
      <c r="C490" s="53"/>
      <c r="D490" s="53"/>
      <c r="E490" s="53"/>
      <c r="F490" s="53"/>
      <c r="G490" s="54"/>
      <c r="H490" s="53"/>
      <c r="I490" s="53"/>
      <c r="J490" s="53"/>
      <c r="K490" s="53"/>
      <c r="L490" s="53"/>
      <c r="M490" s="53"/>
      <c r="N490" s="53"/>
      <c r="O490" s="53"/>
      <c r="P490" s="53"/>
      <c r="Q490" s="53"/>
      <c r="R490" s="53"/>
      <c r="S490" s="53"/>
      <c r="T490" s="53"/>
      <c r="U490" s="53"/>
    </row>
    <row r="491" spans="1:21" ht="16.8" x14ac:dyDescent="0.65">
      <c r="A491" s="54"/>
      <c r="B491" s="53"/>
      <c r="C491" s="53"/>
      <c r="D491" s="53"/>
      <c r="E491" s="53"/>
      <c r="F491" s="53"/>
      <c r="G491" s="54"/>
      <c r="H491" s="53"/>
      <c r="I491" s="53"/>
      <c r="J491" s="53"/>
      <c r="K491" s="53"/>
      <c r="L491" s="53"/>
      <c r="M491" s="53"/>
      <c r="N491" s="53"/>
      <c r="O491" s="53"/>
      <c r="P491" s="53"/>
      <c r="Q491" s="53"/>
      <c r="R491" s="53"/>
      <c r="S491" s="53"/>
      <c r="T491" s="53"/>
      <c r="U491" s="53"/>
    </row>
    <row r="492" spans="1:21" ht="16.8" x14ac:dyDescent="0.65">
      <c r="A492" s="54"/>
      <c r="B492" s="53"/>
      <c r="C492" s="53"/>
      <c r="D492" s="53"/>
      <c r="E492" s="53"/>
      <c r="F492" s="53"/>
      <c r="G492" s="54"/>
      <c r="H492" s="53"/>
      <c r="I492" s="53"/>
      <c r="J492" s="53"/>
      <c r="K492" s="53"/>
      <c r="L492" s="53"/>
      <c r="M492" s="53"/>
      <c r="N492" s="53"/>
      <c r="O492" s="53"/>
      <c r="P492" s="53"/>
      <c r="Q492" s="53"/>
      <c r="R492" s="53"/>
      <c r="S492" s="53"/>
      <c r="T492" s="53"/>
      <c r="U492" s="53"/>
    </row>
    <row r="493" spans="1:21" ht="16.8" x14ac:dyDescent="0.65">
      <c r="A493" s="54"/>
      <c r="B493" s="53"/>
      <c r="C493" s="53"/>
      <c r="D493" s="53"/>
      <c r="E493" s="53"/>
      <c r="F493" s="53"/>
      <c r="G493" s="54"/>
      <c r="H493" s="53"/>
      <c r="I493" s="53"/>
      <c r="J493" s="53"/>
      <c r="K493" s="53"/>
      <c r="L493" s="53"/>
      <c r="M493" s="53"/>
      <c r="N493" s="53"/>
      <c r="O493" s="53"/>
      <c r="P493" s="53"/>
      <c r="Q493" s="53"/>
      <c r="R493" s="53"/>
      <c r="S493" s="53"/>
      <c r="T493" s="53"/>
      <c r="U493" s="53"/>
    </row>
    <row r="494" spans="1:21" ht="16.8" x14ac:dyDescent="0.65">
      <c r="A494" s="54"/>
      <c r="B494" s="53"/>
      <c r="C494" s="53"/>
      <c r="D494" s="53"/>
      <c r="E494" s="53"/>
      <c r="F494" s="53"/>
      <c r="G494" s="54"/>
      <c r="H494" s="53"/>
      <c r="I494" s="53"/>
      <c r="J494" s="53"/>
      <c r="K494" s="53"/>
      <c r="L494" s="53"/>
      <c r="M494" s="53"/>
      <c r="N494" s="53"/>
      <c r="O494" s="53"/>
      <c r="P494" s="53"/>
      <c r="Q494" s="53"/>
      <c r="R494" s="53"/>
      <c r="S494" s="53"/>
      <c r="T494" s="53"/>
      <c r="U494" s="53"/>
    </row>
    <row r="495" spans="1:21" ht="16.8" x14ac:dyDescent="0.65">
      <c r="A495" s="54"/>
      <c r="B495" s="53"/>
      <c r="C495" s="53"/>
      <c r="D495" s="53"/>
      <c r="E495" s="53"/>
      <c r="F495" s="53"/>
      <c r="G495" s="54"/>
      <c r="H495" s="53"/>
      <c r="I495" s="53"/>
      <c r="J495" s="53"/>
      <c r="K495" s="53"/>
      <c r="L495" s="53"/>
      <c r="M495" s="53"/>
      <c r="N495" s="53"/>
      <c r="O495" s="53"/>
      <c r="P495" s="53"/>
      <c r="Q495" s="53"/>
      <c r="R495" s="53"/>
      <c r="S495" s="53"/>
      <c r="T495" s="53"/>
      <c r="U495" s="53"/>
    </row>
    <row r="496" spans="1:21" ht="16.8" x14ac:dyDescent="0.65">
      <c r="A496" s="54"/>
      <c r="B496" s="53"/>
      <c r="C496" s="53"/>
      <c r="D496" s="53"/>
      <c r="E496" s="53"/>
      <c r="F496" s="53"/>
      <c r="G496" s="54"/>
      <c r="H496" s="53"/>
      <c r="I496" s="53"/>
      <c r="J496" s="53"/>
      <c r="K496" s="53"/>
      <c r="L496" s="53"/>
      <c r="M496" s="53"/>
      <c r="N496" s="53"/>
      <c r="O496" s="53"/>
      <c r="P496" s="53"/>
      <c r="Q496" s="53"/>
      <c r="R496" s="53"/>
      <c r="S496" s="53"/>
      <c r="T496" s="53"/>
      <c r="U496" s="53"/>
    </row>
    <row r="497" spans="1:21" ht="16.8" x14ac:dyDescent="0.65">
      <c r="A497" s="54"/>
      <c r="B497" s="53"/>
      <c r="C497" s="53"/>
      <c r="D497" s="53"/>
      <c r="E497" s="53"/>
      <c r="F497" s="53"/>
      <c r="G497" s="54"/>
      <c r="H497" s="53"/>
      <c r="I497" s="53"/>
      <c r="J497" s="53"/>
      <c r="K497" s="53"/>
      <c r="L497" s="53"/>
      <c r="M497" s="53"/>
      <c r="N497" s="53"/>
      <c r="O497" s="53"/>
      <c r="P497" s="53"/>
      <c r="Q497" s="53"/>
      <c r="R497" s="53"/>
      <c r="S497" s="53"/>
      <c r="T497" s="53"/>
      <c r="U497" s="53"/>
    </row>
    <row r="498" spans="1:21" ht="16.8" x14ac:dyDescent="0.65">
      <c r="A498" s="54"/>
      <c r="B498" s="53"/>
      <c r="C498" s="53"/>
      <c r="D498" s="53"/>
      <c r="E498" s="53"/>
      <c r="F498" s="53"/>
      <c r="G498" s="54"/>
      <c r="H498" s="53"/>
      <c r="I498" s="53"/>
      <c r="J498" s="53"/>
      <c r="K498" s="53"/>
      <c r="L498" s="53"/>
      <c r="M498" s="53"/>
      <c r="N498" s="53"/>
      <c r="O498" s="53"/>
      <c r="P498" s="53"/>
      <c r="Q498" s="53"/>
      <c r="R498" s="53"/>
      <c r="S498" s="53"/>
      <c r="T498" s="53"/>
      <c r="U498" s="53"/>
    </row>
    <row r="499" spans="1:21" ht="16.8" x14ac:dyDescent="0.65">
      <c r="A499" s="54"/>
      <c r="B499" s="53"/>
      <c r="C499" s="53"/>
      <c r="D499" s="53"/>
      <c r="E499" s="53"/>
      <c r="F499" s="53"/>
      <c r="G499" s="54"/>
      <c r="H499" s="53"/>
      <c r="I499" s="53"/>
      <c r="J499" s="53"/>
      <c r="K499" s="53"/>
      <c r="L499" s="53"/>
      <c r="M499" s="53"/>
      <c r="N499" s="53"/>
      <c r="O499" s="53"/>
      <c r="P499" s="53"/>
      <c r="Q499" s="53"/>
      <c r="R499" s="53"/>
      <c r="S499" s="53"/>
      <c r="T499" s="53"/>
      <c r="U499" s="53"/>
    </row>
    <row r="500" spans="1:21" ht="16.8" x14ac:dyDescent="0.65">
      <c r="A500" s="54"/>
      <c r="B500" s="53"/>
      <c r="C500" s="53"/>
      <c r="D500" s="53"/>
      <c r="E500" s="53"/>
      <c r="F500" s="53"/>
      <c r="G500" s="54"/>
      <c r="H500" s="53"/>
      <c r="I500" s="53"/>
      <c r="J500" s="53"/>
      <c r="K500" s="53"/>
      <c r="L500" s="53"/>
      <c r="M500" s="53"/>
      <c r="N500" s="53"/>
      <c r="O500" s="53"/>
      <c r="P500" s="53"/>
      <c r="Q500" s="53"/>
      <c r="R500" s="53"/>
      <c r="S500" s="53"/>
      <c r="T500" s="53"/>
      <c r="U500" s="53"/>
    </row>
    <row r="501" spans="1:21" ht="16.8" x14ac:dyDescent="0.65">
      <c r="A501" s="54"/>
      <c r="B501" s="53"/>
      <c r="C501" s="53"/>
      <c r="D501" s="53"/>
      <c r="E501" s="53"/>
      <c r="F501" s="53"/>
      <c r="G501" s="54"/>
      <c r="H501" s="53"/>
      <c r="I501" s="53"/>
      <c r="J501" s="53"/>
      <c r="K501" s="53"/>
      <c r="L501" s="53"/>
      <c r="M501" s="53"/>
      <c r="N501" s="53"/>
      <c r="O501" s="53"/>
      <c r="P501" s="53"/>
      <c r="Q501" s="53"/>
      <c r="R501" s="53"/>
      <c r="S501" s="53"/>
      <c r="T501" s="53"/>
      <c r="U501" s="53"/>
    </row>
    <row r="502" spans="1:21" ht="16.8" x14ac:dyDescent="0.65">
      <c r="A502" s="54"/>
      <c r="B502" s="53"/>
      <c r="C502" s="53"/>
      <c r="D502" s="53"/>
      <c r="E502" s="53"/>
      <c r="F502" s="53"/>
      <c r="G502" s="54"/>
      <c r="H502" s="53"/>
      <c r="I502" s="53"/>
      <c r="J502" s="53"/>
      <c r="K502" s="53"/>
      <c r="L502" s="53"/>
      <c r="M502" s="53"/>
      <c r="N502" s="53"/>
      <c r="O502" s="53"/>
      <c r="P502" s="53"/>
      <c r="Q502" s="53"/>
      <c r="R502" s="53"/>
      <c r="S502" s="53"/>
      <c r="T502" s="53"/>
      <c r="U502" s="53"/>
    </row>
    <row r="503" spans="1:21" ht="16.8" x14ac:dyDescent="0.65">
      <c r="A503" s="54"/>
      <c r="B503" s="53"/>
      <c r="C503" s="53"/>
      <c r="D503" s="53"/>
      <c r="E503" s="53"/>
      <c r="F503" s="53"/>
      <c r="G503" s="54"/>
      <c r="H503" s="53"/>
      <c r="I503" s="53"/>
      <c r="J503" s="53"/>
      <c r="K503" s="53"/>
      <c r="L503" s="53"/>
      <c r="M503" s="53"/>
      <c r="N503" s="53"/>
      <c r="O503" s="53"/>
      <c r="P503" s="53"/>
      <c r="Q503" s="53"/>
      <c r="R503" s="53"/>
      <c r="S503" s="53"/>
      <c r="T503" s="53"/>
      <c r="U503" s="53"/>
    </row>
    <row r="504" spans="1:21" ht="16.8" x14ac:dyDescent="0.65">
      <c r="A504" s="54"/>
      <c r="B504" s="53"/>
      <c r="C504" s="53"/>
      <c r="D504" s="53"/>
      <c r="E504" s="53"/>
      <c r="F504" s="53"/>
      <c r="G504" s="54"/>
      <c r="H504" s="53"/>
      <c r="I504" s="53"/>
      <c r="J504" s="53"/>
      <c r="K504" s="53"/>
      <c r="L504" s="53"/>
      <c r="M504" s="53"/>
      <c r="N504" s="53"/>
      <c r="O504" s="53"/>
      <c r="P504" s="53"/>
      <c r="Q504" s="53"/>
      <c r="R504" s="53"/>
      <c r="S504" s="53"/>
      <c r="T504" s="53"/>
      <c r="U504" s="53"/>
    </row>
    <row r="505" spans="1:21" ht="16.8" x14ac:dyDescent="0.65">
      <c r="A505" s="54"/>
      <c r="B505" s="53"/>
      <c r="C505" s="53"/>
      <c r="D505" s="53"/>
      <c r="E505" s="53"/>
      <c r="F505" s="53"/>
      <c r="G505" s="54"/>
      <c r="H505" s="53"/>
      <c r="I505" s="53"/>
      <c r="J505" s="53"/>
      <c r="K505" s="53"/>
      <c r="L505" s="53"/>
      <c r="M505" s="53"/>
      <c r="N505" s="53"/>
      <c r="O505" s="53"/>
      <c r="P505" s="53"/>
      <c r="Q505" s="53"/>
      <c r="R505" s="53"/>
      <c r="S505" s="53"/>
      <c r="T505" s="53"/>
      <c r="U505" s="53"/>
    </row>
    <row r="506" spans="1:21" ht="16.8" x14ac:dyDescent="0.65">
      <c r="A506" s="54"/>
      <c r="B506" s="53"/>
      <c r="C506" s="53"/>
      <c r="D506" s="53"/>
      <c r="E506" s="53"/>
      <c r="F506" s="53"/>
      <c r="G506" s="54"/>
      <c r="H506" s="53"/>
      <c r="I506" s="53"/>
      <c r="J506" s="53"/>
      <c r="K506" s="53"/>
      <c r="L506" s="53"/>
      <c r="M506" s="53"/>
      <c r="N506" s="53"/>
      <c r="O506" s="53"/>
      <c r="P506" s="53"/>
      <c r="Q506" s="53"/>
      <c r="R506" s="53"/>
      <c r="S506" s="53"/>
      <c r="T506" s="53"/>
      <c r="U506" s="53"/>
    </row>
    <row r="507" spans="1:21" ht="16.8" x14ac:dyDescent="0.65">
      <c r="A507" s="54"/>
      <c r="B507" s="53"/>
      <c r="C507" s="53"/>
      <c r="D507" s="53"/>
      <c r="E507" s="53"/>
      <c r="F507" s="53"/>
      <c r="G507" s="54"/>
      <c r="H507" s="53"/>
      <c r="I507" s="53"/>
      <c r="J507" s="53"/>
      <c r="K507" s="53"/>
      <c r="L507" s="53"/>
      <c r="M507" s="53"/>
      <c r="N507" s="53"/>
      <c r="O507" s="53"/>
      <c r="P507" s="53"/>
      <c r="Q507" s="53"/>
      <c r="R507" s="53"/>
      <c r="S507" s="53"/>
      <c r="T507" s="53"/>
      <c r="U507" s="53"/>
    </row>
    <row r="508" spans="1:21" ht="16.8" x14ac:dyDescent="0.65">
      <c r="A508" s="54"/>
      <c r="B508" s="53"/>
      <c r="C508" s="53"/>
      <c r="D508" s="53"/>
      <c r="E508" s="53"/>
      <c r="F508" s="53"/>
      <c r="G508" s="54"/>
      <c r="H508" s="53"/>
      <c r="I508" s="53"/>
      <c r="J508" s="53"/>
      <c r="K508" s="53"/>
      <c r="L508" s="53"/>
      <c r="M508" s="53"/>
      <c r="N508" s="53"/>
      <c r="O508" s="53"/>
      <c r="P508" s="53"/>
      <c r="Q508" s="53"/>
      <c r="R508" s="53"/>
      <c r="S508" s="53"/>
      <c r="T508" s="53"/>
      <c r="U508" s="53"/>
    </row>
    <row r="509" spans="1:21" ht="16.8" x14ac:dyDescent="0.65">
      <c r="A509" s="54"/>
      <c r="B509" s="53"/>
      <c r="C509" s="53"/>
      <c r="D509" s="53"/>
      <c r="E509" s="53"/>
      <c r="F509" s="53"/>
      <c r="G509" s="54"/>
      <c r="H509" s="53"/>
      <c r="I509" s="53"/>
      <c r="J509" s="53"/>
      <c r="K509" s="53"/>
      <c r="L509" s="53"/>
      <c r="M509" s="53"/>
      <c r="N509" s="53"/>
      <c r="O509" s="53"/>
      <c r="P509" s="53"/>
      <c r="Q509" s="53"/>
      <c r="R509" s="53"/>
      <c r="S509" s="53"/>
      <c r="T509" s="53"/>
      <c r="U509" s="53"/>
    </row>
    <row r="510" spans="1:21" ht="16.8" x14ac:dyDescent="0.65">
      <c r="A510" s="54"/>
      <c r="B510" s="53"/>
      <c r="C510" s="53"/>
      <c r="D510" s="53"/>
      <c r="E510" s="53"/>
      <c r="F510" s="53"/>
      <c r="G510" s="54"/>
      <c r="H510" s="53"/>
      <c r="I510" s="53"/>
      <c r="J510" s="53"/>
      <c r="K510" s="53"/>
      <c r="L510" s="53"/>
      <c r="M510" s="53"/>
      <c r="N510" s="53"/>
      <c r="O510" s="53"/>
      <c r="P510" s="53"/>
      <c r="Q510" s="53"/>
      <c r="R510" s="53"/>
      <c r="S510" s="53"/>
      <c r="T510" s="53"/>
      <c r="U510" s="53"/>
    </row>
    <row r="511" spans="1:21" ht="16.8" x14ac:dyDescent="0.65">
      <c r="A511" s="54"/>
      <c r="B511" s="53"/>
      <c r="C511" s="53"/>
      <c r="D511" s="53"/>
      <c r="E511" s="53"/>
      <c r="F511" s="53"/>
      <c r="G511" s="54"/>
      <c r="H511" s="53"/>
      <c r="I511" s="53"/>
      <c r="J511" s="53"/>
      <c r="K511" s="53"/>
      <c r="L511" s="53"/>
      <c r="M511" s="53"/>
      <c r="N511" s="53"/>
      <c r="O511" s="53"/>
      <c r="P511" s="53"/>
      <c r="Q511" s="53"/>
      <c r="R511" s="53"/>
      <c r="S511" s="53"/>
      <c r="T511" s="53"/>
      <c r="U511" s="53"/>
    </row>
    <row r="512" spans="1:21" ht="16.8" x14ac:dyDescent="0.65">
      <c r="A512" s="54"/>
      <c r="B512" s="53"/>
      <c r="C512" s="53"/>
      <c r="D512" s="53"/>
      <c r="E512" s="53"/>
      <c r="F512" s="53"/>
      <c r="G512" s="54"/>
      <c r="H512" s="53"/>
      <c r="I512" s="53"/>
      <c r="J512" s="53"/>
      <c r="K512" s="53"/>
      <c r="L512" s="53"/>
      <c r="M512" s="53"/>
      <c r="N512" s="53"/>
      <c r="O512" s="53"/>
      <c r="P512" s="53"/>
      <c r="Q512" s="53"/>
      <c r="R512" s="53"/>
      <c r="S512" s="53"/>
      <c r="T512" s="53"/>
      <c r="U512" s="53"/>
    </row>
    <row r="513" spans="1:21" ht="16.8" x14ac:dyDescent="0.65">
      <c r="A513" s="54"/>
      <c r="B513" s="53"/>
      <c r="C513" s="53"/>
      <c r="D513" s="53"/>
      <c r="E513" s="53"/>
      <c r="F513" s="53"/>
      <c r="G513" s="54"/>
      <c r="H513" s="53"/>
      <c r="I513" s="53"/>
      <c r="J513" s="53"/>
      <c r="K513" s="53"/>
      <c r="L513" s="53"/>
      <c r="M513" s="53"/>
      <c r="N513" s="53"/>
      <c r="O513" s="53"/>
      <c r="P513" s="53"/>
      <c r="Q513" s="53"/>
      <c r="R513" s="53"/>
      <c r="S513" s="53"/>
      <c r="T513" s="53"/>
      <c r="U513" s="53"/>
    </row>
    <row r="514" spans="1:21" ht="16.8" x14ac:dyDescent="0.65">
      <c r="A514" s="54"/>
      <c r="B514" s="53"/>
      <c r="C514" s="53"/>
      <c r="D514" s="53"/>
      <c r="E514" s="53"/>
      <c r="F514" s="53"/>
      <c r="G514" s="54"/>
      <c r="H514" s="53"/>
      <c r="I514" s="53"/>
      <c r="J514" s="53"/>
      <c r="K514" s="53"/>
      <c r="L514" s="53"/>
      <c r="M514" s="53"/>
      <c r="N514" s="53"/>
      <c r="O514" s="53"/>
      <c r="P514" s="53"/>
      <c r="Q514" s="53"/>
      <c r="R514" s="53"/>
      <c r="S514" s="53"/>
      <c r="T514" s="53"/>
      <c r="U514" s="53"/>
    </row>
    <row r="515" spans="1:21" ht="16.8" x14ac:dyDescent="0.65">
      <c r="A515" s="54"/>
      <c r="B515" s="53"/>
      <c r="C515" s="53"/>
      <c r="D515" s="53"/>
      <c r="E515" s="53"/>
      <c r="F515" s="53"/>
      <c r="G515" s="54"/>
      <c r="H515" s="53"/>
      <c r="I515" s="53"/>
      <c r="J515" s="53"/>
      <c r="K515" s="53"/>
      <c r="L515" s="53"/>
      <c r="M515" s="53"/>
      <c r="N515" s="53"/>
      <c r="O515" s="53"/>
      <c r="P515" s="53"/>
      <c r="Q515" s="53"/>
      <c r="R515" s="53"/>
      <c r="S515" s="53"/>
      <c r="T515" s="53"/>
      <c r="U515" s="53"/>
    </row>
    <row r="516" spans="1:21" ht="16.8" x14ac:dyDescent="0.65">
      <c r="A516" s="54"/>
      <c r="B516" s="53"/>
      <c r="C516" s="53"/>
      <c r="D516" s="53"/>
      <c r="E516" s="53"/>
      <c r="F516" s="53"/>
      <c r="G516" s="54"/>
      <c r="H516" s="53"/>
      <c r="I516" s="53"/>
      <c r="J516" s="53"/>
      <c r="K516" s="53"/>
      <c r="L516" s="53"/>
      <c r="M516" s="53"/>
      <c r="N516" s="53"/>
      <c r="O516" s="53"/>
      <c r="P516" s="53"/>
      <c r="Q516" s="53"/>
      <c r="R516" s="53"/>
      <c r="S516" s="53"/>
      <c r="T516" s="53"/>
      <c r="U516" s="53"/>
    </row>
    <row r="517" spans="1:21" ht="16.8" x14ac:dyDescent="0.65">
      <c r="A517" s="54"/>
      <c r="B517" s="53"/>
      <c r="C517" s="53"/>
      <c r="D517" s="53"/>
      <c r="E517" s="53"/>
      <c r="F517" s="53"/>
      <c r="G517" s="54"/>
      <c r="H517" s="53"/>
      <c r="I517" s="53"/>
      <c r="J517" s="53"/>
      <c r="K517" s="53"/>
      <c r="L517" s="53"/>
      <c r="M517" s="53"/>
      <c r="N517" s="53"/>
      <c r="O517" s="53"/>
      <c r="P517" s="53"/>
      <c r="Q517" s="53"/>
      <c r="R517" s="53"/>
      <c r="S517" s="53"/>
      <c r="T517" s="53"/>
      <c r="U517" s="53"/>
    </row>
    <row r="518" spans="1:21" ht="16.8" x14ac:dyDescent="0.65">
      <c r="A518" s="54"/>
      <c r="B518" s="53"/>
      <c r="C518" s="53"/>
      <c r="D518" s="53"/>
      <c r="E518" s="53"/>
      <c r="F518" s="53"/>
      <c r="G518" s="54"/>
      <c r="H518" s="53"/>
      <c r="I518" s="53"/>
      <c r="J518" s="53"/>
      <c r="K518" s="53"/>
      <c r="L518" s="53"/>
      <c r="M518" s="53"/>
      <c r="N518" s="53"/>
      <c r="O518" s="53"/>
      <c r="P518" s="53"/>
      <c r="Q518" s="53"/>
      <c r="R518" s="53"/>
      <c r="S518" s="53"/>
      <c r="T518" s="53"/>
      <c r="U518" s="53"/>
    </row>
    <row r="519" spans="1:21" ht="16.8" x14ac:dyDescent="0.65">
      <c r="A519" s="54"/>
      <c r="B519" s="53"/>
      <c r="C519" s="53"/>
      <c r="D519" s="53"/>
      <c r="E519" s="53"/>
      <c r="F519" s="53"/>
      <c r="G519" s="54"/>
      <c r="H519" s="53"/>
      <c r="I519" s="53"/>
      <c r="J519" s="53"/>
      <c r="K519" s="53"/>
      <c r="L519" s="53"/>
      <c r="M519" s="53"/>
      <c r="N519" s="53"/>
      <c r="O519" s="53"/>
      <c r="P519" s="53"/>
      <c r="Q519" s="53"/>
      <c r="R519" s="53"/>
      <c r="S519" s="53"/>
      <c r="T519" s="53"/>
      <c r="U519" s="53"/>
    </row>
    <row r="520" spans="1:21" ht="16.8" x14ac:dyDescent="0.65">
      <c r="A520" s="54"/>
      <c r="B520" s="53"/>
      <c r="C520" s="53"/>
      <c r="D520" s="53"/>
      <c r="E520" s="53"/>
      <c r="F520" s="53"/>
      <c r="G520" s="54"/>
      <c r="H520" s="53"/>
      <c r="I520" s="53"/>
      <c r="J520" s="53"/>
      <c r="K520" s="53"/>
      <c r="L520" s="53"/>
      <c r="M520" s="53"/>
      <c r="N520" s="53"/>
      <c r="O520" s="53"/>
      <c r="P520" s="53"/>
      <c r="Q520" s="53"/>
      <c r="R520" s="53"/>
      <c r="S520" s="53"/>
      <c r="T520" s="53"/>
      <c r="U520" s="53"/>
    </row>
    <row r="521" spans="1:21" ht="16.8" x14ac:dyDescent="0.65">
      <c r="A521" s="54"/>
      <c r="B521" s="53"/>
      <c r="C521" s="53"/>
      <c r="D521" s="53"/>
      <c r="E521" s="53"/>
      <c r="F521" s="53"/>
      <c r="G521" s="54"/>
      <c r="H521" s="53"/>
      <c r="I521" s="53"/>
      <c r="J521" s="53"/>
      <c r="K521" s="53"/>
      <c r="L521" s="53"/>
      <c r="M521" s="53"/>
      <c r="N521" s="53"/>
      <c r="O521" s="53"/>
      <c r="P521" s="53"/>
      <c r="Q521" s="53"/>
      <c r="R521" s="53"/>
      <c r="S521" s="53"/>
      <c r="T521" s="53"/>
      <c r="U521" s="53"/>
    </row>
    <row r="522" spans="1:21" ht="16.8" x14ac:dyDescent="0.65">
      <c r="A522" s="54"/>
      <c r="B522" s="53"/>
      <c r="C522" s="53"/>
      <c r="D522" s="53"/>
      <c r="E522" s="53"/>
      <c r="F522" s="53"/>
      <c r="G522" s="54"/>
      <c r="H522" s="53"/>
      <c r="I522" s="53"/>
      <c r="J522" s="53"/>
      <c r="K522" s="53"/>
      <c r="L522" s="53"/>
      <c r="M522" s="53"/>
      <c r="N522" s="53"/>
      <c r="O522" s="53"/>
      <c r="P522" s="53"/>
      <c r="Q522" s="53"/>
      <c r="R522" s="53"/>
      <c r="S522" s="53"/>
      <c r="T522" s="53"/>
      <c r="U522" s="53"/>
    </row>
    <row r="523" spans="1:21" ht="16.8" x14ac:dyDescent="0.65">
      <c r="A523" s="54"/>
      <c r="B523" s="53"/>
      <c r="C523" s="53"/>
      <c r="D523" s="53"/>
      <c r="E523" s="53"/>
      <c r="F523" s="53"/>
      <c r="G523" s="54"/>
      <c r="H523" s="53"/>
      <c r="I523" s="53"/>
      <c r="J523" s="53"/>
      <c r="K523" s="53"/>
      <c r="L523" s="53"/>
      <c r="M523" s="53"/>
      <c r="N523" s="53"/>
      <c r="O523" s="53"/>
      <c r="P523" s="53"/>
      <c r="Q523" s="53"/>
      <c r="R523" s="53"/>
      <c r="S523" s="53"/>
      <c r="T523" s="53"/>
      <c r="U523" s="53"/>
    </row>
    <row r="524" spans="1:21" ht="16.8" x14ac:dyDescent="0.65">
      <c r="A524" s="54"/>
      <c r="B524" s="53"/>
      <c r="C524" s="53"/>
      <c r="D524" s="53"/>
      <c r="E524" s="53"/>
      <c r="F524" s="53"/>
      <c r="G524" s="54"/>
      <c r="H524" s="53"/>
      <c r="I524" s="53"/>
      <c r="J524" s="53"/>
      <c r="K524" s="53"/>
      <c r="L524" s="53"/>
      <c r="M524" s="53"/>
      <c r="N524" s="53"/>
      <c r="O524" s="53"/>
      <c r="P524" s="53"/>
      <c r="Q524" s="53"/>
      <c r="R524" s="53"/>
      <c r="S524" s="53"/>
      <c r="T524" s="53"/>
      <c r="U524" s="53"/>
    </row>
    <row r="525" spans="1:21" ht="16.8" x14ac:dyDescent="0.65">
      <c r="A525" s="54"/>
      <c r="B525" s="53"/>
      <c r="C525" s="53"/>
      <c r="D525" s="53"/>
      <c r="E525" s="53"/>
      <c r="F525" s="53"/>
      <c r="G525" s="54"/>
      <c r="H525" s="53"/>
      <c r="I525" s="53"/>
      <c r="J525" s="53"/>
      <c r="K525" s="53"/>
      <c r="L525" s="53"/>
      <c r="M525" s="53"/>
      <c r="N525" s="53"/>
      <c r="O525" s="53"/>
      <c r="P525" s="53"/>
      <c r="Q525" s="53"/>
      <c r="R525" s="53"/>
      <c r="S525" s="53"/>
      <c r="T525" s="53"/>
      <c r="U525" s="53"/>
    </row>
    <row r="526" spans="1:21" ht="16.8" x14ac:dyDescent="0.65">
      <c r="A526" s="54"/>
      <c r="B526" s="53"/>
      <c r="C526" s="53"/>
      <c r="D526" s="53"/>
      <c r="E526" s="53"/>
      <c r="F526" s="53"/>
      <c r="G526" s="54"/>
      <c r="H526" s="53"/>
      <c r="I526" s="53"/>
      <c r="J526" s="53"/>
      <c r="K526" s="53"/>
      <c r="L526" s="53"/>
      <c r="M526" s="53"/>
      <c r="N526" s="53"/>
      <c r="O526" s="53"/>
      <c r="P526" s="53"/>
      <c r="Q526" s="53"/>
      <c r="R526" s="53"/>
      <c r="S526" s="53"/>
      <c r="T526" s="53"/>
      <c r="U526" s="53"/>
    </row>
    <row r="527" spans="1:21" ht="16.8" x14ac:dyDescent="0.65">
      <c r="A527" s="54"/>
      <c r="B527" s="53"/>
      <c r="C527" s="53"/>
      <c r="D527" s="53"/>
      <c r="E527" s="53"/>
      <c r="F527" s="53"/>
      <c r="G527" s="54"/>
      <c r="H527" s="53"/>
      <c r="I527" s="53"/>
      <c r="J527" s="53"/>
      <c r="K527" s="53"/>
      <c r="L527" s="53"/>
      <c r="M527" s="53"/>
      <c r="N527" s="53"/>
      <c r="O527" s="53"/>
      <c r="P527" s="53"/>
      <c r="Q527" s="53"/>
      <c r="R527" s="53"/>
      <c r="S527" s="53"/>
      <c r="T527" s="53"/>
      <c r="U527" s="53"/>
    </row>
    <row r="528" spans="1:21" ht="16.8" x14ac:dyDescent="0.65">
      <c r="A528" s="54"/>
      <c r="B528" s="53"/>
      <c r="C528" s="53"/>
      <c r="D528" s="53"/>
      <c r="E528" s="53"/>
      <c r="F528" s="53"/>
      <c r="G528" s="54"/>
      <c r="H528" s="53"/>
      <c r="I528" s="53"/>
      <c r="J528" s="53"/>
      <c r="K528" s="53"/>
      <c r="L528" s="53"/>
      <c r="M528" s="53"/>
      <c r="N528" s="53"/>
      <c r="O528" s="53"/>
      <c r="P528" s="53"/>
      <c r="Q528" s="53"/>
      <c r="R528" s="53"/>
      <c r="S528" s="53"/>
      <c r="T528" s="53"/>
      <c r="U528" s="53"/>
    </row>
    <row r="529" spans="1:21" ht="16.8" x14ac:dyDescent="0.65">
      <c r="A529" s="54"/>
      <c r="B529" s="53"/>
      <c r="C529" s="53"/>
      <c r="D529" s="53"/>
      <c r="E529" s="53"/>
      <c r="F529" s="53"/>
      <c r="G529" s="54"/>
      <c r="H529" s="53"/>
      <c r="I529" s="53"/>
      <c r="J529" s="53"/>
      <c r="K529" s="53"/>
      <c r="L529" s="53"/>
      <c r="M529" s="53"/>
      <c r="N529" s="53"/>
      <c r="O529" s="53"/>
      <c r="P529" s="53"/>
      <c r="Q529" s="53"/>
      <c r="R529" s="53"/>
      <c r="S529" s="53"/>
      <c r="T529" s="53"/>
      <c r="U529" s="53"/>
    </row>
    <row r="530" spans="1:21" ht="16.8" x14ac:dyDescent="0.65">
      <c r="A530" s="54"/>
      <c r="B530" s="53"/>
      <c r="C530" s="53"/>
      <c r="D530" s="53"/>
      <c r="E530" s="53"/>
      <c r="F530" s="53"/>
      <c r="G530" s="54"/>
      <c r="H530" s="53"/>
      <c r="I530" s="53"/>
      <c r="J530" s="53"/>
      <c r="K530" s="53"/>
      <c r="L530" s="53"/>
      <c r="M530" s="53"/>
      <c r="N530" s="53"/>
      <c r="O530" s="53"/>
      <c r="P530" s="53"/>
      <c r="Q530" s="53"/>
      <c r="R530" s="53"/>
      <c r="S530" s="53"/>
      <c r="T530" s="53"/>
      <c r="U530" s="53"/>
    </row>
    <row r="531" spans="1:21" ht="16.8" x14ac:dyDescent="0.65">
      <c r="A531" s="54"/>
      <c r="B531" s="53"/>
      <c r="C531" s="53"/>
      <c r="D531" s="53"/>
      <c r="E531" s="53"/>
      <c r="F531" s="53"/>
      <c r="G531" s="54"/>
      <c r="H531" s="53"/>
      <c r="I531" s="53"/>
      <c r="J531" s="53"/>
      <c r="K531" s="53"/>
      <c r="L531" s="53"/>
      <c r="M531" s="53"/>
      <c r="N531" s="53"/>
      <c r="O531" s="53"/>
      <c r="P531" s="53"/>
      <c r="Q531" s="53"/>
      <c r="R531" s="53"/>
      <c r="S531" s="53"/>
      <c r="T531" s="53"/>
      <c r="U531" s="53"/>
    </row>
    <row r="532" spans="1:21" ht="16.8" x14ac:dyDescent="0.65">
      <c r="A532" s="54"/>
      <c r="B532" s="53"/>
      <c r="C532" s="53"/>
      <c r="D532" s="53"/>
      <c r="E532" s="53"/>
      <c r="F532" s="53"/>
      <c r="G532" s="54"/>
      <c r="H532" s="53"/>
      <c r="I532" s="53"/>
      <c r="J532" s="53"/>
      <c r="K532" s="53"/>
      <c r="L532" s="53"/>
      <c r="M532" s="53"/>
      <c r="N532" s="53"/>
      <c r="O532" s="53"/>
      <c r="P532" s="53"/>
      <c r="Q532" s="53"/>
      <c r="R532" s="53"/>
      <c r="S532" s="53"/>
      <c r="T532" s="53"/>
      <c r="U532" s="53"/>
    </row>
    <row r="533" spans="1:21" ht="16.8" x14ac:dyDescent="0.65">
      <c r="A533" s="54"/>
      <c r="B533" s="53"/>
      <c r="C533" s="53"/>
      <c r="D533" s="53"/>
      <c r="E533" s="53"/>
      <c r="F533" s="53"/>
      <c r="G533" s="54"/>
      <c r="H533" s="53"/>
      <c r="I533" s="53"/>
      <c r="J533" s="53"/>
      <c r="K533" s="53"/>
      <c r="L533" s="53"/>
      <c r="M533" s="53"/>
      <c r="N533" s="53"/>
      <c r="O533" s="53"/>
      <c r="P533" s="53"/>
      <c r="Q533" s="53"/>
      <c r="R533" s="53"/>
      <c r="S533" s="53"/>
      <c r="T533" s="53"/>
      <c r="U533" s="53"/>
    </row>
    <row r="534" spans="1:21" ht="16.8" x14ac:dyDescent="0.65">
      <c r="A534" s="54"/>
      <c r="B534" s="53"/>
      <c r="C534" s="53"/>
      <c r="D534" s="53"/>
      <c r="E534" s="53"/>
      <c r="F534" s="53"/>
      <c r="G534" s="54"/>
      <c r="H534" s="53"/>
      <c r="I534" s="53"/>
      <c r="J534" s="53"/>
      <c r="K534" s="53"/>
      <c r="L534" s="53"/>
      <c r="M534" s="53"/>
      <c r="N534" s="53"/>
      <c r="O534" s="53"/>
      <c r="P534" s="53"/>
      <c r="Q534" s="53"/>
      <c r="R534" s="53"/>
      <c r="S534" s="53"/>
      <c r="T534" s="53"/>
      <c r="U534" s="53"/>
    </row>
    <row r="535" spans="1:21" ht="16.8" x14ac:dyDescent="0.65">
      <c r="A535" s="54"/>
      <c r="B535" s="53"/>
      <c r="C535" s="53"/>
      <c r="D535" s="53"/>
      <c r="E535" s="53"/>
      <c r="F535" s="53"/>
      <c r="G535" s="54"/>
      <c r="H535" s="53"/>
      <c r="I535" s="53"/>
      <c r="J535" s="53"/>
      <c r="K535" s="53"/>
      <c r="L535" s="53"/>
      <c r="M535" s="53"/>
      <c r="N535" s="53"/>
      <c r="O535" s="53"/>
      <c r="P535" s="53"/>
      <c r="Q535" s="53"/>
      <c r="R535" s="53"/>
      <c r="S535" s="53"/>
      <c r="T535" s="53"/>
      <c r="U535" s="53"/>
    </row>
    <row r="536" spans="1:21" ht="16.8" x14ac:dyDescent="0.65">
      <c r="A536" s="54"/>
      <c r="B536" s="53"/>
      <c r="C536" s="53"/>
      <c r="D536" s="53"/>
      <c r="E536" s="53"/>
      <c r="F536" s="53"/>
      <c r="G536" s="54"/>
      <c r="H536" s="53"/>
      <c r="I536" s="53"/>
      <c r="J536" s="53"/>
      <c r="K536" s="53"/>
      <c r="L536" s="53"/>
      <c r="M536" s="53"/>
      <c r="N536" s="53"/>
      <c r="O536" s="53"/>
      <c r="P536" s="53"/>
      <c r="Q536" s="53"/>
      <c r="R536" s="53"/>
      <c r="S536" s="53"/>
      <c r="T536" s="53"/>
      <c r="U536" s="53"/>
    </row>
    <row r="537" spans="1:21" ht="16.8" x14ac:dyDescent="0.65">
      <c r="A537" s="54"/>
      <c r="B537" s="53"/>
      <c r="C537" s="53"/>
      <c r="D537" s="53"/>
      <c r="E537" s="53"/>
      <c r="F537" s="53"/>
      <c r="G537" s="54"/>
      <c r="H537" s="53"/>
      <c r="I537" s="53"/>
      <c r="J537" s="53"/>
      <c r="K537" s="53"/>
      <c r="L537" s="53"/>
      <c r="M537" s="53"/>
      <c r="N537" s="53"/>
      <c r="O537" s="53"/>
      <c r="P537" s="53"/>
      <c r="Q537" s="53"/>
      <c r="R537" s="53"/>
      <c r="S537" s="53"/>
      <c r="T537" s="53"/>
      <c r="U537" s="53"/>
    </row>
    <row r="538" spans="1:21" ht="16.8" x14ac:dyDescent="0.65">
      <c r="A538" s="54"/>
      <c r="B538" s="53"/>
      <c r="C538" s="53"/>
      <c r="D538" s="53"/>
      <c r="E538" s="53"/>
      <c r="F538" s="53"/>
      <c r="G538" s="54"/>
      <c r="H538" s="53"/>
      <c r="I538" s="53"/>
      <c r="J538" s="53"/>
      <c r="K538" s="53"/>
      <c r="L538" s="53"/>
      <c r="M538" s="53"/>
      <c r="N538" s="53"/>
      <c r="O538" s="53"/>
      <c r="P538" s="53"/>
      <c r="Q538" s="53"/>
      <c r="R538" s="53"/>
      <c r="S538" s="53"/>
      <c r="T538" s="53"/>
      <c r="U538" s="53"/>
    </row>
    <row r="539" spans="1:21" ht="16.8" x14ac:dyDescent="0.65">
      <c r="A539" s="54"/>
      <c r="B539" s="53"/>
      <c r="C539" s="53"/>
      <c r="D539" s="53"/>
      <c r="E539" s="53"/>
      <c r="F539" s="53"/>
      <c r="G539" s="54"/>
      <c r="H539" s="53"/>
      <c r="I539" s="53"/>
      <c r="J539" s="53"/>
      <c r="K539" s="53"/>
      <c r="L539" s="53"/>
      <c r="M539" s="53"/>
      <c r="N539" s="53"/>
      <c r="O539" s="53"/>
      <c r="P539" s="53"/>
      <c r="Q539" s="53"/>
      <c r="R539" s="53"/>
      <c r="S539" s="53"/>
      <c r="T539" s="53"/>
      <c r="U539" s="53"/>
    </row>
    <row r="540" spans="1:21" ht="16.8" x14ac:dyDescent="0.65">
      <c r="A540" s="54"/>
      <c r="B540" s="53"/>
      <c r="C540" s="53"/>
      <c r="D540" s="53"/>
      <c r="E540" s="53"/>
      <c r="F540" s="53"/>
      <c r="G540" s="54"/>
      <c r="H540" s="53"/>
      <c r="I540" s="53"/>
      <c r="J540" s="53"/>
      <c r="K540" s="53"/>
      <c r="L540" s="53"/>
      <c r="M540" s="53"/>
      <c r="N540" s="53"/>
      <c r="O540" s="53"/>
      <c r="P540" s="53"/>
      <c r="Q540" s="53"/>
      <c r="R540" s="53"/>
      <c r="S540" s="53"/>
      <c r="T540" s="53"/>
      <c r="U540" s="53"/>
    </row>
    <row r="541" spans="1:21" ht="16.8" x14ac:dyDescent="0.65">
      <c r="A541" s="54"/>
      <c r="B541" s="53"/>
      <c r="C541" s="53"/>
      <c r="D541" s="53"/>
      <c r="E541" s="53"/>
      <c r="F541" s="53"/>
      <c r="G541" s="54"/>
      <c r="H541" s="53"/>
      <c r="I541" s="53"/>
      <c r="J541" s="53"/>
      <c r="K541" s="53"/>
      <c r="L541" s="53"/>
      <c r="M541" s="53"/>
      <c r="N541" s="53"/>
      <c r="O541" s="53"/>
      <c r="P541" s="53"/>
      <c r="Q541" s="53"/>
      <c r="R541" s="53"/>
      <c r="S541" s="53"/>
      <c r="T541" s="53"/>
      <c r="U541" s="53"/>
    </row>
    <row r="542" spans="1:21" ht="16.8" x14ac:dyDescent="0.65">
      <c r="A542" s="54"/>
      <c r="B542" s="53"/>
      <c r="C542" s="53"/>
      <c r="D542" s="53"/>
      <c r="E542" s="53"/>
      <c r="F542" s="53"/>
      <c r="G542" s="54"/>
      <c r="H542" s="53"/>
      <c r="I542" s="53"/>
      <c r="J542" s="53"/>
      <c r="K542" s="53"/>
      <c r="L542" s="53"/>
      <c r="M542" s="53"/>
      <c r="N542" s="53"/>
      <c r="O542" s="53"/>
      <c r="P542" s="53"/>
      <c r="Q542" s="53"/>
      <c r="R542" s="53"/>
      <c r="S542" s="53"/>
      <c r="T542" s="53"/>
      <c r="U542" s="53"/>
    </row>
    <row r="543" spans="1:21" ht="16.8" x14ac:dyDescent="0.65">
      <c r="A543" s="54"/>
      <c r="B543" s="53"/>
      <c r="C543" s="53"/>
      <c r="D543" s="53"/>
      <c r="E543" s="53"/>
      <c r="F543" s="53"/>
      <c r="G543" s="54"/>
      <c r="H543" s="53"/>
      <c r="I543" s="53"/>
      <c r="J543" s="53"/>
      <c r="K543" s="53"/>
      <c r="L543" s="53"/>
      <c r="M543" s="53"/>
      <c r="N543" s="53"/>
      <c r="O543" s="53"/>
      <c r="P543" s="53"/>
      <c r="Q543" s="53"/>
      <c r="R543" s="53"/>
      <c r="S543" s="53"/>
      <c r="T543" s="53"/>
      <c r="U543" s="53"/>
    </row>
    <row r="544" spans="1:21" ht="16.8" x14ac:dyDescent="0.65">
      <c r="A544" s="54"/>
      <c r="B544" s="53"/>
      <c r="C544" s="53"/>
      <c r="D544" s="53"/>
      <c r="E544" s="53"/>
      <c r="F544" s="53"/>
      <c r="G544" s="54"/>
      <c r="H544" s="53"/>
      <c r="I544" s="53"/>
      <c r="J544" s="53"/>
      <c r="K544" s="53"/>
      <c r="L544" s="53"/>
      <c r="M544" s="53"/>
      <c r="N544" s="53"/>
      <c r="O544" s="53"/>
      <c r="P544" s="53"/>
      <c r="Q544" s="53"/>
      <c r="R544" s="53"/>
      <c r="S544" s="53"/>
      <c r="T544" s="53"/>
      <c r="U544" s="53"/>
    </row>
    <row r="545" spans="1:21" ht="16.8" x14ac:dyDescent="0.65">
      <c r="A545" s="54"/>
      <c r="B545" s="53"/>
      <c r="C545" s="53"/>
      <c r="D545" s="53"/>
      <c r="E545" s="53"/>
      <c r="F545" s="53"/>
      <c r="G545" s="54"/>
      <c r="H545" s="53"/>
      <c r="I545" s="53"/>
      <c r="J545" s="53"/>
      <c r="K545" s="53"/>
      <c r="L545" s="53"/>
      <c r="M545" s="53"/>
      <c r="N545" s="53"/>
      <c r="O545" s="53"/>
      <c r="P545" s="53"/>
      <c r="Q545" s="53"/>
      <c r="R545" s="53"/>
      <c r="S545" s="53"/>
      <c r="T545" s="53"/>
      <c r="U545" s="53"/>
    </row>
    <row r="546" spans="1:21" ht="16.8" x14ac:dyDescent="0.65">
      <c r="A546" s="54"/>
      <c r="B546" s="53"/>
      <c r="C546" s="53"/>
      <c r="D546" s="53"/>
      <c r="E546" s="53"/>
      <c r="F546" s="53"/>
      <c r="G546" s="54"/>
      <c r="H546" s="53"/>
      <c r="I546" s="53"/>
      <c r="J546" s="53"/>
      <c r="K546" s="53"/>
      <c r="L546" s="53"/>
      <c r="M546" s="53"/>
      <c r="N546" s="53"/>
      <c r="O546" s="53"/>
      <c r="P546" s="53"/>
      <c r="Q546" s="53"/>
      <c r="R546" s="53"/>
      <c r="S546" s="53"/>
      <c r="T546" s="53"/>
      <c r="U546" s="53"/>
    </row>
    <row r="547" spans="1:21" ht="16.8" x14ac:dyDescent="0.65">
      <c r="A547" s="54"/>
      <c r="B547" s="53"/>
      <c r="C547" s="53"/>
      <c r="D547" s="53"/>
      <c r="E547" s="53"/>
      <c r="F547" s="53"/>
      <c r="G547" s="54"/>
      <c r="H547" s="53"/>
      <c r="I547" s="53"/>
      <c r="J547" s="53"/>
      <c r="K547" s="53"/>
      <c r="L547" s="53"/>
      <c r="M547" s="53"/>
      <c r="N547" s="53"/>
      <c r="O547" s="53"/>
      <c r="P547" s="53"/>
      <c r="Q547" s="53"/>
      <c r="R547" s="53"/>
      <c r="S547" s="53"/>
      <c r="T547" s="53"/>
      <c r="U547" s="53"/>
    </row>
    <row r="548" spans="1:21" ht="16.8" x14ac:dyDescent="0.65">
      <c r="A548" s="54"/>
      <c r="B548" s="53"/>
      <c r="C548" s="53"/>
      <c r="D548" s="53"/>
      <c r="E548" s="53"/>
      <c r="F548" s="53"/>
      <c r="G548" s="54"/>
      <c r="H548" s="53"/>
      <c r="I548" s="53"/>
      <c r="J548" s="53"/>
      <c r="K548" s="53"/>
      <c r="L548" s="53"/>
      <c r="M548" s="53"/>
      <c r="N548" s="53"/>
      <c r="O548" s="53"/>
      <c r="P548" s="53"/>
      <c r="Q548" s="53"/>
      <c r="R548" s="53"/>
      <c r="S548" s="53"/>
      <c r="T548" s="53"/>
      <c r="U548" s="53"/>
    </row>
    <row r="549" spans="1:21" ht="16.8" x14ac:dyDescent="0.65">
      <c r="A549" s="54"/>
      <c r="B549" s="53"/>
      <c r="C549" s="53"/>
      <c r="D549" s="53"/>
      <c r="E549" s="53"/>
      <c r="F549" s="53"/>
      <c r="G549" s="54"/>
      <c r="H549" s="53"/>
      <c r="I549" s="53"/>
      <c r="J549" s="53"/>
      <c r="K549" s="53"/>
      <c r="L549" s="53"/>
      <c r="M549" s="53"/>
      <c r="N549" s="53"/>
      <c r="O549" s="53"/>
      <c r="P549" s="53"/>
      <c r="Q549" s="53"/>
      <c r="R549" s="53"/>
      <c r="S549" s="53"/>
      <c r="T549" s="53"/>
      <c r="U549" s="53"/>
    </row>
    <row r="550" spans="1:21" ht="16.8" x14ac:dyDescent="0.65">
      <c r="A550" s="54"/>
      <c r="B550" s="53"/>
      <c r="C550" s="53"/>
      <c r="D550" s="53"/>
      <c r="E550" s="53"/>
      <c r="F550" s="53"/>
      <c r="G550" s="54"/>
      <c r="H550" s="53"/>
      <c r="I550" s="53"/>
      <c r="J550" s="53"/>
      <c r="K550" s="53"/>
      <c r="L550" s="53"/>
      <c r="M550" s="53"/>
      <c r="N550" s="53"/>
      <c r="O550" s="53"/>
      <c r="P550" s="53"/>
      <c r="Q550" s="53"/>
      <c r="R550" s="53"/>
      <c r="S550" s="53"/>
      <c r="T550" s="53"/>
      <c r="U550" s="53"/>
    </row>
    <row r="551" spans="1:21" ht="16.8" x14ac:dyDescent="0.65">
      <c r="A551" s="54"/>
      <c r="B551" s="53"/>
      <c r="C551" s="53"/>
      <c r="D551" s="53"/>
      <c r="E551" s="53"/>
      <c r="F551" s="53"/>
      <c r="G551" s="54"/>
      <c r="H551" s="53"/>
      <c r="I551" s="53"/>
      <c r="J551" s="53"/>
      <c r="K551" s="53"/>
      <c r="L551" s="53"/>
      <c r="M551" s="53"/>
      <c r="N551" s="53"/>
      <c r="O551" s="53"/>
      <c r="P551" s="53"/>
      <c r="Q551" s="53"/>
      <c r="R551" s="53"/>
      <c r="S551" s="53"/>
      <c r="T551" s="53"/>
      <c r="U551" s="53"/>
    </row>
    <row r="552" spans="1:21" ht="16.8" x14ac:dyDescent="0.65">
      <c r="A552" s="54"/>
      <c r="B552" s="53"/>
      <c r="C552" s="53"/>
      <c r="D552" s="53"/>
      <c r="E552" s="53"/>
      <c r="F552" s="53"/>
      <c r="G552" s="54"/>
      <c r="H552" s="53"/>
      <c r="I552" s="53"/>
      <c r="J552" s="53"/>
      <c r="K552" s="53"/>
      <c r="L552" s="53"/>
      <c r="M552" s="53"/>
      <c r="N552" s="53"/>
      <c r="O552" s="53"/>
      <c r="P552" s="53"/>
      <c r="Q552" s="53"/>
      <c r="R552" s="53"/>
      <c r="S552" s="53"/>
      <c r="T552" s="53"/>
      <c r="U552" s="53"/>
    </row>
    <row r="553" spans="1:21" ht="16.8" x14ac:dyDescent="0.65">
      <c r="A553" s="54"/>
      <c r="B553" s="53"/>
      <c r="C553" s="53"/>
      <c r="D553" s="53"/>
      <c r="E553" s="53"/>
      <c r="F553" s="53"/>
      <c r="G553" s="54"/>
      <c r="H553" s="53"/>
      <c r="I553" s="53"/>
      <c r="J553" s="53"/>
      <c r="K553" s="53"/>
      <c r="L553" s="53"/>
      <c r="M553" s="53"/>
      <c r="N553" s="53"/>
      <c r="O553" s="53"/>
      <c r="P553" s="53"/>
      <c r="Q553" s="53"/>
      <c r="R553" s="53"/>
      <c r="S553" s="53"/>
      <c r="T553" s="53"/>
      <c r="U553" s="53"/>
    </row>
    <row r="554" spans="1:21" ht="16.8" x14ac:dyDescent="0.65">
      <c r="A554" s="54"/>
      <c r="B554" s="53"/>
      <c r="C554" s="53"/>
      <c r="D554" s="53"/>
      <c r="E554" s="53"/>
      <c r="F554" s="53"/>
      <c r="G554" s="54"/>
      <c r="H554" s="53"/>
      <c r="I554" s="53"/>
      <c r="J554" s="53"/>
      <c r="K554" s="53"/>
      <c r="L554" s="53"/>
      <c r="M554" s="53"/>
      <c r="N554" s="53"/>
      <c r="O554" s="53"/>
      <c r="P554" s="53"/>
      <c r="Q554" s="53"/>
      <c r="R554" s="53"/>
      <c r="S554" s="53"/>
      <c r="T554" s="53"/>
      <c r="U554" s="53"/>
    </row>
    <row r="555" spans="1:21" ht="16.8" x14ac:dyDescent="0.65">
      <c r="A555" s="54"/>
      <c r="B555" s="53"/>
      <c r="C555" s="53"/>
      <c r="D555" s="53"/>
      <c r="E555" s="53"/>
      <c r="F555" s="53"/>
      <c r="G555" s="54"/>
      <c r="H555" s="53"/>
      <c r="I555" s="53"/>
      <c r="J555" s="53"/>
      <c r="K555" s="53"/>
      <c r="L555" s="53"/>
      <c r="M555" s="53"/>
      <c r="N555" s="53"/>
      <c r="O555" s="53"/>
      <c r="P555" s="53"/>
      <c r="Q555" s="53"/>
      <c r="R555" s="53"/>
      <c r="S555" s="53"/>
      <c r="T555" s="53"/>
      <c r="U555" s="53"/>
    </row>
    <row r="556" spans="1:21" ht="16.8" x14ac:dyDescent="0.65">
      <c r="A556" s="54"/>
      <c r="B556" s="53"/>
      <c r="C556" s="53"/>
      <c r="D556" s="53"/>
      <c r="E556" s="53"/>
      <c r="F556" s="53"/>
      <c r="G556" s="54"/>
      <c r="H556" s="53"/>
      <c r="I556" s="53"/>
      <c r="J556" s="53"/>
      <c r="K556" s="53"/>
      <c r="L556" s="53"/>
      <c r="M556" s="53"/>
      <c r="N556" s="53"/>
      <c r="O556" s="53"/>
      <c r="P556" s="53"/>
      <c r="Q556" s="53"/>
      <c r="R556" s="53"/>
      <c r="S556" s="53"/>
      <c r="T556" s="53"/>
      <c r="U556" s="53"/>
    </row>
    <row r="557" spans="1:21" ht="16.8" x14ac:dyDescent="0.65">
      <c r="A557" s="54"/>
      <c r="B557" s="53"/>
      <c r="C557" s="53"/>
      <c r="D557" s="53"/>
      <c r="E557" s="53"/>
      <c r="F557" s="53"/>
      <c r="G557" s="54"/>
      <c r="H557" s="53"/>
      <c r="I557" s="53"/>
      <c r="J557" s="53"/>
      <c r="K557" s="53"/>
      <c r="L557" s="53"/>
      <c r="M557" s="53"/>
      <c r="N557" s="53"/>
      <c r="O557" s="53"/>
      <c r="P557" s="53"/>
      <c r="Q557" s="53"/>
      <c r="R557" s="53"/>
      <c r="S557" s="53"/>
      <c r="T557" s="53"/>
      <c r="U557" s="53"/>
    </row>
    <row r="558" spans="1:21" ht="16.8" x14ac:dyDescent="0.65">
      <c r="A558" s="54"/>
      <c r="B558" s="53"/>
      <c r="C558" s="53"/>
      <c r="D558" s="53"/>
      <c r="E558" s="53"/>
      <c r="F558" s="53"/>
      <c r="G558" s="54"/>
      <c r="H558" s="53"/>
      <c r="I558" s="53"/>
      <c r="J558" s="53"/>
      <c r="K558" s="53"/>
      <c r="L558" s="53"/>
      <c r="M558" s="53"/>
      <c r="N558" s="53"/>
      <c r="O558" s="53"/>
      <c r="P558" s="53"/>
      <c r="Q558" s="53"/>
      <c r="R558" s="53"/>
      <c r="S558" s="53"/>
      <c r="T558" s="53"/>
      <c r="U558" s="53"/>
    </row>
    <row r="559" spans="1:21" ht="16.8" x14ac:dyDescent="0.65">
      <c r="A559" s="54"/>
      <c r="B559" s="53"/>
      <c r="C559" s="53"/>
      <c r="D559" s="53"/>
      <c r="E559" s="53"/>
      <c r="F559" s="53"/>
      <c r="G559" s="54"/>
      <c r="H559" s="53"/>
      <c r="I559" s="53"/>
      <c r="J559" s="53"/>
      <c r="K559" s="53"/>
      <c r="L559" s="53"/>
      <c r="M559" s="53"/>
      <c r="N559" s="53"/>
      <c r="O559" s="53"/>
      <c r="P559" s="53"/>
      <c r="Q559" s="53"/>
      <c r="R559" s="53"/>
      <c r="S559" s="53"/>
      <c r="T559" s="53"/>
      <c r="U559" s="53"/>
    </row>
    <row r="560" spans="1:21" ht="16.8" x14ac:dyDescent="0.65">
      <c r="A560" s="54"/>
      <c r="B560" s="53"/>
      <c r="C560" s="53"/>
      <c r="D560" s="53"/>
      <c r="E560" s="53"/>
      <c r="F560" s="53"/>
      <c r="G560" s="54"/>
      <c r="H560" s="53"/>
      <c r="I560" s="53"/>
      <c r="J560" s="53"/>
      <c r="K560" s="53"/>
      <c r="L560" s="53"/>
      <c r="M560" s="53"/>
      <c r="N560" s="53"/>
      <c r="O560" s="53"/>
      <c r="P560" s="53"/>
      <c r="Q560" s="53"/>
      <c r="R560" s="53"/>
      <c r="S560" s="53"/>
      <c r="T560" s="53"/>
      <c r="U560" s="53"/>
    </row>
    <row r="561" spans="1:21" ht="16.8" x14ac:dyDescent="0.65">
      <c r="A561" s="54"/>
      <c r="B561" s="53"/>
      <c r="C561" s="53"/>
      <c r="D561" s="53"/>
      <c r="E561" s="53"/>
      <c r="F561" s="53"/>
      <c r="G561" s="54"/>
      <c r="H561" s="53"/>
      <c r="I561" s="53"/>
      <c r="J561" s="53"/>
      <c r="K561" s="53"/>
      <c r="L561" s="53"/>
      <c r="M561" s="53"/>
      <c r="N561" s="53"/>
      <c r="O561" s="53"/>
      <c r="P561" s="53"/>
      <c r="Q561" s="53"/>
      <c r="R561" s="53"/>
      <c r="S561" s="53"/>
      <c r="T561" s="53"/>
      <c r="U561" s="53"/>
    </row>
    <row r="562" spans="1:21" ht="16.8" x14ac:dyDescent="0.65">
      <c r="A562" s="54"/>
      <c r="B562" s="53"/>
      <c r="C562" s="53"/>
      <c r="D562" s="53"/>
      <c r="E562" s="53"/>
      <c r="F562" s="53"/>
      <c r="G562" s="54"/>
      <c r="H562" s="53"/>
      <c r="I562" s="53"/>
      <c r="J562" s="53"/>
      <c r="K562" s="53"/>
      <c r="L562" s="53"/>
      <c r="M562" s="53"/>
      <c r="N562" s="53"/>
      <c r="O562" s="53"/>
      <c r="P562" s="53"/>
      <c r="Q562" s="53"/>
      <c r="R562" s="53"/>
      <c r="S562" s="53"/>
      <c r="T562" s="53"/>
      <c r="U562" s="53"/>
    </row>
    <row r="563" spans="1:21" ht="16.8" x14ac:dyDescent="0.65">
      <c r="A563" s="54"/>
      <c r="B563" s="53"/>
      <c r="C563" s="53"/>
      <c r="D563" s="53"/>
      <c r="E563" s="53"/>
      <c r="F563" s="53"/>
      <c r="G563" s="54"/>
      <c r="H563" s="53"/>
      <c r="I563" s="53"/>
      <c r="J563" s="53"/>
      <c r="K563" s="53"/>
      <c r="L563" s="53"/>
      <c r="M563" s="53"/>
      <c r="N563" s="53"/>
      <c r="O563" s="53"/>
      <c r="P563" s="53"/>
      <c r="Q563" s="53"/>
      <c r="R563" s="53"/>
      <c r="S563" s="53"/>
      <c r="T563" s="53"/>
      <c r="U563" s="53"/>
    </row>
    <row r="564" spans="1:21" ht="16.8" x14ac:dyDescent="0.65">
      <c r="A564" s="54"/>
      <c r="B564" s="53"/>
      <c r="C564" s="53"/>
      <c r="D564" s="53"/>
      <c r="E564" s="53"/>
      <c r="F564" s="53"/>
      <c r="G564" s="54"/>
      <c r="H564" s="53"/>
      <c r="I564" s="53"/>
      <c r="J564" s="53"/>
      <c r="K564" s="53"/>
      <c r="L564" s="53"/>
      <c r="M564" s="53"/>
      <c r="N564" s="53"/>
      <c r="O564" s="53"/>
      <c r="P564" s="53"/>
      <c r="Q564" s="53"/>
      <c r="R564" s="53"/>
      <c r="S564" s="53"/>
      <c r="T564" s="53"/>
      <c r="U564" s="53"/>
    </row>
    <row r="565" spans="1:21" ht="16.8" x14ac:dyDescent="0.65">
      <c r="A565" s="54"/>
      <c r="B565" s="53"/>
      <c r="C565" s="53"/>
      <c r="D565" s="53"/>
      <c r="E565" s="53"/>
      <c r="F565" s="53"/>
      <c r="G565" s="54"/>
      <c r="H565" s="53"/>
      <c r="I565" s="53"/>
      <c r="J565" s="53"/>
      <c r="K565" s="53"/>
      <c r="L565" s="53"/>
      <c r="M565" s="53"/>
      <c r="N565" s="53"/>
      <c r="O565" s="53"/>
      <c r="P565" s="53"/>
      <c r="Q565" s="53"/>
      <c r="R565" s="53"/>
      <c r="S565" s="53"/>
      <c r="T565" s="53"/>
      <c r="U565" s="53"/>
    </row>
    <row r="566" spans="1:21" ht="16.8" x14ac:dyDescent="0.65">
      <c r="A566" s="54"/>
      <c r="B566" s="53"/>
      <c r="C566" s="53"/>
      <c r="D566" s="53"/>
      <c r="E566" s="53"/>
      <c r="F566" s="53"/>
      <c r="G566" s="54"/>
      <c r="H566" s="53"/>
      <c r="I566" s="53"/>
      <c r="J566" s="53"/>
      <c r="K566" s="53"/>
      <c r="L566" s="53"/>
      <c r="M566" s="53"/>
      <c r="N566" s="53"/>
      <c r="O566" s="53"/>
      <c r="P566" s="53"/>
      <c r="Q566" s="53"/>
      <c r="R566" s="53"/>
      <c r="S566" s="53"/>
      <c r="T566" s="53"/>
      <c r="U566" s="53"/>
    </row>
    <row r="567" spans="1:21" ht="16.8" x14ac:dyDescent="0.65">
      <c r="A567" s="54"/>
      <c r="B567" s="53"/>
      <c r="C567" s="53"/>
      <c r="D567" s="53"/>
      <c r="E567" s="53"/>
      <c r="F567" s="53"/>
      <c r="G567" s="54"/>
      <c r="H567" s="53"/>
      <c r="I567" s="53"/>
      <c r="J567" s="53"/>
      <c r="K567" s="53"/>
      <c r="L567" s="53"/>
      <c r="M567" s="53"/>
      <c r="N567" s="53"/>
      <c r="O567" s="53"/>
      <c r="P567" s="53"/>
      <c r="Q567" s="53"/>
      <c r="R567" s="53"/>
      <c r="S567" s="53"/>
      <c r="T567" s="53"/>
      <c r="U567" s="53"/>
    </row>
    <row r="568" spans="1:21" ht="16.8" x14ac:dyDescent="0.65">
      <c r="A568" s="54"/>
      <c r="B568" s="53"/>
      <c r="C568" s="53"/>
      <c r="D568" s="53"/>
      <c r="E568" s="53"/>
      <c r="F568" s="53"/>
      <c r="G568" s="54"/>
      <c r="H568" s="53"/>
      <c r="I568" s="53"/>
      <c r="J568" s="53"/>
      <c r="K568" s="53"/>
      <c r="L568" s="53"/>
      <c r="M568" s="53"/>
      <c r="N568" s="53"/>
      <c r="O568" s="53"/>
      <c r="P568" s="53"/>
      <c r="Q568" s="53"/>
      <c r="R568" s="53"/>
      <c r="S568" s="53"/>
      <c r="T568" s="53"/>
      <c r="U568" s="53"/>
    </row>
    <row r="569" spans="1:21" ht="16.8" x14ac:dyDescent="0.65">
      <c r="A569" s="54"/>
      <c r="B569" s="53"/>
      <c r="C569" s="53"/>
      <c r="D569" s="53"/>
      <c r="E569" s="53"/>
      <c r="F569" s="53"/>
      <c r="G569" s="54"/>
      <c r="H569" s="53"/>
      <c r="I569" s="53"/>
      <c r="J569" s="53"/>
      <c r="K569" s="53"/>
      <c r="L569" s="53"/>
      <c r="M569" s="53"/>
      <c r="N569" s="53"/>
      <c r="O569" s="53"/>
      <c r="P569" s="53"/>
      <c r="Q569" s="53"/>
      <c r="R569" s="53"/>
      <c r="S569" s="53"/>
      <c r="T569" s="53"/>
      <c r="U569" s="53"/>
    </row>
    <row r="570" spans="1:21" ht="16.8" x14ac:dyDescent="0.65">
      <c r="A570" s="54"/>
      <c r="B570" s="53"/>
      <c r="C570" s="53"/>
      <c r="D570" s="53"/>
      <c r="E570" s="53"/>
      <c r="F570" s="53"/>
      <c r="G570" s="54"/>
      <c r="H570" s="53"/>
      <c r="I570" s="53"/>
      <c r="J570" s="53"/>
      <c r="K570" s="53"/>
      <c r="L570" s="53"/>
      <c r="M570" s="53"/>
      <c r="N570" s="53"/>
      <c r="O570" s="53"/>
      <c r="P570" s="53"/>
      <c r="Q570" s="53"/>
      <c r="R570" s="53"/>
      <c r="S570" s="53"/>
      <c r="T570" s="53"/>
      <c r="U570" s="53"/>
    </row>
    <row r="571" spans="1:21" ht="16.8" x14ac:dyDescent="0.65">
      <c r="A571" s="54"/>
      <c r="B571" s="53"/>
      <c r="C571" s="53"/>
      <c r="D571" s="53"/>
      <c r="E571" s="53"/>
      <c r="F571" s="53"/>
      <c r="G571" s="54"/>
      <c r="H571" s="53"/>
      <c r="I571" s="53"/>
      <c r="J571" s="53"/>
      <c r="K571" s="53"/>
      <c r="L571" s="53"/>
      <c r="M571" s="53"/>
      <c r="N571" s="53"/>
      <c r="O571" s="53"/>
      <c r="P571" s="53"/>
      <c r="Q571" s="53"/>
      <c r="R571" s="53"/>
      <c r="S571" s="53"/>
      <c r="T571" s="53"/>
      <c r="U571" s="53"/>
    </row>
    <row r="572" spans="1:21" ht="16.8" x14ac:dyDescent="0.65">
      <c r="A572" s="54"/>
      <c r="B572" s="53"/>
      <c r="C572" s="53"/>
      <c r="D572" s="53"/>
      <c r="E572" s="53"/>
      <c r="F572" s="53"/>
      <c r="G572" s="54"/>
      <c r="H572" s="53"/>
      <c r="I572" s="53"/>
      <c r="J572" s="53"/>
      <c r="K572" s="53"/>
      <c r="L572" s="53"/>
      <c r="M572" s="53"/>
      <c r="N572" s="53"/>
      <c r="O572" s="53"/>
      <c r="P572" s="53"/>
      <c r="Q572" s="53"/>
      <c r="R572" s="53"/>
      <c r="S572" s="53"/>
      <c r="T572" s="53"/>
      <c r="U572" s="53"/>
    </row>
    <row r="573" spans="1:21" ht="16.8" x14ac:dyDescent="0.65">
      <c r="A573" s="54"/>
      <c r="B573" s="53"/>
      <c r="C573" s="53"/>
      <c r="D573" s="53"/>
      <c r="E573" s="53"/>
      <c r="F573" s="53"/>
      <c r="G573" s="54"/>
      <c r="H573" s="53"/>
      <c r="I573" s="53"/>
      <c r="J573" s="53"/>
      <c r="K573" s="53"/>
      <c r="L573" s="53"/>
      <c r="M573" s="53"/>
      <c r="N573" s="53"/>
      <c r="O573" s="53"/>
      <c r="P573" s="53"/>
      <c r="Q573" s="53"/>
      <c r="R573" s="53"/>
      <c r="S573" s="53"/>
      <c r="T573" s="53"/>
      <c r="U573" s="53"/>
    </row>
    <row r="574" spans="1:21" ht="16.8" x14ac:dyDescent="0.65">
      <c r="A574" s="54"/>
      <c r="B574" s="53"/>
      <c r="C574" s="53"/>
      <c r="D574" s="53"/>
      <c r="E574" s="53"/>
      <c r="F574" s="53"/>
      <c r="G574" s="54"/>
      <c r="H574" s="53"/>
      <c r="I574" s="53"/>
      <c r="J574" s="53"/>
      <c r="K574" s="53"/>
      <c r="L574" s="53"/>
      <c r="M574" s="53"/>
      <c r="N574" s="53"/>
      <c r="O574" s="53"/>
      <c r="P574" s="53"/>
      <c r="Q574" s="53"/>
      <c r="R574" s="53"/>
      <c r="S574" s="53"/>
      <c r="T574" s="53"/>
      <c r="U574" s="53"/>
    </row>
    <row r="575" spans="1:21" ht="16.8" x14ac:dyDescent="0.65">
      <c r="A575" s="54"/>
      <c r="B575" s="53"/>
      <c r="C575" s="53"/>
      <c r="D575" s="53"/>
      <c r="E575" s="53"/>
      <c r="F575" s="53"/>
      <c r="G575" s="54"/>
      <c r="H575" s="53"/>
      <c r="I575" s="53"/>
      <c r="J575" s="53"/>
      <c r="K575" s="53"/>
      <c r="L575" s="53"/>
      <c r="M575" s="53"/>
      <c r="N575" s="53"/>
      <c r="O575" s="53"/>
      <c r="P575" s="53"/>
      <c r="Q575" s="53"/>
      <c r="R575" s="53"/>
      <c r="S575" s="53"/>
      <c r="T575" s="53"/>
      <c r="U575" s="53"/>
    </row>
    <row r="576" spans="1:21" ht="16.8" x14ac:dyDescent="0.65">
      <c r="A576" s="54"/>
      <c r="B576" s="53"/>
      <c r="C576" s="53"/>
      <c r="D576" s="53"/>
      <c r="E576" s="53"/>
      <c r="F576" s="53"/>
      <c r="G576" s="54"/>
      <c r="H576" s="53"/>
      <c r="I576" s="53"/>
      <c r="J576" s="53"/>
      <c r="K576" s="53"/>
      <c r="L576" s="53"/>
      <c r="M576" s="53"/>
      <c r="N576" s="53"/>
      <c r="O576" s="53"/>
      <c r="P576" s="53"/>
      <c r="Q576" s="53"/>
      <c r="R576" s="53"/>
      <c r="S576" s="53"/>
      <c r="T576" s="53"/>
      <c r="U576" s="53"/>
    </row>
    <row r="577" spans="1:21" ht="16.8" x14ac:dyDescent="0.65">
      <c r="A577" s="54"/>
      <c r="B577" s="53"/>
      <c r="C577" s="53"/>
      <c r="D577" s="53"/>
      <c r="E577" s="53"/>
      <c r="F577" s="53"/>
      <c r="G577" s="54"/>
      <c r="H577" s="53"/>
      <c r="I577" s="53"/>
      <c r="J577" s="53"/>
      <c r="K577" s="53"/>
      <c r="L577" s="53"/>
      <c r="M577" s="53"/>
      <c r="N577" s="53"/>
      <c r="O577" s="53"/>
      <c r="P577" s="53"/>
      <c r="Q577" s="53"/>
      <c r="R577" s="53"/>
      <c r="S577" s="53"/>
      <c r="T577" s="53"/>
      <c r="U577" s="53"/>
    </row>
    <row r="578" spans="1:21" ht="16.8" x14ac:dyDescent="0.65">
      <c r="A578" s="54"/>
      <c r="B578" s="53"/>
      <c r="C578" s="53"/>
      <c r="D578" s="53"/>
      <c r="E578" s="53"/>
      <c r="F578" s="53"/>
      <c r="G578" s="54"/>
      <c r="H578" s="53"/>
      <c r="I578" s="53"/>
      <c r="J578" s="53"/>
      <c r="K578" s="53"/>
      <c r="L578" s="53"/>
      <c r="M578" s="53"/>
      <c r="N578" s="53"/>
      <c r="O578" s="53"/>
      <c r="P578" s="53"/>
      <c r="Q578" s="53"/>
      <c r="R578" s="53"/>
      <c r="S578" s="53"/>
      <c r="T578" s="53"/>
      <c r="U578" s="53"/>
    </row>
    <row r="579" spans="1:21" ht="16.8" x14ac:dyDescent="0.65">
      <c r="A579" s="54"/>
      <c r="B579" s="53"/>
      <c r="C579" s="53"/>
      <c r="D579" s="53"/>
      <c r="E579" s="53"/>
      <c r="F579" s="53"/>
      <c r="G579" s="54"/>
      <c r="H579" s="53"/>
      <c r="I579" s="53"/>
      <c r="J579" s="53"/>
      <c r="K579" s="53"/>
      <c r="L579" s="53"/>
      <c r="M579" s="53"/>
      <c r="N579" s="53"/>
      <c r="O579" s="53"/>
      <c r="P579" s="53"/>
      <c r="Q579" s="53"/>
      <c r="R579" s="53"/>
      <c r="S579" s="53"/>
      <c r="T579" s="53"/>
      <c r="U579" s="53"/>
    </row>
    <row r="580" spans="1:21" ht="16.8" x14ac:dyDescent="0.65">
      <c r="A580" s="54"/>
      <c r="B580" s="53"/>
      <c r="C580" s="53"/>
      <c r="D580" s="53"/>
      <c r="E580" s="53"/>
      <c r="F580" s="53"/>
      <c r="G580" s="54"/>
      <c r="H580" s="53"/>
      <c r="I580" s="53"/>
      <c r="J580" s="53"/>
      <c r="K580" s="53"/>
      <c r="L580" s="53"/>
      <c r="M580" s="53"/>
      <c r="N580" s="53"/>
      <c r="O580" s="53"/>
      <c r="P580" s="53"/>
      <c r="Q580" s="53"/>
      <c r="R580" s="53"/>
      <c r="S580" s="53"/>
      <c r="T580" s="53"/>
      <c r="U580" s="53"/>
    </row>
    <row r="581" spans="1:21" ht="16.8" x14ac:dyDescent="0.65">
      <c r="A581" s="54"/>
      <c r="B581" s="53"/>
      <c r="C581" s="53"/>
      <c r="D581" s="53"/>
      <c r="E581" s="53"/>
      <c r="F581" s="53"/>
      <c r="G581" s="54"/>
      <c r="H581" s="53"/>
      <c r="I581" s="53"/>
      <c r="J581" s="53"/>
      <c r="K581" s="53"/>
      <c r="L581" s="53"/>
      <c r="M581" s="53"/>
      <c r="N581" s="53"/>
      <c r="O581" s="53"/>
      <c r="P581" s="53"/>
      <c r="Q581" s="53"/>
      <c r="R581" s="53"/>
      <c r="S581" s="53"/>
      <c r="T581" s="53"/>
      <c r="U581" s="53"/>
    </row>
    <row r="582" spans="1:21" ht="16.8" x14ac:dyDescent="0.65">
      <c r="A582" s="54"/>
      <c r="B582" s="53"/>
      <c r="C582" s="53"/>
      <c r="D582" s="53"/>
      <c r="E582" s="53"/>
      <c r="F582" s="53"/>
      <c r="G582" s="54"/>
      <c r="H582" s="53"/>
      <c r="I582" s="53"/>
      <c r="J582" s="53"/>
      <c r="K582" s="53"/>
      <c r="L582" s="53"/>
      <c r="M582" s="53"/>
      <c r="N582" s="53"/>
      <c r="O582" s="53"/>
      <c r="P582" s="53"/>
      <c r="Q582" s="53"/>
      <c r="R582" s="53"/>
      <c r="S582" s="53"/>
      <c r="T582" s="53"/>
      <c r="U582" s="53"/>
    </row>
    <row r="583" spans="1:21" ht="16.8" x14ac:dyDescent="0.65">
      <c r="A583" s="54"/>
      <c r="B583" s="53"/>
      <c r="C583" s="53"/>
      <c r="D583" s="53"/>
      <c r="E583" s="53"/>
      <c r="F583" s="53"/>
      <c r="G583" s="54"/>
      <c r="H583" s="53"/>
      <c r="I583" s="53"/>
      <c r="J583" s="53"/>
      <c r="K583" s="53"/>
      <c r="L583" s="53"/>
      <c r="M583" s="53"/>
      <c r="N583" s="53"/>
      <c r="O583" s="53"/>
      <c r="P583" s="53"/>
      <c r="Q583" s="53"/>
      <c r="R583" s="53"/>
      <c r="S583" s="53"/>
      <c r="T583" s="53"/>
      <c r="U583" s="53"/>
    </row>
    <row r="584" spans="1:21" ht="16.8" x14ac:dyDescent="0.65">
      <c r="A584" s="54"/>
      <c r="B584" s="53"/>
      <c r="C584" s="53"/>
      <c r="D584" s="53"/>
      <c r="E584" s="53"/>
      <c r="F584" s="53"/>
      <c r="G584" s="54"/>
      <c r="H584" s="53"/>
      <c r="I584" s="53"/>
      <c r="J584" s="53"/>
      <c r="K584" s="53"/>
      <c r="L584" s="53"/>
      <c r="M584" s="53"/>
      <c r="N584" s="53"/>
      <c r="O584" s="53"/>
      <c r="P584" s="53"/>
      <c r="Q584" s="53"/>
      <c r="R584" s="53"/>
      <c r="S584" s="53"/>
      <c r="T584" s="53"/>
      <c r="U584" s="53"/>
    </row>
    <row r="585" spans="1:21" ht="16.8" x14ac:dyDescent="0.65">
      <c r="A585" s="54"/>
      <c r="B585" s="53"/>
      <c r="C585" s="53"/>
      <c r="D585" s="53"/>
      <c r="E585" s="53"/>
      <c r="F585" s="53"/>
      <c r="G585" s="54"/>
      <c r="H585" s="53"/>
      <c r="I585" s="53"/>
      <c r="J585" s="53"/>
      <c r="K585" s="53"/>
      <c r="L585" s="53"/>
      <c r="M585" s="53"/>
      <c r="N585" s="53"/>
      <c r="O585" s="53"/>
      <c r="P585" s="53"/>
      <c r="Q585" s="53"/>
      <c r="R585" s="53"/>
      <c r="S585" s="53"/>
      <c r="T585" s="53"/>
      <c r="U585" s="53"/>
    </row>
    <row r="586" spans="1:21" ht="16.8" x14ac:dyDescent="0.65">
      <c r="A586" s="54"/>
      <c r="B586" s="53"/>
      <c r="C586" s="53"/>
      <c r="D586" s="53"/>
      <c r="E586" s="53"/>
      <c r="F586" s="53"/>
      <c r="G586" s="54"/>
      <c r="H586" s="53"/>
      <c r="I586" s="53"/>
      <c r="J586" s="53"/>
      <c r="K586" s="53"/>
      <c r="L586" s="53"/>
      <c r="M586" s="53"/>
      <c r="N586" s="53"/>
      <c r="O586" s="53"/>
      <c r="P586" s="53"/>
      <c r="Q586" s="53"/>
      <c r="R586" s="53"/>
      <c r="S586" s="53"/>
      <c r="T586" s="53"/>
      <c r="U586" s="53"/>
    </row>
    <row r="587" spans="1:21" ht="16.8" x14ac:dyDescent="0.65">
      <c r="A587" s="54"/>
      <c r="B587" s="53"/>
      <c r="C587" s="53"/>
      <c r="D587" s="53"/>
      <c r="E587" s="53"/>
      <c r="F587" s="53"/>
      <c r="G587" s="54"/>
      <c r="H587" s="53"/>
      <c r="I587" s="53"/>
      <c r="J587" s="53"/>
      <c r="K587" s="53"/>
      <c r="L587" s="53"/>
      <c r="M587" s="53"/>
      <c r="N587" s="53"/>
      <c r="O587" s="53"/>
      <c r="P587" s="53"/>
      <c r="Q587" s="53"/>
      <c r="R587" s="53"/>
      <c r="S587" s="53"/>
      <c r="T587" s="53"/>
      <c r="U587" s="53"/>
    </row>
    <row r="588" spans="1:21" ht="16.8" x14ac:dyDescent="0.65">
      <c r="A588" s="54"/>
      <c r="B588" s="53"/>
      <c r="C588" s="53"/>
      <c r="D588" s="53"/>
      <c r="E588" s="53"/>
      <c r="F588" s="53"/>
      <c r="G588" s="54"/>
      <c r="H588" s="53"/>
      <c r="I588" s="53"/>
      <c r="J588" s="53"/>
      <c r="K588" s="53"/>
      <c r="L588" s="53"/>
      <c r="M588" s="53"/>
      <c r="N588" s="53"/>
      <c r="O588" s="53"/>
      <c r="P588" s="53"/>
      <c r="Q588" s="53"/>
      <c r="R588" s="53"/>
      <c r="S588" s="53"/>
      <c r="T588" s="53"/>
      <c r="U588" s="53"/>
    </row>
    <row r="589" spans="1:21" ht="16.8" x14ac:dyDescent="0.65">
      <c r="A589" s="54"/>
      <c r="B589" s="53"/>
      <c r="C589" s="53"/>
      <c r="D589" s="53"/>
      <c r="E589" s="53"/>
      <c r="F589" s="53"/>
      <c r="G589" s="54"/>
      <c r="H589" s="53"/>
      <c r="I589" s="53"/>
      <c r="J589" s="53"/>
      <c r="K589" s="53"/>
      <c r="L589" s="53"/>
      <c r="M589" s="53"/>
      <c r="N589" s="53"/>
      <c r="O589" s="53"/>
      <c r="P589" s="53"/>
      <c r="Q589" s="53"/>
      <c r="R589" s="53"/>
      <c r="S589" s="53"/>
      <c r="T589" s="53"/>
      <c r="U589" s="53"/>
    </row>
    <row r="590" spans="1:21" ht="16.8" x14ac:dyDescent="0.65">
      <c r="A590" s="54"/>
      <c r="B590" s="53"/>
      <c r="C590" s="53"/>
      <c r="D590" s="53"/>
      <c r="E590" s="53"/>
      <c r="F590" s="53"/>
      <c r="G590" s="54"/>
      <c r="H590" s="53"/>
      <c r="I590" s="53"/>
      <c r="J590" s="53"/>
      <c r="K590" s="53"/>
      <c r="L590" s="53"/>
      <c r="M590" s="53"/>
      <c r="N590" s="53"/>
      <c r="O590" s="53"/>
      <c r="P590" s="53"/>
      <c r="Q590" s="53"/>
      <c r="R590" s="53"/>
      <c r="S590" s="53"/>
      <c r="T590" s="53"/>
      <c r="U590" s="53"/>
    </row>
    <row r="591" spans="1:21" ht="16.8" x14ac:dyDescent="0.65">
      <c r="A591" s="54"/>
      <c r="B591" s="53"/>
      <c r="C591" s="53"/>
      <c r="D591" s="53"/>
      <c r="E591" s="53"/>
      <c r="F591" s="53"/>
      <c r="G591" s="54"/>
      <c r="H591" s="53"/>
      <c r="I591" s="53"/>
      <c r="J591" s="53"/>
      <c r="K591" s="53"/>
      <c r="L591" s="53"/>
      <c r="M591" s="53"/>
      <c r="N591" s="53"/>
      <c r="O591" s="53"/>
      <c r="P591" s="53"/>
      <c r="Q591" s="53"/>
      <c r="R591" s="53"/>
      <c r="S591" s="53"/>
      <c r="T591" s="53"/>
      <c r="U591" s="53"/>
    </row>
    <row r="592" spans="1:21" ht="16.8" x14ac:dyDescent="0.65">
      <c r="A592" s="54"/>
      <c r="B592" s="53"/>
      <c r="C592" s="53"/>
      <c r="D592" s="53"/>
      <c r="E592" s="53"/>
      <c r="F592" s="53"/>
      <c r="G592" s="54"/>
      <c r="H592" s="53"/>
      <c r="I592" s="53"/>
      <c r="J592" s="53"/>
      <c r="K592" s="53"/>
      <c r="L592" s="53"/>
      <c r="M592" s="53"/>
      <c r="N592" s="53"/>
      <c r="O592" s="53"/>
      <c r="P592" s="53"/>
      <c r="Q592" s="53"/>
      <c r="R592" s="53"/>
      <c r="S592" s="53"/>
      <c r="T592" s="53"/>
      <c r="U592" s="53"/>
    </row>
    <row r="593" spans="1:21" ht="16.8" x14ac:dyDescent="0.65">
      <c r="A593" s="54"/>
      <c r="B593" s="53"/>
      <c r="C593" s="53"/>
      <c r="D593" s="53"/>
      <c r="E593" s="53"/>
      <c r="F593" s="53"/>
      <c r="G593" s="54"/>
      <c r="H593" s="53"/>
      <c r="I593" s="53"/>
      <c r="J593" s="53"/>
      <c r="K593" s="53"/>
      <c r="L593" s="53"/>
      <c r="M593" s="53"/>
      <c r="N593" s="53"/>
      <c r="O593" s="53"/>
      <c r="P593" s="53"/>
      <c r="Q593" s="53"/>
      <c r="R593" s="53"/>
      <c r="S593" s="53"/>
      <c r="T593" s="53"/>
      <c r="U593" s="53"/>
    </row>
    <row r="594" spans="1:21" ht="16.8" x14ac:dyDescent="0.65">
      <c r="A594" s="54"/>
      <c r="B594" s="53"/>
      <c r="C594" s="53"/>
      <c r="D594" s="53"/>
      <c r="E594" s="53"/>
      <c r="F594" s="53"/>
      <c r="G594" s="54"/>
      <c r="H594" s="53"/>
      <c r="I594" s="53"/>
      <c r="J594" s="53"/>
      <c r="K594" s="53"/>
      <c r="L594" s="53"/>
      <c r="M594" s="53"/>
      <c r="N594" s="53"/>
      <c r="O594" s="53"/>
      <c r="P594" s="53"/>
      <c r="Q594" s="53"/>
      <c r="R594" s="53"/>
      <c r="S594" s="53"/>
      <c r="T594" s="53"/>
      <c r="U594" s="53"/>
    </row>
    <row r="595" spans="1:21" ht="16.8" x14ac:dyDescent="0.65">
      <c r="A595" s="54"/>
      <c r="B595" s="53"/>
      <c r="C595" s="53"/>
      <c r="D595" s="53"/>
      <c r="E595" s="53"/>
      <c r="F595" s="53"/>
      <c r="G595" s="54"/>
      <c r="H595" s="53"/>
      <c r="I595" s="53"/>
      <c r="J595" s="53"/>
      <c r="K595" s="53"/>
      <c r="L595" s="53"/>
      <c r="M595" s="53"/>
      <c r="N595" s="53"/>
      <c r="O595" s="53"/>
      <c r="P595" s="53"/>
      <c r="Q595" s="53"/>
      <c r="R595" s="53"/>
      <c r="S595" s="53"/>
      <c r="T595" s="53"/>
      <c r="U595" s="53"/>
    </row>
    <row r="596" spans="1:21" ht="16.8" x14ac:dyDescent="0.65">
      <c r="A596" s="54"/>
      <c r="B596" s="53"/>
      <c r="C596" s="53"/>
      <c r="D596" s="53"/>
      <c r="E596" s="53"/>
      <c r="F596" s="53"/>
      <c r="G596" s="54"/>
      <c r="H596" s="53"/>
      <c r="I596" s="53"/>
      <c r="J596" s="53"/>
      <c r="K596" s="53"/>
      <c r="L596" s="53"/>
      <c r="M596" s="53"/>
      <c r="N596" s="53"/>
      <c r="O596" s="53"/>
      <c r="P596" s="53"/>
      <c r="Q596" s="53"/>
      <c r="R596" s="53"/>
      <c r="S596" s="53"/>
      <c r="T596" s="53"/>
      <c r="U596" s="53"/>
    </row>
    <row r="597" spans="1:21" ht="16.8" x14ac:dyDescent="0.65">
      <c r="A597" s="54"/>
      <c r="B597" s="53"/>
      <c r="C597" s="53"/>
      <c r="D597" s="53"/>
      <c r="E597" s="53"/>
      <c r="F597" s="53"/>
      <c r="G597" s="54"/>
      <c r="H597" s="53"/>
      <c r="I597" s="53"/>
      <c r="J597" s="53"/>
      <c r="K597" s="53"/>
      <c r="L597" s="53"/>
      <c r="M597" s="53"/>
      <c r="N597" s="53"/>
      <c r="O597" s="53"/>
      <c r="P597" s="53"/>
      <c r="Q597" s="53"/>
      <c r="R597" s="53"/>
      <c r="S597" s="53"/>
      <c r="T597" s="53"/>
      <c r="U597" s="53"/>
    </row>
    <row r="598" spans="1:21" ht="16.8" x14ac:dyDescent="0.65">
      <c r="A598" s="54"/>
      <c r="B598" s="53"/>
      <c r="C598" s="53"/>
      <c r="D598" s="53"/>
      <c r="E598" s="53"/>
      <c r="F598" s="53"/>
      <c r="G598" s="54"/>
      <c r="H598" s="53"/>
      <c r="I598" s="53"/>
      <c r="J598" s="53"/>
      <c r="K598" s="53"/>
      <c r="L598" s="53"/>
      <c r="M598" s="53"/>
      <c r="N598" s="53"/>
      <c r="O598" s="53"/>
      <c r="P598" s="53"/>
      <c r="Q598" s="53"/>
      <c r="R598" s="53"/>
      <c r="S598" s="53"/>
      <c r="T598" s="53"/>
      <c r="U598" s="53"/>
    </row>
    <row r="599" spans="1:21" ht="16.8" x14ac:dyDescent="0.65">
      <c r="A599" s="54"/>
      <c r="B599" s="53"/>
      <c r="C599" s="53"/>
      <c r="D599" s="53"/>
      <c r="E599" s="53"/>
      <c r="F599" s="53"/>
      <c r="G599" s="54"/>
      <c r="H599" s="53"/>
      <c r="I599" s="53"/>
      <c r="J599" s="53"/>
      <c r="K599" s="53"/>
      <c r="L599" s="53"/>
      <c r="M599" s="53"/>
      <c r="N599" s="53"/>
      <c r="O599" s="53"/>
      <c r="P599" s="53"/>
      <c r="Q599" s="53"/>
      <c r="R599" s="53"/>
      <c r="S599" s="53"/>
      <c r="T599" s="53"/>
      <c r="U599" s="53"/>
    </row>
    <row r="600" spans="1:21" ht="16.8" x14ac:dyDescent="0.65">
      <c r="A600" s="54"/>
      <c r="B600" s="53"/>
      <c r="C600" s="53"/>
      <c r="D600" s="53"/>
      <c r="E600" s="53"/>
      <c r="F600" s="53"/>
      <c r="G600" s="54"/>
      <c r="H600" s="53"/>
      <c r="I600" s="53"/>
      <c r="J600" s="53"/>
      <c r="K600" s="53"/>
      <c r="L600" s="53"/>
      <c r="M600" s="53"/>
      <c r="N600" s="53"/>
      <c r="O600" s="53"/>
      <c r="P600" s="53"/>
      <c r="Q600" s="53"/>
      <c r="R600" s="53"/>
      <c r="S600" s="53"/>
      <c r="T600" s="53"/>
      <c r="U600" s="53"/>
    </row>
    <row r="601" spans="1:21" ht="16.8" x14ac:dyDescent="0.65">
      <c r="A601" s="54"/>
      <c r="B601" s="53"/>
      <c r="C601" s="53"/>
      <c r="D601" s="53"/>
      <c r="E601" s="53"/>
      <c r="F601" s="53"/>
      <c r="G601" s="54"/>
      <c r="H601" s="53"/>
      <c r="I601" s="53"/>
      <c r="J601" s="53"/>
      <c r="K601" s="53"/>
      <c r="L601" s="53"/>
      <c r="M601" s="53"/>
      <c r="N601" s="53"/>
      <c r="O601" s="53"/>
      <c r="P601" s="53"/>
      <c r="Q601" s="53"/>
      <c r="R601" s="53"/>
      <c r="S601" s="53"/>
      <c r="T601" s="53"/>
      <c r="U601" s="53"/>
    </row>
    <row r="602" spans="1:21" ht="16.8" x14ac:dyDescent="0.65">
      <c r="A602" s="54"/>
      <c r="B602" s="53"/>
      <c r="C602" s="53"/>
      <c r="D602" s="53"/>
      <c r="E602" s="53"/>
      <c r="F602" s="53"/>
      <c r="G602" s="54"/>
      <c r="H602" s="53"/>
      <c r="I602" s="53"/>
      <c r="J602" s="53"/>
      <c r="K602" s="53"/>
      <c r="L602" s="53"/>
      <c r="M602" s="53"/>
      <c r="N602" s="53"/>
      <c r="O602" s="53"/>
      <c r="P602" s="53"/>
      <c r="Q602" s="53"/>
      <c r="R602" s="53"/>
      <c r="S602" s="53"/>
      <c r="T602" s="53"/>
      <c r="U602" s="53"/>
    </row>
    <row r="603" spans="1:21" ht="16.8" x14ac:dyDescent="0.65">
      <c r="A603" s="54"/>
      <c r="B603" s="53"/>
      <c r="C603" s="53"/>
      <c r="D603" s="53"/>
      <c r="E603" s="53"/>
      <c r="F603" s="53"/>
      <c r="G603" s="54"/>
      <c r="H603" s="53"/>
      <c r="I603" s="53"/>
      <c r="J603" s="53"/>
      <c r="K603" s="53"/>
      <c r="L603" s="53"/>
      <c r="M603" s="53"/>
      <c r="N603" s="53"/>
      <c r="O603" s="53"/>
      <c r="P603" s="53"/>
      <c r="Q603" s="53"/>
      <c r="R603" s="53"/>
      <c r="S603" s="53"/>
      <c r="T603" s="53"/>
      <c r="U603" s="53"/>
    </row>
    <row r="604" spans="1:21" ht="16.8" x14ac:dyDescent="0.65">
      <c r="A604" s="54"/>
      <c r="B604" s="53"/>
      <c r="C604" s="53"/>
      <c r="D604" s="53"/>
      <c r="E604" s="53"/>
      <c r="F604" s="53"/>
      <c r="G604" s="54"/>
      <c r="H604" s="53"/>
      <c r="I604" s="53"/>
      <c r="J604" s="53"/>
      <c r="K604" s="53"/>
      <c r="L604" s="53"/>
      <c r="M604" s="53"/>
      <c r="N604" s="53"/>
      <c r="O604" s="53"/>
      <c r="P604" s="53"/>
      <c r="Q604" s="53"/>
      <c r="R604" s="53"/>
      <c r="S604" s="53"/>
      <c r="T604" s="53"/>
      <c r="U604" s="53"/>
    </row>
    <row r="605" spans="1:21" ht="16.8" x14ac:dyDescent="0.65">
      <c r="A605" s="54"/>
      <c r="B605" s="53"/>
      <c r="C605" s="53"/>
      <c r="D605" s="53"/>
      <c r="E605" s="53"/>
      <c r="F605" s="53"/>
      <c r="G605" s="54"/>
      <c r="H605" s="53"/>
      <c r="I605" s="53"/>
      <c r="J605" s="53"/>
      <c r="K605" s="53"/>
      <c r="L605" s="53"/>
      <c r="M605" s="53"/>
      <c r="N605" s="53"/>
      <c r="O605" s="53"/>
      <c r="P605" s="53"/>
      <c r="Q605" s="53"/>
      <c r="R605" s="53"/>
      <c r="S605" s="53"/>
      <c r="T605" s="53"/>
      <c r="U605" s="53"/>
    </row>
    <row r="606" spans="1:21" ht="16.8" x14ac:dyDescent="0.65">
      <c r="A606" s="54"/>
      <c r="B606" s="53"/>
      <c r="C606" s="53"/>
      <c r="D606" s="53"/>
      <c r="E606" s="53"/>
      <c r="F606" s="53"/>
      <c r="G606" s="54"/>
      <c r="H606" s="53"/>
      <c r="I606" s="53"/>
      <c r="J606" s="53"/>
      <c r="K606" s="53"/>
      <c r="L606" s="53"/>
      <c r="M606" s="53"/>
      <c r="N606" s="53"/>
      <c r="O606" s="53"/>
      <c r="P606" s="53"/>
      <c r="Q606" s="53"/>
      <c r="R606" s="53"/>
      <c r="S606" s="53"/>
      <c r="T606" s="53"/>
      <c r="U606" s="53"/>
    </row>
    <row r="607" spans="1:21" ht="16.8" x14ac:dyDescent="0.65">
      <c r="A607" s="54"/>
      <c r="B607" s="53"/>
      <c r="C607" s="53"/>
      <c r="D607" s="53"/>
      <c r="E607" s="53"/>
      <c r="F607" s="53"/>
      <c r="G607" s="54"/>
      <c r="H607" s="53"/>
      <c r="I607" s="53"/>
      <c r="J607" s="53"/>
      <c r="K607" s="53"/>
      <c r="L607" s="53"/>
      <c r="M607" s="53"/>
      <c r="N607" s="53"/>
      <c r="O607" s="53"/>
      <c r="P607" s="53"/>
      <c r="Q607" s="53"/>
      <c r="R607" s="53"/>
      <c r="S607" s="53"/>
      <c r="T607" s="53"/>
      <c r="U607" s="53"/>
    </row>
    <row r="608" spans="1:21" ht="16.8" x14ac:dyDescent="0.65">
      <c r="A608" s="54"/>
      <c r="B608" s="53"/>
      <c r="C608" s="53"/>
      <c r="D608" s="53"/>
      <c r="E608" s="53"/>
      <c r="F608" s="53"/>
      <c r="G608" s="54"/>
      <c r="H608" s="53"/>
      <c r="I608" s="53"/>
      <c r="J608" s="53"/>
      <c r="K608" s="53"/>
      <c r="L608" s="53"/>
      <c r="M608" s="53"/>
      <c r="N608" s="53"/>
      <c r="O608" s="53"/>
      <c r="P608" s="53"/>
      <c r="Q608" s="53"/>
      <c r="R608" s="53"/>
      <c r="S608" s="53"/>
      <c r="T608" s="53"/>
      <c r="U608" s="53"/>
    </row>
    <row r="609" spans="1:21" ht="16.8" x14ac:dyDescent="0.65">
      <c r="A609" s="54"/>
      <c r="B609" s="53"/>
      <c r="C609" s="53"/>
      <c r="D609" s="53"/>
      <c r="E609" s="53"/>
      <c r="F609" s="53"/>
      <c r="G609" s="54"/>
      <c r="H609" s="53"/>
      <c r="I609" s="53"/>
      <c r="J609" s="53"/>
      <c r="K609" s="53"/>
      <c r="L609" s="53"/>
      <c r="M609" s="53"/>
      <c r="N609" s="53"/>
      <c r="O609" s="53"/>
      <c r="P609" s="53"/>
      <c r="Q609" s="53"/>
      <c r="R609" s="53"/>
      <c r="S609" s="53"/>
      <c r="T609" s="53"/>
      <c r="U609" s="53"/>
    </row>
    <row r="610" spans="1:21" ht="16.8" x14ac:dyDescent="0.65">
      <c r="A610" s="54"/>
      <c r="B610" s="53"/>
      <c r="C610" s="53"/>
      <c r="D610" s="53"/>
      <c r="E610" s="53"/>
      <c r="F610" s="53"/>
      <c r="G610" s="54"/>
      <c r="H610" s="53"/>
      <c r="I610" s="53"/>
      <c r="J610" s="53"/>
      <c r="K610" s="53"/>
      <c r="L610" s="53"/>
      <c r="M610" s="53"/>
      <c r="N610" s="53"/>
      <c r="O610" s="53"/>
      <c r="P610" s="53"/>
      <c r="Q610" s="53"/>
      <c r="R610" s="53"/>
      <c r="S610" s="53"/>
      <c r="T610" s="53"/>
      <c r="U610" s="53"/>
    </row>
    <row r="611" spans="1:21" ht="16.8" x14ac:dyDescent="0.65">
      <c r="A611" s="54"/>
      <c r="B611" s="53"/>
      <c r="C611" s="53"/>
      <c r="D611" s="53"/>
      <c r="E611" s="53"/>
      <c r="F611" s="53"/>
      <c r="G611" s="54"/>
      <c r="H611" s="53"/>
      <c r="I611" s="53"/>
      <c r="J611" s="53"/>
      <c r="K611" s="53"/>
      <c r="L611" s="53"/>
      <c r="M611" s="53"/>
      <c r="N611" s="53"/>
      <c r="O611" s="53"/>
      <c r="P611" s="53"/>
      <c r="Q611" s="53"/>
      <c r="R611" s="53"/>
      <c r="S611" s="53"/>
      <c r="T611" s="53"/>
      <c r="U611" s="53"/>
    </row>
    <row r="612" spans="1:21" ht="16.8" x14ac:dyDescent="0.65">
      <c r="A612" s="54"/>
      <c r="B612" s="53"/>
      <c r="C612" s="53"/>
      <c r="D612" s="53"/>
      <c r="E612" s="53"/>
      <c r="F612" s="53"/>
      <c r="G612" s="54"/>
      <c r="H612" s="53"/>
      <c r="I612" s="53"/>
      <c r="J612" s="53"/>
      <c r="K612" s="53"/>
      <c r="L612" s="53"/>
      <c r="M612" s="53"/>
      <c r="N612" s="53"/>
      <c r="O612" s="53"/>
      <c r="P612" s="53"/>
      <c r="Q612" s="53"/>
      <c r="R612" s="53"/>
      <c r="S612" s="53"/>
      <c r="T612" s="53"/>
      <c r="U612" s="53"/>
    </row>
    <row r="613" spans="1:21" ht="16.8" x14ac:dyDescent="0.65">
      <c r="A613" s="54"/>
      <c r="B613" s="53"/>
      <c r="C613" s="53"/>
      <c r="D613" s="53"/>
      <c r="E613" s="53"/>
      <c r="F613" s="53"/>
      <c r="G613" s="54"/>
      <c r="H613" s="53"/>
      <c r="I613" s="53"/>
      <c r="J613" s="53"/>
      <c r="K613" s="53"/>
      <c r="L613" s="53"/>
      <c r="M613" s="53"/>
      <c r="N613" s="53"/>
      <c r="O613" s="53"/>
      <c r="P613" s="53"/>
      <c r="Q613" s="53"/>
      <c r="R613" s="53"/>
      <c r="S613" s="53"/>
      <c r="T613" s="53"/>
      <c r="U613" s="53"/>
    </row>
    <row r="614" spans="1:21" ht="16.8" x14ac:dyDescent="0.65">
      <c r="A614" s="54"/>
      <c r="B614" s="53"/>
      <c r="C614" s="53"/>
      <c r="D614" s="53"/>
      <c r="E614" s="53"/>
      <c r="F614" s="53"/>
      <c r="G614" s="54"/>
      <c r="H614" s="53"/>
      <c r="I614" s="53"/>
      <c r="J614" s="53"/>
      <c r="K614" s="53"/>
      <c r="L614" s="53"/>
      <c r="M614" s="53"/>
      <c r="N614" s="53"/>
      <c r="O614" s="53"/>
      <c r="P614" s="53"/>
      <c r="Q614" s="53"/>
      <c r="R614" s="53"/>
      <c r="S614" s="53"/>
      <c r="T614" s="53"/>
      <c r="U614" s="53"/>
    </row>
    <row r="615" spans="1:21" ht="16.8" x14ac:dyDescent="0.65">
      <c r="A615" s="54"/>
      <c r="B615" s="53"/>
      <c r="C615" s="53"/>
      <c r="D615" s="53"/>
      <c r="E615" s="53"/>
      <c r="F615" s="53"/>
      <c r="G615" s="54"/>
      <c r="H615" s="53"/>
      <c r="I615" s="53"/>
      <c r="J615" s="53"/>
      <c r="K615" s="53"/>
      <c r="L615" s="53"/>
      <c r="M615" s="53"/>
      <c r="N615" s="53"/>
      <c r="O615" s="53"/>
      <c r="P615" s="53"/>
      <c r="Q615" s="53"/>
      <c r="R615" s="53"/>
      <c r="S615" s="53"/>
      <c r="T615" s="53"/>
      <c r="U615" s="53"/>
    </row>
    <row r="616" spans="1:21" ht="16.8" x14ac:dyDescent="0.65">
      <c r="A616" s="54"/>
      <c r="B616" s="53"/>
      <c r="C616" s="53"/>
      <c r="D616" s="53"/>
      <c r="E616" s="53"/>
      <c r="F616" s="53"/>
      <c r="G616" s="54"/>
      <c r="H616" s="53"/>
      <c r="I616" s="53"/>
      <c r="J616" s="53"/>
      <c r="K616" s="53"/>
      <c r="L616" s="53"/>
      <c r="M616" s="53"/>
      <c r="N616" s="53"/>
      <c r="O616" s="53"/>
      <c r="P616" s="53"/>
      <c r="Q616" s="53"/>
      <c r="R616" s="53"/>
      <c r="S616" s="53"/>
      <c r="T616" s="53"/>
      <c r="U616" s="53"/>
    </row>
    <row r="617" spans="1:21" ht="16.8" x14ac:dyDescent="0.65">
      <c r="A617" s="54"/>
      <c r="B617" s="53"/>
      <c r="C617" s="53"/>
      <c r="D617" s="53"/>
      <c r="E617" s="53"/>
      <c r="F617" s="53"/>
      <c r="G617" s="54"/>
      <c r="H617" s="53"/>
      <c r="I617" s="53"/>
      <c r="J617" s="53"/>
      <c r="K617" s="53"/>
      <c r="L617" s="53"/>
      <c r="M617" s="53"/>
      <c r="N617" s="53"/>
      <c r="O617" s="53"/>
      <c r="P617" s="53"/>
      <c r="Q617" s="53"/>
      <c r="R617" s="53"/>
      <c r="S617" s="53"/>
      <c r="T617" s="53"/>
      <c r="U617" s="53"/>
    </row>
    <row r="618" spans="1:21" ht="16.8" x14ac:dyDescent="0.65">
      <c r="A618" s="54"/>
      <c r="B618" s="53"/>
      <c r="C618" s="53"/>
      <c r="D618" s="53"/>
      <c r="E618" s="53"/>
      <c r="F618" s="53"/>
      <c r="G618" s="54"/>
      <c r="H618" s="53"/>
      <c r="I618" s="53"/>
      <c r="J618" s="53"/>
      <c r="K618" s="53"/>
      <c r="L618" s="53"/>
      <c r="M618" s="53"/>
      <c r="N618" s="53"/>
      <c r="O618" s="53"/>
      <c r="P618" s="53"/>
      <c r="Q618" s="53"/>
      <c r="R618" s="53"/>
      <c r="S618" s="53"/>
      <c r="T618" s="53"/>
      <c r="U618" s="53"/>
    </row>
    <row r="619" spans="1:21" ht="16.8" x14ac:dyDescent="0.65">
      <c r="A619" s="54"/>
      <c r="B619" s="53"/>
      <c r="C619" s="53"/>
      <c r="D619" s="53"/>
      <c r="E619" s="53"/>
      <c r="F619" s="53"/>
      <c r="G619" s="54"/>
      <c r="H619" s="53"/>
      <c r="I619" s="53"/>
      <c r="J619" s="53"/>
      <c r="K619" s="53"/>
      <c r="L619" s="53"/>
      <c r="M619" s="53"/>
      <c r="N619" s="53"/>
      <c r="O619" s="53"/>
      <c r="P619" s="53"/>
      <c r="Q619" s="53"/>
      <c r="R619" s="53"/>
      <c r="S619" s="53"/>
      <c r="T619" s="53"/>
      <c r="U619" s="53"/>
    </row>
    <row r="620" spans="1:21" ht="16.8" x14ac:dyDescent="0.65">
      <c r="A620" s="54"/>
      <c r="B620" s="53"/>
      <c r="C620" s="53"/>
      <c r="D620" s="53"/>
      <c r="E620" s="53"/>
      <c r="F620" s="53"/>
      <c r="G620" s="54"/>
      <c r="H620" s="53"/>
      <c r="I620" s="53"/>
      <c r="J620" s="53"/>
      <c r="K620" s="53"/>
      <c r="L620" s="53"/>
      <c r="M620" s="53"/>
      <c r="N620" s="53"/>
      <c r="O620" s="53"/>
      <c r="P620" s="53"/>
      <c r="Q620" s="53"/>
      <c r="R620" s="53"/>
      <c r="S620" s="53"/>
      <c r="T620" s="53"/>
      <c r="U620" s="53"/>
    </row>
    <row r="621" spans="1:21" ht="16.8" x14ac:dyDescent="0.65">
      <c r="A621" s="54"/>
      <c r="B621" s="53"/>
      <c r="C621" s="53"/>
      <c r="D621" s="53"/>
      <c r="E621" s="53"/>
      <c r="F621" s="53"/>
      <c r="G621" s="54"/>
      <c r="H621" s="53"/>
      <c r="I621" s="53"/>
      <c r="J621" s="53"/>
      <c r="K621" s="53"/>
      <c r="L621" s="53"/>
      <c r="M621" s="53"/>
      <c r="N621" s="53"/>
      <c r="O621" s="53"/>
      <c r="P621" s="53"/>
      <c r="Q621" s="53"/>
      <c r="R621" s="53"/>
      <c r="S621" s="53"/>
      <c r="T621" s="53"/>
      <c r="U621" s="53"/>
    </row>
    <row r="622" spans="1:21" ht="16.8" x14ac:dyDescent="0.65">
      <c r="A622" s="54"/>
      <c r="B622" s="53"/>
      <c r="C622" s="53"/>
      <c r="D622" s="53"/>
      <c r="E622" s="53"/>
      <c r="F622" s="53"/>
      <c r="G622" s="54"/>
      <c r="H622" s="53"/>
      <c r="I622" s="53"/>
      <c r="J622" s="53"/>
      <c r="K622" s="53"/>
      <c r="L622" s="53"/>
      <c r="M622" s="53"/>
      <c r="N622" s="53"/>
      <c r="O622" s="53"/>
      <c r="P622" s="53"/>
      <c r="Q622" s="53"/>
      <c r="R622" s="53"/>
      <c r="S622" s="53"/>
      <c r="T622" s="53"/>
      <c r="U622" s="53"/>
    </row>
    <row r="623" spans="1:21" ht="16.8" x14ac:dyDescent="0.65">
      <c r="A623" s="54"/>
      <c r="B623" s="53"/>
      <c r="C623" s="53"/>
      <c r="D623" s="53"/>
      <c r="E623" s="53"/>
      <c r="F623" s="53"/>
      <c r="G623" s="54"/>
      <c r="H623" s="53"/>
      <c r="I623" s="53"/>
      <c r="J623" s="53"/>
      <c r="K623" s="53"/>
      <c r="L623" s="53"/>
      <c r="M623" s="53"/>
      <c r="N623" s="53"/>
      <c r="O623" s="53"/>
      <c r="P623" s="53"/>
      <c r="Q623" s="53"/>
      <c r="R623" s="53"/>
      <c r="S623" s="53"/>
      <c r="T623" s="53"/>
      <c r="U623" s="53"/>
    </row>
    <row r="624" spans="1:21" ht="16.8" x14ac:dyDescent="0.65">
      <c r="A624" s="54"/>
      <c r="B624" s="53"/>
      <c r="C624" s="53"/>
      <c r="D624" s="53"/>
      <c r="E624" s="53"/>
      <c r="F624" s="53"/>
      <c r="G624" s="54"/>
      <c r="H624" s="53"/>
      <c r="I624" s="53"/>
      <c r="J624" s="53"/>
      <c r="K624" s="53"/>
      <c r="L624" s="53"/>
      <c r="M624" s="53"/>
      <c r="N624" s="53"/>
      <c r="O624" s="53"/>
      <c r="P624" s="53"/>
      <c r="Q624" s="53"/>
      <c r="R624" s="53"/>
      <c r="S624" s="53"/>
      <c r="T624" s="53"/>
      <c r="U624" s="53"/>
    </row>
    <row r="625" spans="1:21" ht="16.8" x14ac:dyDescent="0.65">
      <c r="A625" s="54"/>
      <c r="B625" s="53"/>
      <c r="C625" s="53"/>
      <c r="D625" s="53"/>
      <c r="E625" s="53"/>
      <c r="F625" s="53"/>
      <c r="G625" s="54"/>
      <c r="H625" s="53"/>
      <c r="I625" s="53"/>
      <c r="J625" s="53"/>
      <c r="K625" s="53"/>
      <c r="L625" s="53"/>
      <c r="M625" s="53"/>
      <c r="N625" s="53"/>
      <c r="O625" s="53"/>
      <c r="P625" s="53"/>
      <c r="Q625" s="53"/>
      <c r="R625" s="53"/>
      <c r="S625" s="53"/>
      <c r="T625" s="53"/>
      <c r="U625" s="53"/>
    </row>
    <row r="626" spans="1:21" ht="16.8" x14ac:dyDescent="0.65">
      <c r="A626" s="54"/>
      <c r="B626" s="53"/>
      <c r="C626" s="53"/>
      <c r="D626" s="53"/>
      <c r="E626" s="53"/>
      <c r="F626" s="53"/>
      <c r="G626" s="54"/>
      <c r="H626" s="53"/>
      <c r="I626" s="53"/>
      <c r="J626" s="53"/>
      <c r="K626" s="53"/>
      <c r="L626" s="53"/>
      <c r="M626" s="53"/>
      <c r="N626" s="53"/>
      <c r="O626" s="53"/>
      <c r="P626" s="53"/>
      <c r="Q626" s="53"/>
      <c r="R626" s="53"/>
      <c r="S626" s="53"/>
      <c r="T626" s="53"/>
      <c r="U626" s="53"/>
    </row>
    <row r="627" spans="1:21" ht="16.8" x14ac:dyDescent="0.65">
      <c r="A627" s="54"/>
      <c r="B627" s="53"/>
      <c r="C627" s="53"/>
      <c r="D627" s="53"/>
      <c r="E627" s="53"/>
      <c r="F627" s="53"/>
      <c r="G627" s="54"/>
      <c r="H627" s="53"/>
      <c r="I627" s="53"/>
      <c r="J627" s="53"/>
      <c r="K627" s="53"/>
      <c r="L627" s="53"/>
      <c r="M627" s="53"/>
      <c r="N627" s="53"/>
      <c r="O627" s="53"/>
      <c r="P627" s="53"/>
      <c r="Q627" s="53"/>
      <c r="R627" s="53"/>
      <c r="S627" s="53"/>
      <c r="T627" s="53"/>
      <c r="U627" s="53"/>
    </row>
    <row r="628" spans="1:21" ht="16.8" x14ac:dyDescent="0.65">
      <c r="A628" s="54"/>
      <c r="B628" s="53"/>
      <c r="C628" s="53"/>
      <c r="D628" s="53"/>
      <c r="E628" s="53"/>
      <c r="F628" s="53"/>
      <c r="G628" s="54"/>
      <c r="H628" s="53"/>
      <c r="I628" s="53"/>
      <c r="J628" s="53"/>
      <c r="K628" s="53"/>
      <c r="L628" s="53"/>
      <c r="M628" s="53"/>
      <c r="N628" s="53"/>
      <c r="O628" s="53"/>
      <c r="P628" s="53"/>
      <c r="Q628" s="53"/>
      <c r="R628" s="53"/>
      <c r="S628" s="53"/>
      <c r="T628" s="53"/>
      <c r="U628" s="53"/>
    </row>
    <row r="629" spans="1:21" ht="16.8" x14ac:dyDescent="0.65">
      <c r="A629" s="54"/>
      <c r="B629" s="53"/>
      <c r="C629" s="53"/>
      <c r="D629" s="53"/>
      <c r="E629" s="53"/>
      <c r="F629" s="53"/>
      <c r="G629" s="54"/>
      <c r="H629" s="53"/>
      <c r="I629" s="53"/>
      <c r="J629" s="53"/>
      <c r="K629" s="53"/>
      <c r="L629" s="53"/>
      <c r="M629" s="53"/>
      <c r="N629" s="53"/>
      <c r="O629" s="53"/>
      <c r="P629" s="53"/>
      <c r="Q629" s="53"/>
      <c r="R629" s="53"/>
      <c r="S629" s="53"/>
      <c r="T629" s="53"/>
      <c r="U629" s="53"/>
    </row>
    <row r="630" spans="1:21" ht="16.8" x14ac:dyDescent="0.65">
      <c r="A630" s="54"/>
      <c r="B630" s="53"/>
      <c r="C630" s="53"/>
      <c r="D630" s="53"/>
      <c r="E630" s="53"/>
      <c r="F630" s="53"/>
      <c r="G630" s="54"/>
      <c r="H630" s="53"/>
      <c r="I630" s="53"/>
      <c r="J630" s="53"/>
      <c r="K630" s="53"/>
      <c r="L630" s="53"/>
      <c r="M630" s="53"/>
      <c r="N630" s="53"/>
      <c r="O630" s="53"/>
      <c r="P630" s="53"/>
      <c r="Q630" s="53"/>
      <c r="R630" s="53"/>
      <c r="S630" s="53"/>
      <c r="T630" s="53"/>
      <c r="U630" s="53"/>
    </row>
    <row r="631" spans="1:21" ht="16.8" x14ac:dyDescent="0.65">
      <c r="A631" s="54"/>
      <c r="B631" s="53"/>
      <c r="C631" s="53"/>
      <c r="D631" s="53"/>
      <c r="E631" s="53"/>
      <c r="F631" s="53"/>
      <c r="G631" s="54"/>
      <c r="H631" s="53"/>
      <c r="I631" s="53"/>
      <c r="J631" s="53"/>
      <c r="K631" s="53"/>
      <c r="L631" s="53"/>
      <c r="M631" s="53"/>
      <c r="N631" s="53"/>
      <c r="O631" s="53"/>
      <c r="P631" s="53"/>
      <c r="Q631" s="53"/>
      <c r="R631" s="53"/>
      <c r="S631" s="53"/>
      <c r="T631" s="53"/>
      <c r="U631" s="53"/>
    </row>
    <row r="632" spans="1:21" ht="16.8" x14ac:dyDescent="0.65">
      <c r="A632" s="54"/>
      <c r="B632" s="53"/>
      <c r="C632" s="53"/>
      <c r="D632" s="53"/>
      <c r="E632" s="53"/>
      <c r="F632" s="53"/>
      <c r="G632" s="54"/>
      <c r="H632" s="53"/>
      <c r="I632" s="53"/>
      <c r="J632" s="53"/>
      <c r="K632" s="53"/>
      <c r="L632" s="53"/>
      <c r="M632" s="53"/>
      <c r="N632" s="53"/>
      <c r="O632" s="53"/>
      <c r="P632" s="53"/>
      <c r="Q632" s="53"/>
      <c r="R632" s="53"/>
      <c r="S632" s="53"/>
      <c r="T632" s="53"/>
      <c r="U632" s="53"/>
    </row>
    <row r="633" spans="1:21" ht="16.8" x14ac:dyDescent="0.65">
      <c r="A633" s="54"/>
      <c r="B633" s="53"/>
      <c r="C633" s="53"/>
      <c r="D633" s="53"/>
      <c r="E633" s="53"/>
      <c r="F633" s="53"/>
      <c r="G633" s="54"/>
      <c r="H633" s="53"/>
      <c r="I633" s="53"/>
      <c r="J633" s="53"/>
      <c r="K633" s="53"/>
      <c r="L633" s="53"/>
      <c r="M633" s="53"/>
      <c r="N633" s="53"/>
      <c r="O633" s="53"/>
      <c r="P633" s="53"/>
      <c r="Q633" s="53"/>
      <c r="R633" s="53"/>
      <c r="S633" s="53"/>
      <c r="T633" s="53"/>
      <c r="U633" s="53"/>
    </row>
    <row r="634" spans="1:21" ht="16.8" x14ac:dyDescent="0.65">
      <c r="A634" s="54"/>
      <c r="B634" s="53"/>
      <c r="C634" s="53"/>
      <c r="D634" s="53"/>
      <c r="E634" s="53"/>
      <c r="F634" s="53"/>
      <c r="G634" s="54"/>
      <c r="H634" s="53"/>
      <c r="I634" s="53"/>
      <c r="J634" s="53"/>
      <c r="K634" s="53"/>
      <c r="L634" s="53"/>
      <c r="M634" s="53"/>
      <c r="N634" s="53"/>
      <c r="O634" s="53"/>
      <c r="P634" s="53"/>
      <c r="Q634" s="53"/>
      <c r="R634" s="53"/>
      <c r="S634" s="53"/>
      <c r="T634" s="53"/>
      <c r="U634" s="53"/>
    </row>
    <row r="635" spans="1:21" ht="16.8" x14ac:dyDescent="0.65">
      <c r="A635" s="54"/>
      <c r="B635" s="53"/>
      <c r="C635" s="53"/>
      <c r="D635" s="53"/>
      <c r="E635" s="53"/>
      <c r="F635" s="53"/>
      <c r="G635" s="54"/>
      <c r="H635" s="53"/>
      <c r="I635" s="53"/>
      <c r="J635" s="53"/>
      <c r="K635" s="53"/>
      <c r="L635" s="53"/>
      <c r="M635" s="53"/>
      <c r="N635" s="53"/>
      <c r="O635" s="53"/>
      <c r="P635" s="53"/>
      <c r="Q635" s="53"/>
      <c r="R635" s="53"/>
      <c r="S635" s="53"/>
      <c r="T635" s="53"/>
      <c r="U635" s="53"/>
    </row>
    <row r="636" spans="1:21" ht="16.8" x14ac:dyDescent="0.65">
      <c r="A636" s="54"/>
      <c r="B636" s="53"/>
      <c r="C636" s="53"/>
      <c r="D636" s="53"/>
      <c r="E636" s="53"/>
      <c r="F636" s="53"/>
      <c r="G636" s="54"/>
      <c r="H636" s="53"/>
      <c r="I636" s="53"/>
      <c r="J636" s="53"/>
      <c r="K636" s="53"/>
      <c r="L636" s="53"/>
      <c r="M636" s="53"/>
      <c r="N636" s="53"/>
      <c r="O636" s="53"/>
      <c r="P636" s="53"/>
      <c r="Q636" s="53"/>
      <c r="R636" s="53"/>
      <c r="S636" s="53"/>
      <c r="T636" s="53"/>
      <c r="U636" s="53"/>
    </row>
    <row r="637" spans="1:21" ht="16.8" x14ac:dyDescent="0.65">
      <c r="A637" s="54"/>
      <c r="B637" s="53"/>
      <c r="C637" s="53"/>
      <c r="D637" s="53"/>
      <c r="E637" s="53"/>
      <c r="F637" s="53"/>
      <c r="G637" s="54"/>
      <c r="H637" s="53"/>
      <c r="I637" s="53"/>
      <c r="J637" s="53"/>
      <c r="K637" s="53"/>
      <c r="L637" s="53"/>
      <c r="M637" s="53"/>
      <c r="N637" s="53"/>
      <c r="O637" s="53"/>
      <c r="P637" s="53"/>
      <c r="Q637" s="53"/>
      <c r="R637" s="53"/>
      <c r="S637" s="53"/>
      <c r="T637" s="53"/>
      <c r="U637" s="53"/>
    </row>
    <row r="638" spans="1:21" ht="16.8" x14ac:dyDescent="0.65">
      <c r="A638" s="54"/>
      <c r="B638" s="53"/>
      <c r="C638" s="53"/>
      <c r="D638" s="53"/>
      <c r="E638" s="53"/>
      <c r="F638" s="53"/>
      <c r="G638" s="54"/>
      <c r="H638" s="53"/>
      <c r="I638" s="53"/>
      <c r="J638" s="53"/>
      <c r="K638" s="53"/>
      <c r="L638" s="53"/>
      <c r="M638" s="53"/>
      <c r="N638" s="53"/>
      <c r="O638" s="53"/>
      <c r="P638" s="53"/>
      <c r="Q638" s="53"/>
      <c r="R638" s="53"/>
      <c r="S638" s="53"/>
      <c r="T638" s="53"/>
      <c r="U638" s="53"/>
    </row>
    <row r="639" spans="1:21" ht="16.8" x14ac:dyDescent="0.65">
      <c r="A639" s="54"/>
      <c r="B639" s="53"/>
      <c r="C639" s="53"/>
      <c r="D639" s="53"/>
      <c r="E639" s="53"/>
      <c r="F639" s="53"/>
      <c r="G639" s="54"/>
      <c r="H639" s="53"/>
      <c r="I639" s="53"/>
      <c r="J639" s="53"/>
      <c r="K639" s="53"/>
      <c r="L639" s="53"/>
      <c r="M639" s="53"/>
      <c r="N639" s="53"/>
      <c r="O639" s="53"/>
      <c r="P639" s="53"/>
      <c r="Q639" s="53"/>
      <c r="R639" s="53"/>
      <c r="S639" s="53"/>
      <c r="T639" s="53"/>
      <c r="U639" s="53"/>
    </row>
    <row r="640" spans="1:21" ht="16.8" x14ac:dyDescent="0.65">
      <c r="A640" s="54"/>
      <c r="B640" s="53"/>
      <c r="C640" s="53"/>
      <c r="D640" s="53"/>
      <c r="E640" s="53"/>
      <c r="F640" s="53"/>
      <c r="G640" s="54"/>
      <c r="H640" s="53"/>
      <c r="I640" s="53"/>
      <c r="J640" s="53"/>
      <c r="K640" s="53"/>
      <c r="L640" s="53"/>
      <c r="M640" s="53"/>
      <c r="N640" s="53"/>
      <c r="O640" s="53"/>
      <c r="P640" s="53"/>
      <c r="Q640" s="53"/>
      <c r="R640" s="53"/>
      <c r="S640" s="53"/>
      <c r="T640" s="53"/>
      <c r="U640" s="53"/>
    </row>
    <row r="641" spans="1:21" ht="16.8" x14ac:dyDescent="0.65">
      <c r="A641" s="54"/>
      <c r="B641" s="53"/>
      <c r="C641" s="53"/>
      <c r="D641" s="53"/>
      <c r="E641" s="53"/>
      <c r="F641" s="53"/>
      <c r="G641" s="54"/>
      <c r="H641" s="53"/>
      <c r="I641" s="53"/>
      <c r="J641" s="53"/>
      <c r="K641" s="53"/>
      <c r="L641" s="53"/>
      <c r="M641" s="53"/>
      <c r="N641" s="53"/>
      <c r="O641" s="53"/>
      <c r="P641" s="53"/>
      <c r="Q641" s="53"/>
      <c r="R641" s="53"/>
      <c r="S641" s="53"/>
      <c r="T641" s="53"/>
      <c r="U641" s="53"/>
    </row>
    <row r="642" spans="1:21" ht="16.8" x14ac:dyDescent="0.65">
      <c r="A642" s="54"/>
      <c r="B642" s="53"/>
      <c r="C642" s="53"/>
      <c r="D642" s="53"/>
      <c r="E642" s="53"/>
      <c r="F642" s="53"/>
      <c r="G642" s="54"/>
      <c r="H642" s="53"/>
      <c r="I642" s="53"/>
      <c r="J642" s="53"/>
      <c r="K642" s="53"/>
      <c r="L642" s="53"/>
      <c r="M642" s="53"/>
      <c r="N642" s="53"/>
      <c r="O642" s="53"/>
      <c r="P642" s="53"/>
      <c r="Q642" s="53"/>
      <c r="R642" s="53"/>
      <c r="S642" s="53"/>
      <c r="T642" s="53"/>
      <c r="U642" s="53"/>
    </row>
    <row r="643" spans="1:21" ht="16.8" x14ac:dyDescent="0.65">
      <c r="A643" s="54"/>
      <c r="B643" s="53"/>
      <c r="C643" s="53"/>
      <c r="D643" s="53"/>
      <c r="E643" s="53"/>
      <c r="F643" s="53"/>
      <c r="G643" s="54"/>
      <c r="H643" s="53"/>
      <c r="I643" s="53"/>
      <c r="J643" s="53"/>
      <c r="K643" s="53"/>
      <c r="L643" s="53"/>
      <c r="M643" s="53"/>
      <c r="N643" s="53"/>
      <c r="O643" s="53"/>
      <c r="P643" s="53"/>
      <c r="Q643" s="53"/>
      <c r="R643" s="53"/>
      <c r="S643" s="53"/>
      <c r="T643" s="53"/>
      <c r="U643" s="53"/>
    </row>
    <row r="644" spans="1:21" ht="16.8" x14ac:dyDescent="0.65">
      <c r="A644" s="54"/>
      <c r="B644" s="53"/>
      <c r="C644" s="53"/>
      <c r="D644" s="53"/>
      <c r="E644" s="53"/>
      <c r="F644" s="53"/>
      <c r="G644" s="54"/>
      <c r="H644" s="53"/>
      <c r="I644" s="53"/>
      <c r="J644" s="53"/>
      <c r="K644" s="53"/>
      <c r="L644" s="53"/>
      <c r="M644" s="53"/>
      <c r="N644" s="53"/>
      <c r="O644" s="53"/>
      <c r="P644" s="53"/>
      <c r="Q644" s="53"/>
      <c r="R644" s="53"/>
      <c r="S644" s="53"/>
      <c r="T644" s="53"/>
      <c r="U644" s="53"/>
    </row>
    <row r="645" spans="1:21" ht="16.8" x14ac:dyDescent="0.65">
      <c r="A645" s="54"/>
      <c r="B645" s="53"/>
      <c r="C645" s="53"/>
      <c r="D645" s="53"/>
      <c r="E645" s="53"/>
      <c r="F645" s="53"/>
      <c r="G645" s="54"/>
      <c r="H645" s="53"/>
      <c r="I645" s="53"/>
      <c r="J645" s="53"/>
      <c r="K645" s="53"/>
      <c r="L645" s="53"/>
      <c r="M645" s="53"/>
      <c r="N645" s="53"/>
      <c r="O645" s="53"/>
      <c r="P645" s="53"/>
      <c r="Q645" s="53"/>
      <c r="R645" s="53"/>
      <c r="S645" s="53"/>
      <c r="T645" s="53"/>
      <c r="U645" s="53"/>
    </row>
    <row r="646" spans="1:21" ht="16.8" x14ac:dyDescent="0.65">
      <c r="A646" s="54"/>
      <c r="B646" s="53"/>
      <c r="C646" s="53"/>
      <c r="D646" s="53"/>
      <c r="E646" s="53"/>
      <c r="F646" s="53"/>
      <c r="G646" s="54"/>
      <c r="H646" s="53"/>
      <c r="I646" s="53"/>
      <c r="J646" s="53"/>
      <c r="K646" s="53"/>
      <c r="L646" s="53"/>
      <c r="M646" s="53"/>
      <c r="N646" s="53"/>
      <c r="O646" s="53"/>
      <c r="P646" s="53"/>
      <c r="Q646" s="53"/>
      <c r="R646" s="53"/>
      <c r="S646" s="53"/>
      <c r="T646" s="53"/>
      <c r="U646" s="53"/>
    </row>
    <row r="647" spans="1:21" ht="16.8" x14ac:dyDescent="0.65">
      <c r="A647" s="54"/>
      <c r="B647" s="53"/>
      <c r="C647" s="53"/>
      <c r="D647" s="53"/>
      <c r="E647" s="53"/>
      <c r="F647" s="53"/>
      <c r="G647" s="54"/>
      <c r="H647" s="53"/>
      <c r="I647" s="53"/>
      <c r="J647" s="53"/>
      <c r="K647" s="53"/>
      <c r="L647" s="53"/>
      <c r="M647" s="53"/>
      <c r="N647" s="53"/>
      <c r="O647" s="53"/>
      <c r="P647" s="53"/>
      <c r="Q647" s="53"/>
      <c r="R647" s="53"/>
      <c r="S647" s="53"/>
      <c r="T647" s="53"/>
      <c r="U647" s="53"/>
    </row>
    <row r="648" spans="1:21" ht="16.8" x14ac:dyDescent="0.65">
      <c r="A648" s="54"/>
      <c r="B648" s="53"/>
      <c r="C648" s="53"/>
      <c r="D648" s="53"/>
      <c r="E648" s="53"/>
      <c r="F648" s="53"/>
      <c r="G648" s="54"/>
      <c r="H648" s="53"/>
      <c r="I648" s="53"/>
      <c r="J648" s="53"/>
      <c r="K648" s="53"/>
      <c r="L648" s="53"/>
      <c r="M648" s="53"/>
      <c r="N648" s="53"/>
      <c r="O648" s="53"/>
      <c r="P648" s="53"/>
      <c r="Q648" s="53"/>
      <c r="R648" s="53"/>
      <c r="S648" s="53"/>
      <c r="T648" s="53"/>
      <c r="U648" s="53"/>
    </row>
    <row r="649" spans="1:21" ht="16.8" x14ac:dyDescent="0.65">
      <c r="A649" s="54"/>
      <c r="B649" s="53"/>
      <c r="C649" s="53"/>
      <c r="D649" s="53"/>
      <c r="E649" s="53"/>
      <c r="F649" s="53"/>
      <c r="G649" s="54"/>
      <c r="H649" s="53"/>
      <c r="I649" s="53"/>
      <c r="J649" s="53"/>
      <c r="K649" s="53"/>
      <c r="L649" s="53"/>
      <c r="M649" s="53"/>
      <c r="N649" s="53"/>
      <c r="O649" s="53"/>
      <c r="P649" s="53"/>
      <c r="Q649" s="53"/>
      <c r="R649" s="53"/>
      <c r="S649" s="53"/>
      <c r="T649" s="53"/>
      <c r="U649" s="53"/>
    </row>
    <row r="650" spans="1:21" ht="16.8" x14ac:dyDescent="0.65">
      <c r="A650" s="54"/>
      <c r="B650" s="53"/>
      <c r="C650" s="53"/>
      <c r="D650" s="53"/>
      <c r="E650" s="53"/>
      <c r="F650" s="53"/>
      <c r="G650" s="54"/>
      <c r="H650" s="53"/>
      <c r="I650" s="53"/>
      <c r="J650" s="53"/>
      <c r="K650" s="53"/>
      <c r="L650" s="53"/>
      <c r="M650" s="53"/>
      <c r="N650" s="53"/>
      <c r="O650" s="53"/>
      <c r="P650" s="53"/>
      <c r="Q650" s="53"/>
      <c r="R650" s="53"/>
      <c r="S650" s="53"/>
      <c r="T650" s="53"/>
      <c r="U650" s="53"/>
    </row>
    <row r="651" spans="1:21" ht="16.8" x14ac:dyDescent="0.65">
      <c r="A651" s="54"/>
      <c r="B651" s="53"/>
      <c r="C651" s="53"/>
      <c r="D651" s="53"/>
      <c r="E651" s="53"/>
      <c r="F651" s="53"/>
      <c r="G651" s="54"/>
      <c r="H651" s="53"/>
      <c r="I651" s="53"/>
      <c r="J651" s="53"/>
      <c r="K651" s="53"/>
      <c r="L651" s="53"/>
      <c r="M651" s="53"/>
      <c r="N651" s="53"/>
      <c r="O651" s="53"/>
      <c r="P651" s="53"/>
      <c r="Q651" s="53"/>
      <c r="R651" s="53"/>
      <c r="S651" s="53"/>
      <c r="T651" s="53"/>
      <c r="U651" s="53"/>
    </row>
    <row r="652" spans="1:21" ht="16.8" x14ac:dyDescent="0.65">
      <c r="A652" s="54"/>
      <c r="B652" s="53"/>
      <c r="C652" s="53"/>
      <c r="D652" s="53"/>
      <c r="E652" s="53"/>
      <c r="F652" s="53"/>
      <c r="G652" s="54"/>
      <c r="H652" s="53"/>
      <c r="I652" s="53"/>
      <c r="J652" s="53"/>
      <c r="K652" s="53"/>
      <c r="L652" s="53"/>
      <c r="M652" s="53"/>
      <c r="N652" s="53"/>
      <c r="O652" s="53"/>
      <c r="P652" s="53"/>
      <c r="Q652" s="53"/>
      <c r="R652" s="53"/>
      <c r="S652" s="53"/>
      <c r="T652" s="53"/>
      <c r="U652" s="53"/>
    </row>
    <row r="653" spans="1:21" ht="16.8" x14ac:dyDescent="0.65">
      <c r="A653" s="54"/>
      <c r="B653" s="53"/>
      <c r="C653" s="53"/>
      <c r="D653" s="53"/>
      <c r="E653" s="53"/>
      <c r="F653" s="53"/>
      <c r="G653" s="54"/>
      <c r="H653" s="53"/>
      <c r="I653" s="53"/>
      <c r="J653" s="53"/>
      <c r="K653" s="53"/>
      <c r="L653" s="53"/>
      <c r="M653" s="53"/>
      <c r="N653" s="53"/>
      <c r="O653" s="53"/>
      <c r="P653" s="53"/>
      <c r="Q653" s="53"/>
      <c r="R653" s="53"/>
      <c r="S653" s="53"/>
      <c r="T653" s="53"/>
      <c r="U653" s="53"/>
    </row>
    <row r="654" spans="1:21" ht="16.8" x14ac:dyDescent="0.65">
      <c r="A654" s="54"/>
      <c r="B654" s="53"/>
      <c r="C654" s="53"/>
      <c r="D654" s="53"/>
      <c r="E654" s="53"/>
      <c r="F654" s="53"/>
      <c r="G654" s="54"/>
      <c r="H654" s="53"/>
      <c r="I654" s="53"/>
      <c r="J654" s="53"/>
      <c r="K654" s="53"/>
      <c r="L654" s="53"/>
      <c r="M654" s="53"/>
      <c r="N654" s="53"/>
      <c r="O654" s="53"/>
      <c r="P654" s="53"/>
      <c r="Q654" s="53"/>
      <c r="R654" s="53"/>
      <c r="S654" s="53"/>
      <c r="T654" s="53"/>
      <c r="U654" s="53"/>
    </row>
    <row r="655" spans="1:21" ht="16.8" x14ac:dyDescent="0.65">
      <c r="A655" s="54"/>
      <c r="B655" s="53"/>
      <c r="C655" s="53"/>
      <c r="D655" s="53"/>
      <c r="E655" s="53"/>
      <c r="F655" s="53"/>
      <c r="G655" s="54"/>
      <c r="H655" s="53"/>
      <c r="I655" s="53"/>
      <c r="J655" s="53"/>
      <c r="K655" s="53"/>
      <c r="L655" s="53"/>
      <c r="M655" s="53"/>
      <c r="N655" s="53"/>
      <c r="O655" s="53"/>
      <c r="P655" s="53"/>
      <c r="Q655" s="53"/>
      <c r="R655" s="53"/>
      <c r="S655" s="53"/>
      <c r="T655" s="53"/>
      <c r="U655" s="53"/>
    </row>
    <row r="656" spans="1:21" ht="16.8" x14ac:dyDescent="0.65">
      <c r="A656" s="54"/>
      <c r="B656" s="53"/>
      <c r="C656" s="53"/>
      <c r="D656" s="53"/>
      <c r="E656" s="53"/>
      <c r="F656" s="53"/>
      <c r="G656" s="54"/>
      <c r="H656" s="53"/>
      <c r="I656" s="53"/>
      <c r="J656" s="53"/>
      <c r="K656" s="53"/>
      <c r="L656" s="53"/>
      <c r="M656" s="53"/>
      <c r="N656" s="53"/>
      <c r="O656" s="53"/>
      <c r="P656" s="53"/>
      <c r="Q656" s="53"/>
      <c r="R656" s="53"/>
      <c r="S656" s="53"/>
      <c r="T656" s="53"/>
      <c r="U656" s="53"/>
    </row>
    <row r="657" spans="1:21" ht="16.8" x14ac:dyDescent="0.65">
      <c r="A657" s="54"/>
      <c r="B657" s="53"/>
      <c r="C657" s="53"/>
      <c r="D657" s="53"/>
      <c r="E657" s="53"/>
      <c r="F657" s="53"/>
      <c r="G657" s="54"/>
      <c r="H657" s="53"/>
      <c r="I657" s="53"/>
      <c r="J657" s="53"/>
      <c r="K657" s="53"/>
      <c r="L657" s="53"/>
      <c r="M657" s="53"/>
      <c r="N657" s="53"/>
      <c r="O657" s="53"/>
      <c r="P657" s="53"/>
      <c r="Q657" s="53"/>
      <c r="R657" s="53"/>
      <c r="S657" s="53"/>
      <c r="T657" s="53"/>
      <c r="U657" s="53"/>
    </row>
    <row r="658" spans="1:21" ht="16.8" x14ac:dyDescent="0.65">
      <c r="A658" s="54"/>
      <c r="B658" s="53"/>
      <c r="C658" s="53"/>
      <c r="D658" s="53"/>
      <c r="E658" s="53"/>
      <c r="F658" s="53"/>
      <c r="G658" s="54"/>
      <c r="H658" s="53"/>
      <c r="I658" s="53"/>
      <c r="J658" s="53"/>
      <c r="K658" s="53"/>
      <c r="L658" s="53"/>
      <c r="M658" s="53"/>
      <c r="N658" s="53"/>
      <c r="O658" s="53"/>
      <c r="P658" s="53"/>
      <c r="Q658" s="53"/>
      <c r="R658" s="53"/>
      <c r="S658" s="53"/>
      <c r="T658" s="53"/>
      <c r="U658" s="53"/>
    </row>
    <row r="659" spans="1:21" ht="16.8" x14ac:dyDescent="0.65">
      <c r="A659" s="54"/>
      <c r="B659" s="53"/>
      <c r="C659" s="53"/>
      <c r="D659" s="53"/>
      <c r="E659" s="53"/>
      <c r="F659" s="53"/>
      <c r="G659" s="54"/>
      <c r="H659" s="53"/>
      <c r="I659" s="53"/>
      <c r="J659" s="53"/>
      <c r="K659" s="53"/>
      <c r="L659" s="53"/>
      <c r="M659" s="53"/>
      <c r="N659" s="53"/>
      <c r="O659" s="53"/>
      <c r="P659" s="53"/>
      <c r="Q659" s="53"/>
      <c r="R659" s="53"/>
      <c r="S659" s="53"/>
      <c r="T659" s="53"/>
      <c r="U659" s="53"/>
    </row>
    <row r="660" spans="1:21" ht="16.8" x14ac:dyDescent="0.65">
      <c r="A660" s="54"/>
      <c r="B660" s="53"/>
      <c r="C660" s="53"/>
      <c r="D660" s="53"/>
      <c r="E660" s="53"/>
      <c r="F660" s="53"/>
      <c r="G660" s="54"/>
      <c r="H660" s="53"/>
      <c r="I660" s="53"/>
      <c r="J660" s="53"/>
      <c r="K660" s="53"/>
      <c r="L660" s="53"/>
      <c r="M660" s="53"/>
      <c r="N660" s="53"/>
      <c r="O660" s="53"/>
      <c r="P660" s="53"/>
      <c r="Q660" s="53"/>
      <c r="R660" s="53"/>
      <c r="S660" s="53"/>
      <c r="T660" s="53"/>
      <c r="U660" s="53"/>
    </row>
    <row r="661" spans="1:21" ht="16.8" x14ac:dyDescent="0.65">
      <c r="A661" s="54"/>
      <c r="B661" s="53"/>
      <c r="C661" s="53"/>
      <c r="D661" s="53"/>
      <c r="E661" s="53"/>
      <c r="F661" s="53"/>
      <c r="G661" s="54"/>
      <c r="H661" s="53"/>
      <c r="I661" s="53"/>
      <c r="J661" s="53"/>
      <c r="K661" s="53"/>
      <c r="L661" s="53"/>
      <c r="M661" s="53"/>
      <c r="N661" s="53"/>
      <c r="O661" s="53"/>
      <c r="P661" s="53"/>
      <c r="Q661" s="53"/>
      <c r="R661" s="53"/>
      <c r="S661" s="53"/>
      <c r="T661" s="53"/>
      <c r="U661" s="53"/>
    </row>
    <row r="662" spans="1:21" ht="16.8" x14ac:dyDescent="0.65">
      <c r="A662" s="54"/>
      <c r="B662" s="53"/>
      <c r="C662" s="53"/>
      <c r="D662" s="53"/>
      <c r="E662" s="53"/>
      <c r="F662" s="53"/>
      <c r="G662" s="54"/>
      <c r="H662" s="53"/>
      <c r="I662" s="53"/>
      <c r="J662" s="53"/>
      <c r="K662" s="53"/>
      <c r="L662" s="53"/>
      <c r="M662" s="53"/>
      <c r="N662" s="53"/>
      <c r="O662" s="53"/>
      <c r="P662" s="53"/>
      <c r="Q662" s="53"/>
      <c r="R662" s="53"/>
      <c r="S662" s="53"/>
      <c r="T662" s="53"/>
      <c r="U662" s="53"/>
    </row>
    <row r="663" spans="1:21" ht="16.8" x14ac:dyDescent="0.65">
      <c r="A663" s="54"/>
      <c r="B663" s="53"/>
      <c r="C663" s="53"/>
      <c r="D663" s="53"/>
      <c r="E663" s="53"/>
      <c r="F663" s="53"/>
      <c r="G663" s="54"/>
      <c r="H663" s="53"/>
      <c r="I663" s="53"/>
      <c r="J663" s="53"/>
      <c r="K663" s="53"/>
      <c r="L663" s="53"/>
      <c r="M663" s="53"/>
      <c r="N663" s="53"/>
      <c r="O663" s="53"/>
      <c r="P663" s="53"/>
      <c r="Q663" s="53"/>
      <c r="R663" s="53"/>
      <c r="S663" s="53"/>
      <c r="T663" s="53"/>
      <c r="U663" s="53"/>
    </row>
    <row r="664" spans="1:21" ht="16.8" x14ac:dyDescent="0.65">
      <c r="A664" s="54"/>
      <c r="B664" s="53"/>
      <c r="C664" s="53"/>
      <c r="D664" s="53"/>
      <c r="E664" s="53"/>
      <c r="F664" s="53"/>
      <c r="G664" s="54"/>
      <c r="H664" s="53"/>
      <c r="I664" s="53"/>
      <c r="J664" s="53"/>
      <c r="K664" s="53"/>
      <c r="L664" s="53"/>
      <c r="M664" s="53"/>
      <c r="N664" s="53"/>
      <c r="O664" s="53"/>
      <c r="P664" s="53"/>
      <c r="Q664" s="53"/>
      <c r="R664" s="53"/>
      <c r="S664" s="53"/>
      <c r="T664" s="53"/>
      <c r="U664" s="53"/>
    </row>
    <row r="665" spans="1:21" ht="16.8" x14ac:dyDescent="0.65">
      <c r="A665" s="54"/>
      <c r="B665" s="53"/>
      <c r="C665" s="53"/>
      <c r="D665" s="53"/>
      <c r="E665" s="53"/>
      <c r="F665" s="53"/>
      <c r="G665" s="54"/>
      <c r="H665" s="53"/>
      <c r="I665" s="53"/>
      <c r="J665" s="53"/>
      <c r="K665" s="53"/>
      <c r="L665" s="53"/>
      <c r="M665" s="53"/>
      <c r="N665" s="53"/>
      <c r="O665" s="53"/>
      <c r="P665" s="53"/>
      <c r="Q665" s="53"/>
      <c r="R665" s="53"/>
      <c r="S665" s="53"/>
      <c r="T665" s="53"/>
      <c r="U665" s="53"/>
    </row>
    <row r="666" spans="1:21" ht="16.8" x14ac:dyDescent="0.65">
      <c r="A666" s="54"/>
      <c r="B666" s="53"/>
      <c r="C666" s="53"/>
      <c r="D666" s="53"/>
      <c r="E666" s="53"/>
      <c r="F666" s="53"/>
      <c r="G666" s="54"/>
      <c r="H666" s="53"/>
      <c r="I666" s="53"/>
      <c r="J666" s="53"/>
      <c r="K666" s="53"/>
      <c r="L666" s="53"/>
      <c r="M666" s="53"/>
      <c r="N666" s="53"/>
      <c r="O666" s="53"/>
      <c r="P666" s="53"/>
      <c r="Q666" s="53"/>
      <c r="R666" s="53"/>
      <c r="S666" s="53"/>
      <c r="T666" s="53"/>
      <c r="U666" s="53"/>
    </row>
    <row r="667" spans="1:21" ht="16.8" x14ac:dyDescent="0.65">
      <c r="A667" s="54"/>
      <c r="B667" s="53"/>
      <c r="C667" s="53"/>
      <c r="D667" s="53"/>
      <c r="E667" s="53"/>
      <c r="F667" s="53"/>
      <c r="G667" s="54"/>
      <c r="H667" s="53"/>
      <c r="I667" s="53"/>
      <c r="J667" s="53"/>
      <c r="K667" s="53"/>
      <c r="L667" s="53"/>
      <c r="M667" s="53"/>
      <c r="N667" s="53"/>
      <c r="O667" s="53"/>
      <c r="P667" s="53"/>
      <c r="Q667" s="53"/>
      <c r="R667" s="53"/>
      <c r="S667" s="53"/>
      <c r="T667" s="53"/>
      <c r="U667" s="53"/>
    </row>
    <row r="668" spans="1:21" ht="16.8" x14ac:dyDescent="0.65">
      <c r="A668" s="54"/>
      <c r="B668" s="53"/>
      <c r="C668" s="53"/>
      <c r="D668" s="53"/>
      <c r="E668" s="53"/>
      <c r="F668" s="53"/>
      <c r="G668" s="54"/>
      <c r="H668" s="53"/>
      <c r="I668" s="53"/>
      <c r="J668" s="53"/>
      <c r="K668" s="53"/>
      <c r="L668" s="53"/>
      <c r="M668" s="53"/>
      <c r="N668" s="53"/>
      <c r="O668" s="53"/>
      <c r="P668" s="53"/>
      <c r="Q668" s="53"/>
      <c r="R668" s="53"/>
      <c r="S668" s="53"/>
      <c r="T668" s="53"/>
      <c r="U668" s="53"/>
    </row>
    <row r="669" spans="1:21" ht="16.8" x14ac:dyDescent="0.65">
      <c r="A669" s="54"/>
      <c r="B669" s="53"/>
      <c r="C669" s="53"/>
      <c r="D669" s="53"/>
      <c r="E669" s="53"/>
      <c r="F669" s="53"/>
      <c r="G669" s="54"/>
      <c r="H669" s="53"/>
      <c r="I669" s="53"/>
      <c r="J669" s="53"/>
      <c r="K669" s="53"/>
      <c r="L669" s="53"/>
      <c r="M669" s="53"/>
      <c r="N669" s="53"/>
      <c r="O669" s="53"/>
      <c r="P669" s="53"/>
      <c r="Q669" s="53"/>
      <c r="R669" s="53"/>
      <c r="S669" s="53"/>
      <c r="T669" s="53"/>
      <c r="U669" s="53"/>
    </row>
    <row r="670" spans="1:21" ht="16.8" x14ac:dyDescent="0.65">
      <c r="A670" s="54"/>
      <c r="B670" s="53"/>
      <c r="C670" s="53"/>
      <c r="D670" s="53"/>
      <c r="E670" s="53"/>
      <c r="F670" s="53"/>
      <c r="G670" s="54"/>
      <c r="H670" s="53"/>
      <c r="I670" s="53"/>
      <c r="J670" s="53"/>
      <c r="K670" s="53"/>
      <c r="L670" s="53"/>
      <c r="M670" s="53"/>
      <c r="N670" s="53"/>
      <c r="O670" s="53"/>
      <c r="P670" s="53"/>
      <c r="Q670" s="53"/>
      <c r="R670" s="53"/>
      <c r="S670" s="53"/>
      <c r="T670" s="53"/>
      <c r="U670" s="53"/>
    </row>
    <row r="671" spans="1:21" ht="16.8" x14ac:dyDescent="0.65">
      <c r="A671" s="54"/>
      <c r="B671" s="53"/>
      <c r="C671" s="53"/>
      <c r="D671" s="53"/>
      <c r="E671" s="53"/>
      <c r="F671" s="53"/>
      <c r="G671" s="54"/>
      <c r="H671" s="53"/>
      <c r="I671" s="53"/>
      <c r="J671" s="53"/>
      <c r="K671" s="53"/>
      <c r="L671" s="53"/>
      <c r="M671" s="53"/>
      <c r="N671" s="53"/>
      <c r="O671" s="53"/>
      <c r="P671" s="53"/>
      <c r="Q671" s="53"/>
      <c r="R671" s="53"/>
      <c r="S671" s="53"/>
      <c r="T671" s="53"/>
      <c r="U671" s="53"/>
    </row>
    <row r="672" spans="1:21" ht="16.8" x14ac:dyDescent="0.65">
      <c r="A672" s="54"/>
      <c r="B672" s="53"/>
      <c r="C672" s="53"/>
      <c r="D672" s="53"/>
      <c r="E672" s="53"/>
      <c r="F672" s="53"/>
      <c r="G672" s="54"/>
      <c r="H672" s="53"/>
      <c r="I672" s="53"/>
      <c r="J672" s="53"/>
      <c r="K672" s="53"/>
      <c r="L672" s="53"/>
      <c r="M672" s="53"/>
      <c r="N672" s="53"/>
      <c r="O672" s="53"/>
      <c r="P672" s="53"/>
      <c r="Q672" s="53"/>
      <c r="R672" s="53"/>
      <c r="S672" s="53"/>
      <c r="T672" s="53"/>
      <c r="U672" s="53"/>
    </row>
    <row r="673" spans="1:21" ht="16.8" x14ac:dyDescent="0.65">
      <c r="A673" s="54"/>
      <c r="B673" s="53"/>
      <c r="C673" s="53"/>
      <c r="D673" s="53"/>
      <c r="E673" s="53"/>
      <c r="F673" s="53"/>
      <c r="G673" s="54"/>
      <c r="H673" s="53"/>
      <c r="I673" s="53"/>
      <c r="J673" s="53"/>
      <c r="K673" s="53"/>
      <c r="L673" s="53"/>
      <c r="M673" s="53"/>
      <c r="N673" s="53"/>
      <c r="O673" s="53"/>
      <c r="P673" s="53"/>
      <c r="Q673" s="53"/>
      <c r="R673" s="53"/>
      <c r="S673" s="53"/>
      <c r="T673" s="53"/>
      <c r="U673" s="53"/>
    </row>
    <row r="674" spans="1:21" ht="16.8" x14ac:dyDescent="0.65">
      <c r="A674" s="54"/>
      <c r="B674" s="53"/>
      <c r="C674" s="53"/>
      <c r="D674" s="53"/>
      <c r="E674" s="53"/>
      <c r="F674" s="53"/>
      <c r="G674" s="54"/>
      <c r="H674" s="53"/>
      <c r="I674" s="53"/>
      <c r="J674" s="53"/>
      <c r="K674" s="53"/>
      <c r="L674" s="53"/>
      <c r="M674" s="53"/>
      <c r="N674" s="53"/>
      <c r="O674" s="53"/>
      <c r="P674" s="53"/>
      <c r="Q674" s="53"/>
      <c r="R674" s="53"/>
      <c r="S674" s="53"/>
      <c r="T674" s="53"/>
      <c r="U674" s="53"/>
    </row>
    <row r="675" spans="1:21" ht="16.8" x14ac:dyDescent="0.65">
      <c r="A675" s="54"/>
      <c r="B675" s="53"/>
      <c r="C675" s="53"/>
      <c r="D675" s="53"/>
      <c r="E675" s="53"/>
      <c r="F675" s="53"/>
      <c r="G675" s="54"/>
      <c r="H675" s="53"/>
      <c r="I675" s="53"/>
      <c r="J675" s="53"/>
      <c r="K675" s="53"/>
      <c r="L675" s="53"/>
      <c r="M675" s="53"/>
      <c r="N675" s="53"/>
      <c r="O675" s="53"/>
      <c r="P675" s="53"/>
      <c r="Q675" s="53"/>
      <c r="R675" s="53"/>
      <c r="S675" s="53"/>
      <c r="T675" s="53"/>
      <c r="U675" s="53"/>
    </row>
    <row r="676" spans="1:21" ht="16.8" x14ac:dyDescent="0.65">
      <c r="A676" s="54"/>
      <c r="B676" s="53"/>
      <c r="C676" s="53"/>
      <c r="D676" s="53"/>
      <c r="E676" s="53"/>
      <c r="F676" s="53"/>
      <c r="G676" s="54"/>
      <c r="H676" s="53"/>
      <c r="I676" s="53"/>
      <c r="J676" s="53"/>
      <c r="K676" s="53"/>
      <c r="L676" s="53"/>
      <c r="M676" s="53"/>
      <c r="N676" s="53"/>
      <c r="O676" s="53"/>
      <c r="P676" s="53"/>
      <c r="Q676" s="53"/>
      <c r="R676" s="53"/>
      <c r="S676" s="53"/>
      <c r="T676" s="53"/>
      <c r="U676" s="53"/>
    </row>
    <row r="677" spans="1:21" ht="16.8" x14ac:dyDescent="0.65">
      <c r="A677" s="54"/>
      <c r="B677" s="53"/>
      <c r="C677" s="53"/>
      <c r="D677" s="53"/>
      <c r="E677" s="53"/>
      <c r="F677" s="53"/>
      <c r="G677" s="54"/>
      <c r="H677" s="53"/>
      <c r="I677" s="53"/>
      <c r="J677" s="53"/>
      <c r="K677" s="53"/>
      <c r="L677" s="53"/>
      <c r="M677" s="53"/>
      <c r="N677" s="53"/>
      <c r="O677" s="53"/>
      <c r="P677" s="53"/>
      <c r="Q677" s="53"/>
      <c r="R677" s="53"/>
      <c r="S677" s="53"/>
      <c r="T677" s="53"/>
      <c r="U677" s="53"/>
    </row>
    <row r="678" spans="1:21" ht="16.8" x14ac:dyDescent="0.65">
      <c r="A678" s="54"/>
      <c r="B678" s="53"/>
      <c r="C678" s="53"/>
      <c r="D678" s="53"/>
      <c r="E678" s="53"/>
      <c r="F678" s="53"/>
      <c r="G678" s="54"/>
      <c r="H678" s="53"/>
      <c r="I678" s="53"/>
      <c r="J678" s="53"/>
      <c r="K678" s="53"/>
      <c r="L678" s="53"/>
      <c r="M678" s="53"/>
      <c r="N678" s="53"/>
      <c r="O678" s="53"/>
      <c r="P678" s="53"/>
      <c r="Q678" s="53"/>
      <c r="R678" s="53"/>
      <c r="S678" s="53"/>
      <c r="T678" s="53"/>
      <c r="U678" s="53"/>
    </row>
    <row r="679" spans="1:21" ht="16.8" x14ac:dyDescent="0.65">
      <c r="A679" s="54"/>
      <c r="B679" s="53"/>
      <c r="C679" s="53"/>
      <c r="D679" s="53"/>
      <c r="E679" s="53"/>
      <c r="F679" s="53"/>
      <c r="G679" s="54"/>
      <c r="H679" s="53"/>
      <c r="I679" s="53"/>
      <c r="J679" s="53"/>
      <c r="K679" s="53"/>
      <c r="L679" s="53"/>
      <c r="M679" s="53"/>
      <c r="N679" s="53"/>
      <c r="O679" s="53"/>
      <c r="P679" s="53"/>
      <c r="Q679" s="53"/>
      <c r="R679" s="53"/>
      <c r="S679" s="53"/>
      <c r="T679" s="53"/>
      <c r="U679" s="53"/>
    </row>
    <row r="680" spans="1:21" ht="16.8" x14ac:dyDescent="0.65">
      <c r="A680" s="54"/>
      <c r="B680" s="53"/>
      <c r="C680" s="53"/>
      <c r="D680" s="53"/>
      <c r="E680" s="53"/>
      <c r="F680" s="53"/>
      <c r="G680" s="54"/>
      <c r="H680" s="53"/>
      <c r="I680" s="53"/>
      <c r="J680" s="53"/>
      <c r="K680" s="53"/>
      <c r="L680" s="53"/>
      <c r="M680" s="53"/>
      <c r="N680" s="53"/>
      <c r="O680" s="53"/>
      <c r="P680" s="53"/>
      <c r="Q680" s="53"/>
      <c r="R680" s="53"/>
      <c r="S680" s="53"/>
      <c r="T680" s="53"/>
      <c r="U680" s="53"/>
    </row>
    <row r="681" spans="1:21" ht="16.8" x14ac:dyDescent="0.65">
      <c r="A681" s="54"/>
      <c r="B681" s="53"/>
      <c r="C681" s="53"/>
      <c r="D681" s="53"/>
      <c r="E681" s="53"/>
      <c r="F681" s="53"/>
      <c r="G681" s="54"/>
      <c r="H681" s="53"/>
      <c r="I681" s="53"/>
      <c r="J681" s="53"/>
      <c r="K681" s="53"/>
      <c r="L681" s="53"/>
      <c r="M681" s="53"/>
      <c r="N681" s="53"/>
      <c r="O681" s="53"/>
      <c r="P681" s="53"/>
      <c r="Q681" s="53"/>
      <c r="R681" s="53"/>
      <c r="S681" s="53"/>
      <c r="T681" s="53"/>
      <c r="U681" s="53"/>
    </row>
    <row r="682" spans="1:21" ht="16.8" x14ac:dyDescent="0.65">
      <c r="A682" s="54"/>
      <c r="B682" s="53"/>
      <c r="C682" s="53"/>
      <c r="D682" s="53"/>
      <c r="E682" s="53"/>
      <c r="F682" s="53"/>
      <c r="G682" s="54"/>
      <c r="H682" s="53"/>
      <c r="I682" s="53"/>
      <c r="J682" s="53"/>
      <c r="K682" s="53"/>
      <c r="L682" s="53"/>
      <c r="M682" s="53"/>
      <c r="N682" s="53"/>
      <c r="O682" s="53"/>
      <c r="P682" s="53"/>
      <c r="Q682" s="53"/>
      <c r="R682" s="53"/>
      <c r="S682" s="53"/>
      <c r="T682" s="53"/>
      <c r="U682" s="53"/>
    </row>
    <row r="683" spans="1:21" ht="16.8" x14ac:dyDescent="0.65">
      <c r="A683" s="54"/>
      <c r="B683" s="53"/>
      <c r="C683" s="53"/>
      <c r="D683" s="53"/>
      <c r="E683" s="53"/>
      <c r="F683" s="53"/>
      <c r="G683" s="54"/>
      <c r="H683" s="53"/>
      <c r="I683" s="53"/>
      <c r="J683" s="53"/>
      <c r="K683" s="53"/>
      <c r="L683" s="53"/>
      <c r="M683" s="53"/>
      <c r="N683" s="53"/>
      <c r="O683" s="53"/>
      <c r="P683" s="53"/>
      <c r="Q683" s="53"/>
      <c r="R683" s="53"/>
      <c r="S683" s="53"/>
      <c r="T683" s="53"/>
      <c r="U683" s="53"/>
    </row>
    <row r="684" spans="1:21" ht="16.8" x14ac:dyDescent="0.65">
      <c r="A684" s="54"/>
      <c r="B684" s="53"/>
      <c r="C684" s="53"/>
      <c r="D684" s="53"/>
      <c r="E684" s="53"/>
      <c r="F684" s="53"/>
      <c r="G684" s="54"/>
      <c r="H684" s="53"/>
      <c r="I684" s="53"/>
      <c r="J684" s="53"/>
      <c r="K684" s="53"/>
      <c r="L684" s="53"/>
      <c r="M684" s="53"/>
      <c r="N684" s="53"/>
      <c r="O684" s="53"/>
      <c r="P684" s="53"/>
      <c r="Q684" s="53"/>
      <c r="R684" s="53"/>
      <c r="S684" s="53"/>
      <c r="T684" s="53"/>
      <c r="U684" s="53"/>
    </row>
    <row r="685" spans="1:21" ht="16.8" x14ac:dyDescent="0.65">
      <c r="A685" s="54"/>
      <c r="B685" s="53"/>
      <c r="C685" s="53"/>
      <c r="D685" s="53"/>
      <c r="E685" s="53"/>
      <c r="F685" s="53"/>
      <c r="G685" s="54"/>
      <c r="H685" s="53"/>
      <c r="I685" s="53"/>
      <c r="J685" s="53"/>
      <c r="K685" s="53"/>
      <c r="L685" s="53"/>
      <c r="M685" s="53"/>
      <c r="N685" s="53"/>
      <c r="O685" s="53"/>
      <c r="P685" s="53"/>
      <c r="Q685" s="53"/>
      <c r="R685" s="53"/>
      <c r="S685" s="53"/>
      <c r="T685" s="53"/>
      <c r="U685" s="53"/>
    </row>
    <row r="686" spans="1:21" ht="16.8" x14ac:dyDescent="0.65">
      <c r="A686" s="54"/>
      <c r="B686" s="53"/>
      <c r="C686" s="53"/>
      <c r="D686" s="53"/>
      <c r="E686" s="53"/>
      <c r="F686" s="53"/>
      <c r="G686" s="54"/>
      <c r="H686" s="53"/>
      <c r="I686" s="53"/>
      <c r="J686" s="53"/>
      <c r="K686" s="53"/>
      <c r="L686" s="53"/>
      <c r="M686" s="53"/>
      <c r="N686" s="53"/>
      <c r="O686" s="53"/>
      <c r="P686" s="53"/>
      <c r="Q686" s="53"/>
      <c r="R686" s="53"/>
      <c r="S686" s="53"/>
      <c r="T686" s="53"/>
      <c r="U686" s="53"/>
    </row>
    <row r="687" spans="1:21" ht="16.8" x14ac:dyDescent="0.65">
      <c r="A687" s="54"/>
      <c r="B687" s="53"/>
      <c r="C687" s="53"/>
      <c r="D687" s="53"/>
      <c r="E687" s="53"/>
      <c r="F687" s="53"/>
      <c r="G687" s="54"/>
      <c r="H687" s="53"/>
      <c r="I687" s="53"/>
      <c r="J687" s="53"/>
      <c r="K687" s="53"/>
      <c r="L687" s="53"/>
      <c r="M687" s="53"/>
      <c r="N687" s="53"/>
      <c r="O687" s="53"/>
      <c r="P687" s="53"/>
      <c r="Q687" s="53"/>
      <c r="R687" s="53"/>
      <c r="S687" s="53"/>
      <c r="T687" s="53"/>
      <c r="U687" s="53"/>
    </row>
    <row r="688" spans="1:21" ht="16.8" x14ac:dyDescent="0.65">
      <c r="A688" s="54"/>
      <c r="B688" s="53"/>
      <c r="C688" s="53"/>
      <c r="D688" s="53"/>
      <c r="E688" s="53"/>
      <c r="F688" s="53"/>
      <c r="G688" s="54"/>
      <c r="H688" s="53"/>
      <c r="I688" s="53"/>
      <c r="J688" s="53"/>
      <c r="K688" s="53"/>
      <c r="L688" s="53"/>
      <c r="M688" s="53"/>
      <c r="N688" s="53"/>
      <c r="O688" s="53"/>
      <c r="P688" s="53"/>
      <c r="Q688" s="53"/>
      <c r="R688" s="53"/>
      <c r="S688" s="53"/>
      <c r="T688" s="53"/>
      <c r="U688" s="53"/>
    </row>
    <row r="689" spans="1:21" ht="16.8" x14ac:dyDescent="0.65">
      <c r="A689" s="54"/>
      <c r="B689" s="53"/>
      <c r="C689" s="53"/>
      <c r="D689" s="53"/>
      <c r="E689" s="53"/>
      <c r="F689" s="53"/>
      <c r="G689" s="54"/>
      <c r="H689" s="53"/>
      <c r="I689" s="53"/>
      <c r="J689" s="53"/>
      <c r="K689" s="53"/>
      <c r="L689" s="53"/>
      <c r="M689" s="53"/>
      <c r="N689" s="53"/>
      <c r="O689" s="53"/>
      <c r="P689" s="53"/>
      <c r="Q689" s="53"/>
      <c r="R689" s="53"/>
      <c r="S689" s="53"/>
      <c r="T689" s="53"/>
      <c r="U689" s="53"/>
    </row>
    <row r="690" spans="1:21" ht="16.8" x14ac:dyDescent="0.65">
      <c r="A690" s="54"/>
      <c r="B690" s="53"/>
      <c r="C690" s="53"/>
      <c r="D690" s="53"/>
      <c r="E690" s="53"/>
      <c r="F690" s="53"/>
      <c r="G690" s="54"/>
      <c r="H690" s="53"/>
      <c r="I690" s="53"/>
      <c r="J690" s="53"/>
      <c r="K690" s="53"/>
      <c r="L690" s="53"/>
      <c r="M690" s="53"/>
      <c r="N690" s="53"/>
      <c r="O690" s="53"/>
      <c r="P690" s="53"/>
      <c r="Q690" s="53"/>
      <c r="R690" s="53"/>
      <c r="S690" s="53"/>
      <c r="T690" s="53"/>
      <c r="U690" s="53"/>
    </row>
    <row r="691" spans="1:21" ht="16.8" x14ac:dyDescent="0.65">
      <c r="A691" s="54"/>
      <c r="B691" s="53"/>
      <c r="C691" s="53"/>
      <c r="D691" s="53"/>
      <c r="E691" s="53"/>
      <c r="F691" s="53"/>
      <c r="G691" s="54"/>
      <c r="H691" s="53"/>
      <c r="I691" s="53"/>
      <c r="J691" s="53"/>
      <c r="K691" s="53"/>
      <c r="L691" s="53"/>
      <c r="M691" s="53"/>
      <c r="N691" s="53"/>
      <c r="O691" s="53"/>
      <c r="P691" s="53"/>
      <c r="Q691" s="53"/>
      <c r="R691" s="53"/>
      <c r="S691" s="53"/>
      <c r="T691" s="53"/>
      <c r="U691" s="53"/>
    </row>
    <row r="692" spans="1:21" ht="16.8" x14ac:dyDescent="0.65">
      <c r="A692" s="54"/>
      <c r="B692" s="53"/>
      <c r="C692" s="53"/>
      <c r="D692" s="53"/>
      <c r="E692" s="53"/>
      <c r="F692" s="53"/>
      <c r="G692" s="54"/>
      <c r="H692" s="53"/>
      <c r="I692" s="53"/>
      <c r="J692" s="53"/>
      <c r="K692" s="53"/>
      <c r="L692" s="53"/>
      <c r="M692" s="53"/>
      <c r="N692" s="53"/>
      <c r="O692" s="53"/>
      <c r="P692" s="53"/>
      <c r="Q692" s="53"/>
      <c r="R692" s="53"/>
      <c r="S692" s="53"/>
      <c r="T692" s="53"/>
      <c r="U692" s="53"/>
    </row>
    <row r="693" spans="1:21" ht="16.8" x14ac:dyDescent="0.65">
      <c r="A693" s="54"/>
      <c r="B693" s="53"/>
      <c r="C693" s="53"/>
      <c r="D693" s="53"/>
      <c r="E693" s="53"/>
      <c r="F693" s="53"/>
      <c r="G693" s="54"/>
      <c r="H693" s="53"/>
      <c r="I693" s="53"/>
      <c r="J693" s="53"/>
      <c r="K693" s="53"/>
      <c r="L693" s="53"/>
      <c r="M693" s="53"/>
      <c r="N693" s="53"/>
      <c r="O693" s="53"/>
      <c r="P693" s="53"/>
      <c r="Q693" s="53"/>
      <c r="R693" s="53"/>
      <c r="S693" s="53"/>
      <c r="T693" s="53"/>
      <c r="U693" s="53"/>
    </row>
    <row r="694" spans="1:21" ht="16.8" x14ac:dyDescent="0.65">
      <c r="A694" s="54"/>
      <c r="B694" s="53"/>
      <c r="C694" s="53"/>
      <c r="D694" s="53"/>
      <c r="E694" s="53"/>
      <c r="F694" s="53"/>
      <c r="G694" s="54"/>
      <c r="H694" s="53"/>
      <c r="I694" s="53"/>
      <c r="J694" s="53"/>
      <c r="K694" s="53"/>
      <c r="L694" s="53"/>
      <c r="M694" s="53"/>
      <c r="N694" s="53"/>
      <c r="O694" s="53"/>
      <c r="P694" s="53"/>
      <c r="Q694" s="53"/>
      <c r="R694" s="53"/>
      <c r="S694" s="53"/>
      <c r="T694" s="53"/>
      <c r="U694" s="53"/>
    </row>
    <row r="695" spans="1:21" ht="16.8" x14ac:dyDescent="0.65">
      <c r="A695" s="54"/>
      <c r="B695" s="53"/>
      <c r="C695" s="53"/>
      <c r="D695" s="53"/>
      <c r="E695" s="53"/>
      <c r="F695" s="53"/>
      <c r="G695" s="54"/>
      <c r="H695" s="53"/>
      <c r="I695" s="53"/>
      <c r="J695" s="53"/>
      <c r="K695" s="53"/>
      <c r="L695" s="53"/>
      <c r="M695" s="53"/>
      <c r="N695" s="53"/>
      <c r="O695" s="53"/>
      <c r="P695" s="53"/>
      <c r="Q695" s="53"/>
      <c r="R695" s="53"/>
      <c r="S695" s="53"/>
      <c r="T695" s="53"/>
      <c r="U695" s="53"/>
    </row>
    <row r="696" spans="1:21" ht="16.8" x14ac:dyDescent="0.65">
      <c r="A696" s="54"/>
      <c r="B696" s="53"/>
      <c r="C696" s="53"/>
      <c r="D696" s="53"/>
      <c r="E696" s="53"/>
      <c r="F696" s="53"/>
      <c r="G696" s="54"/>
      <c r="H696" s="53"/>
      <c r="I696" s="53"/>
      <c r="J696" s="53"/>
      <c r="K696" s="53"/>
      <c r="L696" s="53"/>
      <c r="M696" s="53"/>
      <c r="N696" s="53"/>
      <c r="O696" s="53"/>
      <c r="P696" s="53"/>
      <c r="Q696" s="53"/>
      <c r="R696" s="53"/>
      <c r="S696" s="53"/>
      <c r="T696" s="53"/>
      <c r="U696" s="53"/>
    </row>
    <row r="697" spans="1:21" ht="16.8" x14ac:dyDescent="0.65">
      <c r="A697" s="54"/>
      <c r="B697" s="53"/>
      <c r="C697" s="53"/>
      <c r="D697" s="53"/>
      <c r="E697" s="53"/>
      <c r="F697" s="53"/>
      <c r="G697" s="54"/>
      <c r="H697" s="53"/>
      <c r="I697" s="53"/>
      <c r="J697" s="53"/>
      <c r="K697" s="53"/>
      <c r="L697" s="53"/>
      <c r="M697" s="53"/>
      <c r="N697" s="53"/>
      <c r="O697" s="53"/>
      <c r="P697" s="53"/>
      <c r="Q697" s="53"/>
      <c r="R697" s="53"/>
      <c r="S697" s="53"/>
      <c r="T697" s="53"/>
      <c r="U697" s="53"/>
    </row>
    <row r="698" spans="1:21" ht="16.8" x14ac:dyDescent="0.65">
      <c r="A698" s="54"/>
      <c r="B698" s="53"/>
      <c r="C698" s="53"/>
      <c r="D698" s="53"/>
      <c r="E698" s="53"/>
      <c r="F698" s="53"/>
      <c r="G698" s="54"/>
      <c r="H698" s="53"/>
      <c r="I698" s="53"/>
      <c r="J698" s="53"/>
      <c r="K698" s="53"/>
      <c r="L698" s="53"/>
      <c r="M698" s="53"/>
      <c r="N698" s="53"/>
      <c r="O698" s="53"/>
      <c r="P698" s="53"/>
      <c r="Q698" s="53"/>
      <c r="R698" s="53"/>
      <c r="S698" s="53"/>
      <c r="T698" s="53"/>
      <c r="U698" s="53"/>
    </row>
    <row r="699" spans="1:21" ht="16.8" x14ac:dyDescent="0.65">
      <c r="A699" s="54"/>
      <c r="B699" s="53"/>
      <c r="C699" s="53"/>
      <c r="D699" s="53"/>
      <c r="E699" s="53"/>
      <c r="F699" s="53"/>
      <c r="G699" s="54"/>
      <c r="H699" s="53"/>
      <c r="I699" s="53"/>
      <c r="J699" s="53"/>
      <c r="K699" s="53"/>
      <c r="L699" s="53"/>
      <c r="M699" s="53"/>
      <c r="N699" s="53"/>
      <c r="O699" s="53"/>
      <c r="P699" s="53"/>
      <c r="Q699" s="53"/>
      <c r="R699" s="53"/>
      <c r="S699" s="53"/>
      <c r="T699" s="53"/>
      <c r="U699" s="53"/>
    </row>
    <row r="700" spans="1:21" ht="16.8" x14ac:dyDescent="0.65">
      <c r="A700" s="54"/>
      <c r="B700" s="53"/>
      <c r="C700" s="53"/>
      <c r="D700" s="53"/>
      <c r="E700" s="53"/>
      <c r="F700" s="53"/>
      <c r="G700" s="54"/>
      <c r="H700" s="53"/>
      <c r="I700" s="53"/>
      <c r="J700" s="53"/>
      <c r="K700" s="53"/>
      <c r="L700" s="53"/>
      <c r="M700" s="53"/>
      <c r="N700" s="53"/>
      <c r="O700" s="53"/>
      <c r="P700" s="53"/>
      <c r="Q700" s="53"/>
      <c r="R700" s="53"/>
      <c r="S700" s="53"/>
      <c r="T700" s="53"/>
      <c r="U700" s="53"/>
    </row>
    <row r="701" spans="1:21" ht="16.8" x14ac:dyDescent="0.65">
      <c r="A701" s="54"/>
      <c r="B701" s="53"/>
      <c r="C701" s="53"/>
      <c r="D701" s="53"/>
      <c r="E701" s="53"/>
      <c r="F701" s="53"/>
      <c r="G701" s="54"/>
      <c r="H701" s="53"/>
      <c r="I701" s="53"/>
      <c r="J701" s="53"/>
      <c r="K701" s="53"/>
      <c r="L701" s="53"/>
      <c r="M701" s="53"/>
      <c r="N701" s="53"/>
      <c r="O701" s="53"/>
      <c r="P701" s="53"/>
      <c r="Q701" s="53"/>
      <c r="R701" s="53"/>
      <c r="S701" s="53"/>
      <c r="T701" s="53"/>
      <c r="U701" s="53"/>
    </row>
    <row r="702" spans="1:21" ht="16.8" x14ac:dyDescent="0.65">
      <c r="A702" s="54"/>
      <c r="B702" s="53"/>
      <c r="C702" s="53"/>
      <c r="D702" s="53"/>
      <c r="E702" s="53"/>
      <c r="F702" s="53"/>
      <c r="G702" s="54"/>
      <c r="H702" s="53"/>
      <c r="I702" s="53"/>
      <c r="J702" s="53"/>
      <c r="K702" s="53"/>
      <c r="L702" s="53"/>
      <c r="M702" s="53"/>
      <c r="N702" s="53"/>
      <c r="O702" s="53"/>
      <c r="P702" s="53"/>
      <c r="Q702" s="53"/>
      <c r="R702" s="53"/>
      <c r="S702" s="53"/>
      <c r="T702" s="53"/>
      <c r="U702" s="53"/>
    </row>
    <row r="703" spans="1:21" ht="16.8" x14ac:dyDescent="0.65">
      <c r="A703" s="54"/>
      <c r="B703" s="53"/>
      <c r="C703" s="53"/>
      <c r="D703" s="53"/>
      <c r="E703" s="53"/>
      <c r="F703" s="53"/>
      <c r="G703" s="54"/>
      <c r="H703" s="53"/>
      <c r="I703" s="53"/>
      <c r="J703" s="53"/>
      <c r="K703" s="53"/>
      <c r="L703" s="53"/>
      <c r="M703" s="53"/>
      <c r="N703" s="53"/>
      <c r="O703" s="53"/>
      <c r="P703" s="53"/>
      <c r="Q703" s="53"/>
      <c r="R703" s="53"/>
      <c r="S703" s="53"/>
      <c r="T703" s="53"/>
      <c r="U703" s="53"/>
    </row>
    <row r="704" spans="1:21" ht="16.8" x14ac:dyDescent="0.65">
      <c r="A704" s="54"/>
      <c r="B704" s="53"/>
      <c r="C704" s="53"/>
      <c r="D704" s="53"/>
      <c r="E704" s="53"/>
      <c r="F704" s="53"/>
      <c r="G704" s="54"/>
      <c r="H704" s="53"/>
      <c r="I704" s="53"/>
      <c r="J704" s="53"/>
      <c r="K704" s="53"/>
      <c r="L704" s="53"/>
      <c r="M704" s="53"/>
      <c r="N704" s="53"/>
      <c r="O704" s="53"/>
      <c r="P704" s="53"/>
      <c r="Q704" s="53"/>
      <c r="R704" s="53"/>
      <c r="S704" s="53"/>
      <c r="T704" s="53"/>
      <c r="U704" s="53"/>
    </row>
    <row r="705" spans="1:21" ht="16.8" x14ac:dyDescent="0.65">
      <c r="A705" s="54"/>
      <c r="B705" s="53"/>
      <c r="C705" s="53"/>
      <c r="D705" s="53"/>
      <c r="E705" s="53"/>
      <c r="F705" s="53"/>
      <c r="G705" s="54"/>
      <c r="H705" s="53"/>
      <c r="I705" s="53"/>
      <c r="J705" s="53"/>
      <c r="K705" s="53"/>
      <c r="L705" s="53"/>
      <c r="M705" s="53"/>
      <c r="N705" s="53"/>
      <c r="O705" s="53"/>
      <c r="P705" s="53"/>
      <c r="Q705" s="53"/>
      <c r="R705" s="53"/>
      <c r="S705" s="53"/>
      <c r="T705" s="53"/>
      <c r="U705" s="53"/>
    </row>
    <row r="706" spans="1:21" ht="16.8" x14ac:dyDescent="0.65">
      <c r="A706" s="54"/>
      <c r="B706" s="53"/>
      <c r="C706" s="53"/>
      <c r="D706" s="53"/>
      <c r="E706" s="53"/>
      <c r="F706" s="53"/>
      <c r="G706" s="54"/>
      <c r="H706" s="53"/>
      <c r="I706" s="53"/>
      <c r="J706" s="53"/>
      <c r="K706" s="53"/>
      <c r="L706" s="53"/>
      <c r="M706" s="53"/>
      <c r="N706" s="53"/>
      <c r="O706" s="53"/>
      <c r="P706" s="53"/>
      <c r="Q706" s="53"/>
      <c r="R706" s="53"/>
      <c r="S706" s="53"/>
      <c r="T706" s="53"/>
      <c r="U706" s="53"/>
    </row>
    <row r="707" spans="1:21" ht="16.8" x14ac:dyDescent="0.65">
      <c r="A707" s="54"/>
      <c r="B707" s="53"/>
      <c r="C707" s="53"/>
      <c r="D707" s="53"/>
      <c r="E707" s="53"/>
      <c r="F707" s="53"/>
      <c r="G707" s="54"/>
      <c r="H707" s="53"/>
      <c r="I707" s="53"/>
      <c r="J707" s="53"/>
      <c r="K707" s="53"/>
      <c r="L707" s="53"/>
      <c r="M707" s="53"/>
      <c r="N707" s="53"/>
      <c r="O707" s="53"/>
      <c r="P707" s="53"/>
      <c r="Q707" s="53"/>
      <c r="R707" s="53"/>
      <c r="S707" s="53"/>
      <c r="T707" s="53"/>
      <c r="U707" s="53"/>
    </row>
    <row r="708" spans="1:21" ht="16.8" x14ac:dyDescent="0.65">
      <c r="A708" s="54"/>
      <c r="B708" s="53"/>
      <c r="C708" s="53"/>
      <c r="D708" s="53"/>
      <c r="E708" s="53"/>
      <c r="F708" s="53"/>
      <c r="G708" s="54"/>
      <c r="H708" s="53"/>
      <c r="I708" s="53"/>
      <c r="J708" s="53"/>
      <c r="K708" s="53"/>
      <c r="L708" s="53"/>
      <c r="M708" s="53"/>
      <c r="N708" s="53"/>
      <c r="O708" s="53"/>
      <c r="P708" s="53"/>
      <c r="Q708" s="53"/>
      <c r="R708" s="53"/>
      <c r="S708" s="53"/>
      <c r="T708" s="53"/>
      <c r="U708" s="53"/>
    </row>
    <row r="709" spans="1:21" ht="16.8" x14ac:dyDescent="0.65">
      <c r="A709" s="54"/>
      <c r="B709" s="53"/>
      <c r="C709" s="53"/>
      <c r="D709" s="53"/>
      <c r="E709" s="53"/>
      <c r="F709" s="53"/>
      <c r="G709" s="54"/>
      <c r="H709" s="53"/>
      <c r="I709" s="53"/>
      <c r="J709" s="53"/>
      <c r="K709" s="53"/>
      <c r="L709" s="53"/>
      <c r="M709" s="53"/>
      <c r="N709" s="53"/>
      <c r="O709" s="53"/>
      <c r="P709" s="53"/>
      <c r="Q709" s="53"/>
      <c r="R709" s="53"/>
      <c r="S709" s="53"/>
      <c r="T709" s="53"/>
      <c r="U709" s="53"/>
    </row>
    <row r="710" spans="1:21" ht="16.8" x14ac:dyDescent="0.65">
      <c r="A710" s="54"/>
      <c r="B710" s="53"/>
      <c r="C710" s="53"/>
      <c r="D710" s="53"/>
      <c r="E710" s="53"/>
      <c r="F710" s="53"/>
      <c r="G710" s="54"/>
      <c r="H710" s="53"/>
      <c r="I710" s="53"/>
      <c r="J710" s="53"/>
      <c r="K710" s="53"/>
      <c r="L710" s="53"/>
      <c r="M710" s="53"/>
      <c r="N710" s="53"/>
      <c r="O710" s="53"/>
      <c r="P710" s="53"/>
      <c r="Q710" s="53"/>
      <c r="R710" s="53"/>
      <c r="S710" s="53"/>
      <c r="T710" s="53"/>
      <c r="U710" s="53"/>
    </row>
    <row r="711" spans="1:21" ht="16.8" x14ac:dyDescent="0.65">
      <c r="A711" s="54"/>
      <c r="B711" s="53"/>
      <c r="C711" s="53"/>
      <c r="D711" s="53"/>
      <c r="E711" s="53"/>
      <c r="F711" s="53"/>
      <c r="G711" s="54"/>
      <c r="H711" s="53"/>
      <c r="I711" s="53"/>
      <c r="J711" s="53"/>
      <c r="K711" s="53"/>
      <c r="L711" s="53"/>
      <c r="M711" s="53"/>
      <c r="N711" s="53"/>
      <c r="O711" s="53"/>
      <c r="P711" s="53"/>
      <c r="Q711" s="53"/>
      <c r="R711" s="53"/>
      <c r="S711" s="53"/>
      <c r="T711" s="53"/>
      <c r="U711" s="53"/>
    </row>
    <row r="712" spans="1:21" ht="16.8" x14ac:dyDescent="0.65">
      <c r="A712" s="54"/>
      <c r="B712" s="53"/>
      <c r="C712" s="53"/>
      <c r="D712" s="53"/>
      <c r="E712" s="53"/>
      <c r="F712" s="53"/>
      <c r="G712" s="54"/>
      <c r="H712" s="53"/>
      <c r="I712" s="53"/>
      <c r="J712" s="53"/>
      <c r="K712" s="53"/>
      <c r="L712" s="53"/>
      <c r="M712" s="53"/>
      <c r="N712" s="53"/>
      <c r="O712" s="53"/>
      <c r="P712" s="53"/>
      <c r="Q712" s="53"/>
      <c r="R712" s="53"/>
      <c r="S712" s="53"/>
      <c r="T712" s="53"/>
      <c r="U712" s="53"/>
    </row>
    <row r="713" spans="1:21" ht="16.8" x14ac:dyDescent="0.65">
      <c r="A713" s="54"/>
      <c r="B713" s="53"/>
      <c r="C713" s="53"/>
      <c r="D713" s="53"/>
      <c r="E713" s="53"/>
      <c r="F713" s="53"/>
      <c r="G713" s="54"/>
      <c r="H713" s="53"/>
      <c r="I713" s="53"/>
      <c r="J713" s="53"/>
      <c r="K713" s="53"/>
      <c r="L713" s="53"/>
      <c r="M713" s="53"/>
      <c r="N713" s="53"/>
      <c r="O713" s="53"/>
      <c r="P713" s="53"/>
      <c r="Q713" s="53"/>
      <c r="R713" s="53"/>
      <c r="S713" s="53"/>
      <c r="T713" s="53"/>
      <c r="U713" s="53"/>
    </row>
    <row r="714" spans="1:21" ht="16.8" x14ac:dyDescent="0.65">
      <c r="A714" s="54"/>
      <c r="B714" s="53"/>
      <c r="C714" s="53"/>
      <c r="D714" s="53"/>
      <c r="E714" s="53"/>
      <c r="F714" s="53"/>
      <c r="G714" s="54"/>
      <c r="H714" s="53"/>
      <c r="I714" s="53"/>
      <c r="J714" s="53"/>
      <c r="K714" s="53"/>
      <c r="L714" s="53"/>
      <c r="M714" s="53"/>
      <c r="N714" s="53"/>
      <c r="O714" s="53"/>
      <c r="P714" s="53"/>
      <c r="Q714" s="53"/>
      <c r="R714" s="53"/>
      <c r="S714" s="53"/>
      <c r="T714" s="53"/>
      <c r="U714" s="53"/>
    </row>
    <row r="715" spans="1:21" ht="16.8" x14ac:dyDescent="0.65">
      <c r="A715" s="54"/>
      <c r="B715" s="53"/>
      <c r="C715" s="53"/>
      <c r="D715" s="53"/>
      <c r="E715" s="53"/>
      <c r="F715" s="53"/>
      <c r="G715" s="54"/>
      <c r="H715" s="53"/>
      <c r="I715" s="53"/>
      <c r="J715" s="53"/>
      <c r="K715" s="53"/>
      <c r="L715" s="53"/>
      <c r="M715" s="53"/>
      <c r="N715" s="53"/>
      <c r="O715" s="53"/>
      <c r="P715" s="53"/>
      <c r="Q715" s="53"/>
      <c r="R715" s="53"/>
      <c r="S715" s="53"/>
      <c r="T715" s="53"/>
      <c r="U715" s="53"/>
    </row>
    <row r="716" spans="1:21" ht="16.8" x14ac:dyDescent="0.65">
      <c r="A716" s="54"/>
      <c r="B716" s="53"/>
      <c r="C716" s="53"/>
      <c r="D716" s="53"/>
      <c r="E716" s="53"/>
      <c r="F716" s="53"/>
      <c r="G716" s="54"/>
      <c r="H716" s="53"/>
      <c r="I716" s="53"/>
      <c r="J716" s="53"/>
      <c r="K716" s="53"/>
      <c r="L716" s="53"/>
      <c r="M716" s="53"/>
      <c r="N716" s="53"/>
      <c r="O716" s="53"/>
      <c r="P716" s="53"/>
      <c r="Q716" s="53"/>
      <c r="R716" s="53"/>
      <c r="S716" s="53"/>
      <c r="T716" s="53"/>
      <c r="U716" s="53"/>
    </row>
    <row r="717" spans="1:21" ht="16.8" x14ac:dyDescent="0.65">
      <c r="A717" s="54"/>
      <c r="B717" s="53"/>
      <c r="C717" s="53"/>
      <c r="D717" s="53"/>
      <c r="E717" s="53"/>
      <c r="F717" s="53"/>
      <c r="G717" s="54"/>
      <c r="H717" s="53"/>
      <c r="I717" s="53"/>
      <c r="J717" s="53"/>
      <c r="K717" s="53"/>
      <c r="L717" s="53"/>
      <c r="M717" s="53"/>
      <c r="N717" s="53"/>
      <c r="O717" s="53"/>
      <c r="P717" s="53"/>
      <c r="Q717" s="53"/>
      <c r="R717" s="53"/>
      <c r="S717" s="53"/>
      <c r="T717" s="53"/>
      <c r="U717" s="53"/>
    </row>
    <row r="718" spans="1:21" ht="16.8" x14ac:dyDescent="0.65">
      <c r="A718" s="54"/>
      <c r="B718" s="53"/>
      <c r="C718" s="53"/>
      <c r="D718" s="53"/>
      <c r="E718" s="53"/>
      <c r="F718" s="53"/>
      <c r="G718" s="54"/>
      <c r="H718" s="53"/>
      <c r="I718" s="53"/>
      <c r="J718" s="53"/>
      <c r="K718" s="53"/>
      <c r="L718" s="53"/>
      <c r="M718" s="53"/>
      <c r="N718" s="53"/>
      <c r="O718" s="53"/>
      <c r="P718" s="53"/>
      <c r="Q718" s="53"/>
      <c r="R718" s="53"/>
      <c r="S718" s="53"/>
      <c r="T718" s="53"/>
      <c r="U718" s="53"/>
    </row>
    <row r="719" spans="1:21" ht="16.8" x14ac:dyDescent="0.65">
      <c r="A719" s="54"/>
      <c r="B719" s="53"/>
      <c r="C719" s="53"/>
      <c r="D719" s="53"/>
      <c r="E719" s="53"/>
      <c r="F719" s="53"/>
      <c r="G719" s="54"/>
      <c r="H719" s="53"/>
      <c r="I719" s="53"/>
      <c r="J719" s="53"/>
      <c r="K719" s="53"/>
      <c r="L719" s="53"/>
      <c r="M719" s="53"/>
      <c r="N719" s="53"/>
      <c r="O719" s="53"/>
      <c r="P719" s="53"/>
      <c r="Q719" s="53"/>
      <c r="R719" s="53"/>
      <c r="S719" s="53"/>
      <c r="T719" s="53"/>
      <c r="U719" s="53"/>
    </row>
    <row r="720" spans="1:21" ht="16.8" x14ac:dyDescent="0.65">
      <c r="A720" s="54"/>
      <c r="B720" s="53"/>
      <c r="C720" s="53"/>
      <c r="D720" s="53"/>
      <c r="E720" s="53"/>
      <c r="F720" s="53"/>
      <c r="G720" s="54"/>
      <c r="H720" s="53"/>
      <c r="I720" s="53"/>
      <c r="J720" s="53"/>
      <c r="K720" s="53"/>
      <c r="L720" s="53"/>
      <c r="M720" s="53"/>
      <c r="N720" s="53"/>
      <c r="O720" s="53"/>
      <c r="P720" s="53"/>
      <c r="Q720" s="53"/>
      <c r="R720" s="53"/>
      <c r="S720" s="53"/>
      <c r="T720" s="53"/>
      <c r="U720" s="53"/>
    </row>
    <row r="721" spans="1:21" ht="16.8" x14ac:dyDescent="0.65">
      <c r="A721" s="54"/>
      <c r="B721" s="53"/>
      <c r="C721" s="53"/>
      <c r="D721" s="53"/>
      <c r="E721" s="53"/>
      <c r="F721" s="53"/>
      <c r="G721" s="54"/>
      <c r="H721" s="53"/>
      <c r="I721" s="53"/>
      <c r="J721" s="53"/>
      <c r="K721" s="53"/>
      <c r="L721" s="53"/>
      <c r="M721" s="53"/>
      <c r="N721" s="53"/>
      <c r="O721" s="53"/>
      <c r="P721" s="53"/>
      <c r="Q721" s="53"/>
      <c r="R721" s="53"/>
      <c r="S721" s="53"/>
      <c r="T721" s="53"/>
      <c r="U721" s="53"/>
    </row>
    <row r="722" spans="1:21" ht="16.8" x14ac:dyDescent="0.65">
      <c r="A722" s="54"/>
      <c r="B722" s="53"/>
      <c r="C722" s="53"/>
      <c r="D722" s="53"/>
      <c r="E722" s="53"/>
      <c r="F722" s="53"/>
      <c r="G722" s="54"/>
      <c r="H722" s="53"/>
      <c r="I722" s="53"/>
      <c r="J722" s="53"/>
      <c r="K722" s="53"/>
      <c r="L722" s="53"/>
      <c r="M722" s="53"/>
      <c r="N722" s="53"/>
      <c r="O722" s="53"/>
      <c r="P722" s="53"/>
      <c r="Q722" s="53"/>
      <c r="R722" s="53"/>
      <c r="S722" s="53"/>
      <c r="T722" s="53"/>
      <c r="U722" s="53"/>
    </row>
    <row r="723" spans="1:21" ht="16.8" x14ac:dyDescent="0.65">
      <c r="A723" s="54"/>
      <c r="B723" s="53"/>
      <c r="C723" s="53"/>
      <c r="D723" s="53"/>
      <c r="E723" s="53"/>
      <c r="F723" s="53"/>
      <c r="G723" s="54"/>
      <c r="H723" s="53"/>
      <c r="I723" s="53"/>
      <c r="J723" s="53"/>
      <c r="K723" s="53"/>
      <c r="L723" s="53"/>
      <c r="M723" s="53"/>
      <c r="N723" s="53"/>
      <c r="O723" s="53"/>
      <c r="P723" s="53"/>
      <c r="Q723" s="53"/>
      <c r="R723" s="53"/>
      <c r="S723" s="53"/>
      <c r="T723" s="53"/>
      <c r="U723" s="53"/>
    </row>
    <row r="724" spans="1:21" ht="16.8" x14ac:dyDescent="0.65">
      <c r="A724" s="54"/>
      <c r="B724" s="53"/>
      <c r="C724" s="53"/>
      <c r="D724" s="53"/>
      <c r="E724" s="53"/>
      <c r="F724" s="53"/>
      <c r="G724" s="54"/>
      <c r="H724" s="53"/>
      <c r="I724" s="53"/>
      <c r="J724" s="53"/>
      <c r="K724" s="53"/>
      <c r="L724" s="53"/>
      <c r="M724" s="53"/>
      <c r="N724" s="53"/>
      <c r="O724" s="53"/>
      <c r="P724" s="53"/>
      <c r="Q724" s="53"/>
      <c r="R724" s="53"/>
      <c r="S724" s="53"/>
      <c r="T724" s="53"/>
      <c r="U724" s="53"/>
    </row>
    <row r="725" spans="1:21" ht="16.8" x14ac:dyDescent="0.65">
      <c r="A725" s="54"/>
      <c r="B725" s="53"/>
      <c r="C725" s="53"/>
      <c r="D725" s="53"/>
      <c r="E725" s="53"/>
      <c r="F725" s="53"/>
      <c r="G725" s="54"/>
      <c r="H725" s="53"/>
      <c r="I725" s="53"/>
      <c r="J725" s="53"/>
      <c r="K725" s="53"/>
      <c r="L725" s="53"/>
      <c r="M725" s="53"/>
      <c r="N725" s="53"/>
      <c r="O725" s="53"/>
      <c r="P725" s="53"/>
      <c r="Q725" s="53"/>
      <c r="R725" s="53"/>
      <c r="S725" s="53"/>
      <c r="T725" s="53"/>
      <c r="U725" s="53"/>
    </row>
    <row r="726" spans="1:21" ht="16.8" x14ac:dyDescent="0.65">
      <c r="A726" s="54"/>
      <c r="B726" s="53"/>
      <c r="C726" s="53"/>
      <c r="D726" s="53"/>
      <c r="E726" s="53"/>
      <c r="F726" s="53"/>
      <c r="G726" s="54"/>
      <c r="H726" s="53"/>
      <c r="I726" s="53"/>
      <c r="J726" s="53"/>
      <c r="K726" s="53"/>
      <c r="L726" s="53"/>
      <c r="M726" s="53"/>
      <c r="N726" s="53"/>
      <c r="O726" s="53"/>
      <c r="P726" s="53"/>
      <c r="Q726" s="53"/>
      <c r="R726" s="53"/>
      <c r="S726" s="53"/>
      <c r="T726" s="53"/>
      <c r="U726" s="53"/>
    </row>
    <row r="727" spans="1:21" ht="16.8" x14ac:dyDescent="0.65">
      <c r="A727" s="54"/>
      <c r="B727" s="53"/>
      <c r="C727" s="53"/>
      <c r="D727" s="53"/>
      <c r="E727" s="53"/>
      <c r="F727" s="53"/>
      <c r="G727" s="54"/>
      <c r="H727" s="53"/>
      <c r="I727" s="53"/>
      <c r="J727" s="53"/>
      <c r="K727" s="53"/>
      <c r="L727" s="53"/>
      <c r="M727" s="53"/>
      <c r="N727" s="53"/>
      <c r="O727" s="53"/>
      <c r="P727" s="53"/>
      <c r="Q727" s="53"/>
      <c r="R727" s="53"/>
      <c r="S727" s="53"/>
      <c r="T727" s="53"/>
      <c r="U727" s="53"/>
    </row>
    <row r="728" spans="1:21" ht="16.8" x14ac:dyDescent="0.65">
      <c r="A728" s="54"/>
      <c r="B728" s="53"/>
      <c r="C728" s="53"/>
      <c r="D728" s="53"/>
      <c r="E728" s="53"/>
      <c r="F728" s="53"/>
      <c r="G728" s="54"/>
      <c r="H728" s="53"/>
      <c r="I728" s="53"/>
      <c r="J728" s="53"/>
      <c r="K728" s="53"/>
      <c r="L728" s="53"/>
      <c r="M728" s="53"/>
      <c r="N728" s="53"/>
      <c r="O728" s="53"/>
      <c r="P728" s="53"/>
      <c r="Q728" s="53"/>
      <c r="R728" s="53"/>
      <c r="S728" s="53"/>
      <c r="T728" s="53"/>
      <c r="U728" s="53"/>
    </row>
    <row r="729" spans="1:21" ht="16.8" x14ac:dyDescent="0.65">
      <c r="A729" s="54"/>
      <c r="B729" s="53"/>
      <c r="C729" s="53"/>
      <c r="D729" s="53"/>
      <c r="E729" s="53"/>
      <c r="F729" s="53"/>
      <c r="G729" s="54"/>
      <c r="H729" s="53"/>
      <c r="I729" s="53"/>
      <c r="J729" s="53"/>
      <c r="K729" s="53"/>
      <c r="L729" s="53"/>
      <c r="M729" s="53"/>
      <c r="N729" s="53"/>
      <c r="O729" s="53"/>
      <c r="P729" s="53"/>
      <c r="Q729" s="53"/>
      <c r="R729" s="53"/>
      <c r="S729" s="53"/>
      <c r="T729" s="53"/>
      <c r="U729" s="53"/>
    </row>
    <row r="730" spans="1:21" ht="16.8" x14ac:dyDescent="0.65">
      <c r="A730" s="54"/>
      <c r="B730" s="53"/>
      <c r="C730" s="53"/>
      <c r="D730" s="53"/>
      <c r="E730" s="53"/>
      <c r="F730" s="53"/>
      <c r="G730" s="54"/>
      <c r="H730" s="53"/>
      <c r="I730" s="53"/>
      <c r="J730" s="53"/>
      <c r="K730" s="53"/>
      <c r="L730" s="53"/>
      <c r="M730" s="53"/>
      <c r="N730" s="53"/>
      <c r="O730" s="53"/>
      <c r="P730" s="53"/>
      <c r="Q730" s="53"/>
      <c r="R730" s="53"/>
      <c r="S730" s="53"/>
      <c r="T730" s="53"/>
      <c r="U730" s="53"/>
    </row>
    <row r="731" spans="1:21" ht="16.8" x14ac:dyDescent="0.65">
      <c r="A731" s="54"/>
      <c r="B731" s="53"/>
      <c r="C731" s="53"/>
      <c r="D731" s="53"/>
      <c r="E731" s="53"/>
      <c r="F731" s="53"/>
      <c r="G731" s="54"/>
      <c r="H731" s="53"/>
      <c r="I731" s="53"/>
      <c r="J731" s="53"/>
      <c r="K731" s="53"/>
      <c r="L731" s="53"/>
      <c r="M731" s="53"/>
      <c r="N731" s="53"/>
      <c r="O731" s="53"/>
      <c r="P731" s="53"/>
      <c r="Q731" s="53"/>
      <c r="R731" s="53"/>
      <c r="S731" s="53"/>
      <c r="T731" s="53"/>
      <c r="U731" s="53"/>
    </row>
    <row r="732" spans="1:21" ht="16.8" x14ac:dyDescent="0.65">
      <c r="A732" s="54"/>
      <c r="B732" s="53"/>
      <c r="C732" s="53"/>
      <c r="D732" s="53"/>
      <c r="E732" s="53"/>
      <c r="F732" s="53"/>
      <c r="G732" s="54"/>
      <c r="H732" s="53"/>
      <c r="I732" s="53"/>
      <c r="J732" s="53"/>
      <c r="K732" s="53"/>
      <c r="L732" s="53"/>
      <c r="M732" s="53"/>
      <c r="N732" s="53"/>
      <c r="O732" s="53"/>
      <c r="P732" s="53"/>
      <c r="Q732" s="53"/>
      <c r="R732" s="53"/>
      <c r="S732" s="53"/>
      <c r="T732" s="53"/>
      <c r="U732" s="53"/>
    </row>
    <row r="733" spans="1:21" ht="16.8" x14ac:dyDescent="0.65">
      <c r="A733" s="54"/>
      <c r="B733" s="53"/>
      <c r="C733" s="53"/>
      <c r="D733" s="53"/>
      <c r="E733" s="53"/>
      <c r="F733" s="53"/>
      <c r="G733" s="54"/>
      <c r="H733" s="53"/>
      <c r="I733" s="53"/>
      <c r="J733" s="53"/>
      <c r="K733" s="53"/>
      <c r="L733" s="53"/>
      <c r="M733" s="53"/>
      <c r="N733" s="53"/>
      <c r="O733" s="53"/>
      <c r="P733" s="53"/>
      <c r="Q733" s="53"/>
      <c r="R733" s="53"/>
      <c r="S733" s="53"/>
      <c r="T733" s="53"/>
      <c r="U733" s="53"/>
    </row>
    <row r="734" spans="1:21" ht="16.8" x14ac:dyDescent="0.65">
      <c r="A734" s="54"/>
      <c r="B734" s="53"/>
      <c r="C734" s="53"/>
      <c r="D734" s="53"/>
      <c r="E734" s="53"/>
      <c r="F734" s="53"/>
      <c r="G734" s="54"/>
      <c r="H734" s="53"/>
      <c r="I734" s="53"/>
      <c r="J734" s="53"/>
      <c r="K734" s="53"/>
      <c r="L734" s="53"/>
      <c r="M734" s="53"/>
      <c r="N734" s="53"/>
      <c r="O734" s="53"/>
      <c r="P734" s="53"/>
      <c r="Q734" s="53"/>
      <c r="R734" s="53"/>
      <c r="S734" s="53"/>
      <c r="T734" s="53"/>
      <c r="U734" s="53"/>
    </row>
    <row r="735" spans="1:21" ht="16.8" x14ac:dyDescent="0.65">
      <c r="A735" s="54"/>
      <c r="B735" s="53"/>
      <c r="C735" s="53"/>
      <c r="D735" s="53"/>
      <c r="E735" s="53"/>
      <c r="F735" s="53"/>
      <c r="G735" s="54"/>
      <c r="H735" s="53"/>
      <c r="I735" s="53"/>
      <c r="J735" s="53"/>
      <c r="K735" s="53"/>
      <c r="L735" s="53"/>
      <c r="M735" s="53"/>
      <c r="N735" s="53"/>
      <c r="O735" s="53"/>
      <c r="P735" s="53"/>
      <c r="Q735" s="53"/>
      <c r="R735" s="53"/>
      <c r="S735" s="53"/>
      <c r="T735" s="53"/>
      <c r="U735" s="53"/>
    </row>
    <row r="736" spans="1:21" ht="16.8" x14ac:dyDescent="0.65">
      <c r="A736" s="54"/>
      <c r="B736" s="53"/>
      <c r="C736" s="53"/>
      <c r="D736" s="53"/>
      <c r="E736" s="53"/>
      <c r="F736" s="53"/>
      <c r="G736" s="54"/>
      <c r="H736" s="53"/>
      <c r="I736" s="53"/>
      <c r="J736" s="53"/>
      <c r="K736" s="53"/>
      <c r="L736" s="53"/>
      <c r="M736" s="53"/>
      <c r="N736" s="53"/>
      <c r="O736" s="53"/>
      <c r="P736" s="53"/>
      <c r="Q736" s="53"/>
      <c r="R736" s="53"/>
      <c r="S736" s="53"/>
      <c r="T736" s="53"/>
      <c r="U736" s="53"/>
    </row>
    <row r="737" spans="1:21" ht="16.8" x14ac:dyDescent="0.65">
      <c r="A737" s="54"/>
      <c r="B737" s="53"/>
      <c r="C737" s="53"/>
      <c r="D737" s="53"/>
      <c r="E737" s="53"/>
      <c r="F737" s="53"/>
      <c r="G737" s="54"/>
      <c r="H737" s="53"/>
      <c r="I737" s="53"/>
      <c r="J737" s="53"/>
      <c r="K737" s="53"/>
      <c r="L737" s="53"/>
      <c r="M737" s="53"/>
      <c r="N737" s="53"/>
      <c r="O737" s="53"/>
      <c r="P737" s="53"/>
      <c r="Q737" s="53"/>
      <c r="R737" s="53"/>
      <c r="S737" s="53"/>
      <c r="T737" s="53"/>
      <c r="U737" s="53"/>
    </row>
    <row r="738" spans="1:21" ht="16.8" x14ac:dyDescent="0.65">
      <c r="A738" s="54"/>
      <c r="B738" s="53"/>
      <c r="C738" s="53"/>
      <c r="D738" s="53"/>
      <c r="E738" s="53"/>
      <c r="F738" s="53"/>
      <c r="G738" s="54"/>
      <c r="H738" s="53"/>
      <c r="I738" s="53"/>
      <c r="J738" s="53"/>
      <c r="K738" s="53"/>
      <c r="L738" s="53"/>
      <c r="M738" s="53"/>
      <c r="N738" s="53"/>
      <c r="O738" s="53"/>
      <c r="P738" s="53"/>
      <c r="Q738" s="53"/>
      <c r="R738" s="53"/>
      <c r="S738" s="53"/>
      <c r="T738" s="53"/>
      <c r="U738" s="53"/>
    </row>
    <row r="739" spans="1:21" ht="16.8" x14ac:dyDescent="0.65">
      <c r="A739" s="54"/>
      <c r="B739" s="53"/>
      <c r="C739" s="53"/>
      <c r="D739" s="53"/>
      <c r="E739" s="53"/>
      <c r="F739" s="53"/>
      <c r="G739" s="54"/>
      <c r="H739" s="53"/>
      <c r="I739" s="53"/>
      <c r="J739" s="53"/>
      <c r="K739" s="53"/>
      <c r="L739" s="53"/>
      <c r="M739" s="53"/>
      <c r="N739" s="53"/>
      <c r="O739" s="53"/>
      <c r="P739" s="53"/>
      <c r="Q739" s="53"/>
      <c r="R739" s="53"/>
      <c r="S739" s="53"/>
      <c r="T739" s="53"/>
      <c r="U739" s="53"/>
    </row>
    <row r="740" spans="1:21" ht="16.8" x14ac:dyDescent="0.65">
      <c r="A740" s="54"/>
      <c r="B740" s="53"/>
      <c r="C740" s="53"/>
      <c r="D740" s="53"/>
      <c r="E740" s="53"/>
      <c r="F740" s="53"/>
      <c r="G740" s="54"/>
      <c r="H740" s="53"/>
      <c r="I740" s="53"/>
      <c r="J740" s="53"/>
      <c r="K740" s="53"/>
      <c r="L740" s="53"/>
      <c r="M740" s="53"/>
      <c r="N740" s="53"/>
      <c r="O740" s="53"/>
      <c r="P740" s="53"/>
      <c r="Q740" s="53"/>
      <c r="R740" s="53"/>
      <c r="S740" s="53"/>
      <c r="T740" s="53"/>
      <c r="U740" s="53"/>
    </row>
    <row r="741" spans="1:21" ht="16.8" x14ac:dyDescent="0.65">
      <c r="A741" s="54"/>
      <c r="B741" s="53"/>
      <c r="C741" s="53"/>
      <c r="D741" s="53"/>
      <c r="E741" s="53"/>
      <c r="F741" s="53"/>
      <c r="G741" s="54"/>
      <c r="H741" s="53"/>
      <c r="I741" s="53"/>
      <c r="J741" s="53"/>
      <c r="K741" s="53"/>
      <c r="L741" s="53"/>
      <c r="M741" s="53"/>
      <c r="N741" s="53"/>
      <c r="O741" s="53"/>
      <c r="P741" s="53"/>
      <c r="Q741" s="53"/>
      <c r="R741" s="53"/>
      <c r="S741" s="53"/>
      <c r="T741" s="53"/>
      <c r="U741" s="53"/>
    </row>
    <row r="742" spans="1:21" ht="16.8" x14ac:dyDescent="0.65">
      <c r="A742" s="54"/>
      <c r="B742" s="53"/>
      <c r="C742" s="53"/>
      <c r="D742" s="53"/>
      <c r="E742" s="53"/>
      <c r="F742" s="53"/>
      <c r="G742" s="54"/>
      <c r="H742" s="53"/>
      <c r="I742" s="53"/>
      <c r="J742" s="53"/>
      <c r="K742" s="53"/>
      <c r="L742" s="53"/>
      <c r="M742" s="53"/>
      <c r="N742" s="53"/>
      <c r="O742" s="53"/>
      <c r="P742" s="53"/>
      <c r="Q742" s="53"/>
      <c r="R742" s="53"/>
      <c r="S742" s="53"/>
      <c r="T742" s="53"/>
      <c r="U742" s="53"/>
    </row>
    <row r="743" spans="1:21" ht="16.8" x14ac:dyDescent="0.65">
      <c r="A743" s="54"/>
      <c r="B743" s="53"/>
      <c r="C743" s="53"/>
      <c r="D743" s="53"/>
      <c r="E743" s="53"/>
      <c r="F743" s="53"/>
      <c r="G743" s="54"/>
      <c r="H743" s="53"/>
      <c r="I743" s="53"/>
      <c r="J743" s="53"/>
      <c r="K743" s="53"/>
      <c r="L743" s="53"/>
      <c r="M743" s="53"/>
      <c r="N743" s="53"/>
      <c r="O743" s="53"/>
      <c r="P743" s="53"/>
      <c r="Q743" s="53"/>
      <c r="R743" s="53"/>
      <c r="S743" s="53"/>
      <c r="T743" s="53"/>
      <c r="U743" s="53"/>
    </row>
    <row r="744" spans="1:21" ht="16.8" x14ac:dyDescent="0.65">
      <c r="A744" s="54"/>
      <c r="B744" s="53"/>
      <c r="C744" s="53"/>
      <c r="D744" s="53"/>
      <c r="E744" s="53"/>
      <c r="F744" s="53"/>
      <c r="G744" s="54"/>
      <c r="H744" s="53"/>
      <c r="I744" s="53"/>
      <c r="J744" s="53"/>
      <c r="K744" s="53"/>
      <c r="L744" s="53"/>
      <c r="M744" s="53"/>
      <c r="N744" s="53"/>
      <c r="O744" s="53"/>
      <c r="P744" s="53"/>
      <c r="Q744" s="53"/>
      <c r="R744" s="53"/>
      <c r="S744" s="53"/>
      <c r="T744" s="53"/>
      <c r="U744" s="53"/>
    </row>
    <row r="745" spans="1:21" ht="16.8" x14ac:dyDescent="0.65">
      <c r="A745" s="54"/>
      <c r="B745" s="53"/>
      <c r="C745" s="53"/>
      <c r="D745" s="53"/>
      <c r="E745" s="53"/>
      <c r="F745" s="53"/>
      <c r="G745" s="54"/>
      <c r="H745" s="53"/>
      <c r="I745" s="53"/>
      <c r="J745" s="53"/>
      <c r="K745" s="53"/>
      <c r="L745" s="53"/>
      <c r="M745" s="53"/>
      <c r="N745" s="53"/>
      <c r="O745" s="53"/>
      <c r="P745" s="53"/>
      <c r="Q745" s="53"/>
      <c r="R745" s="53"/>
      <c r="S745" s="53"/>
      <c r="T745" s="53"/>
      <c r="U745" s="53"/>
    </row>
    <row r="746" spans="1:21" ht="16.8" x14ac:dyDescent="0.65">
      <c r="A746" s="54"/>
      <c r="B746" s="53"/>
      <c r="C746" s="53"/>
      <c r="D746" s="53"/>
      <c r="E746" s="53"/>
      <c r="F746" s="53"/>
      <c r="G746" s="54"/>
      <c r="H746" s="53"/>
      <c r="I746" s="53"/>
      <c r="J746" s="53"/>
      <c r="K746" s="53"/>
      <c r="L746" s="53"/>
      <c r="M746" s="53"/>
      <c r="N746" s="53"/>
      <c r="O746" s="53"/>
      <c r="P746" s="53"/>
      <c r="Q746" s="53"/>
      <c r="R746" s="53"/>
      <c r="S746" s="53"/>
      <c r="T746" s="53"/>
      <c r="U746" s="53"/>
    </row>
    <row r="747" spans="1:21" ht="16.8" x14ac:dyDescent="0.65">
      <c r="A747" s="54"/>
      <c r="B747" s="53"/>
      <c r="C747" s="53"/>
      <c r="D747" s="53"/>
      <c r="E747" s="53"/>
      <c r="F747" s="53"/>
      <c r="G747" s="54"/>
      <c r="H747" s="53"/>
      <c r="I747" s="53"/>
      <c r="J747" s="53"/>
      <c r="K747" s="53"/>
      <c r="L747" s="53"/>
      <c r="M747" s="53"/>
      <c r="N747" s="53"/>
      <c r="O747" s="53"/>
      <c r="P747" s="53"/>
      <c r="Q747" s="53"/>
      <c r="R747" s="53"/>
      <c r="S747" s="53"/>
      <c r="T747" s="53"/>
      <c r="U747" s="53"/>
    </row>
    <row r="748" spans="1:21" ht="16.8" x14ac:dyDescent="0.65">
      <c r="A748" s="54"/>
      <c r="B748" s="53"/>
      <c r="C748" s="53"/>
      <c r="D748" s="53"/>
      <c r="E748" s="53"/>
      <c r="F748" s="53"/>
      <c r="G748" s="54"/>
      <c r="H748" s="53"/>
      <c r="I748" s="53"/>
      <c r="J748" s="53"/>
      <c r="K748" s="53"/>
      <c r="L748" s="53"/>
      <c r="M748" s="53"/>
      <c r="N748" s="53"/>
      <c r="O748" s="53"/>
      <c r="P748" s="53"/>
      <c r="Q748" s="53"/>
      <c r="R748" s="53"/>
      <c r="S748" s="53"/>
      <c r="T748" s="53"/>
      <c r="U748" s="53"/>
    </row>
    <row r="749" spans="1:21" ht="16.8" x14ac:dyDescent="0.65">
      <c r="A749" s="54"/>
      <c r="B749" s="53"/>
      <c r="C749" s="53"/>
      <c r="D749" s="53"/>
      <c r="E749" s="53"/>
      <c r="F749" s="53"/>
      <c r="G749" s="54"/>
      <c r="H749" s="53"/>
      <c r="I749" s="53"/>
      <c r="J749" s="53"/>
      <c r="K749" s="53"/>
      <c r="L749" s="53"/>
      <c r="M749" s="53"/>
      <c r="N749" s="53"/>
      <c r="O749" s="53"/>
      <c r="P749" s="53"/>
      <c r="Q749" s="53"/>
      <c r="R749" s="53"/>
      <c r="S749" s="53"/>
      <c r="T749" s="53"/>
      <c r="U749" s="53"/>
    </row>
    <row r="750" spans="1:21" ht="16.8" x14ac:dyDescent="0.65">
      <c r="A750" s="54"/>
      <c r="B750" s="53"/>
      <c r="C750" s="53"/>
      <c r="D750" s="53"/>
      <c r="E750" s="53"/>
      <c r="F750" s="53"/>
      <c r="G750" s="54"/>
      <c r="H750" s="53"/>
      <c r="I750" s="53"/>
      <c r="J750" s="53"/>
      <c r="K750" s="53"/>
      <c r="L750" s="53"/>
      <c r="M750" s="53"/>
      <c r="N750" s="53"/>
      <c r="O750" s="53"/>
      <c r="P750" s="53"/>
      <c r="Q750" s="53"/>
      <c r="R750" s="53"/>
      <c r="S750" s="53"/>
      <c r="T750" s="53"/>
      <c r="U750" s="53"/>
    </row>
    <row r="751" spans="1:21" ht="16.8" x14ac:dyDescent="0.65">
      <c r="A751" s="54"/>
      <c r="B751" s="53"/>
      <c r="C751" s="53"/>
      <c r="D751" s="53"/>
      <c r="E751" s="53"/>
      <c r="F751" s="53"/>
      <c r="G751" s="54"/>
      <c r="H751" s="53"/>
      <c r="I751" s="53"/>
      <c r="J751" s="53"/>
      <c r="K751" s="53"/>
      <c r="L751" s="53"/>
      <c r="M751" s="53"/>
      <c r="N751" s="53"/>
      <c r="O751" s="53"/>
      <c r="P751" s="53"/>
      <c r="Q751" s="53"/>
      <c r="R751" s="53"/>
      <c r="S751" s="53"/>
      <c r="T751" s="53"/>
      <c r="U751" s="53"/>
    </row>
    <row r="752" spans="1:21" ht="16.8" x14ac:dyDescent="0.65">
      <c r="A752" s="54"/>
      <c r="B752" s="53"/>
      <c r="C752" s="53"/>
      <c r="D752" s="53"/>
      <c r="E752" s="53"/>
      <c r="F752" s="53"/>
      <c r="G752" s="54"/>
      <c r="H752" s="53"/>
      <c r="I752" s="53"/>
      <c r="J752" s="53"/>
      <c r="K752" s="53"/>
      <c r="L752" s="53"/>
      <c r="M752" s="53"/>
      <c r="N752" s="53"/>
      <c r="O752" s="53"/>
      <c r="P752" s="53"/>
      <c r="Q752" s="53"/>
      <c r="R752" s="53"/>
      <c r="S752" s="53"/>
      <c r="T752" s="53"/>
      <c r="U752" s="53"/>
    </row>
    <row r="753" spans="1:21" ht="16.8" x14ac:dyDescent="0.65">
      <c r="A753" s="54"/>
      <c r="B753" s="53"/>
      <c r="C753" s="53"/>
      <c r="D753" s="53"/>
      <c r="E753" s="53"/>
      <c r="F753" s="53"/>
      <c r="G753" s="54"/>
      <c r="H753" s="53"/>
      <c r="I753" s="53"/>
      <c r="J753" s="53"/>
      <c r="K753" s="53"/>
      <c r="L753" s="53"/>
      <c r="M753" s="53"/>
      <c r="N753" s="53"/>
      <c r="O753" s="53"/>
      <c r="P753" s="53"/>
      <c r="Q753" s="53"/>
      <c r="R753" s="53"/>
      <c r="S753" s="53"/>
      <c r="T753" s="53"/>
      <c r="U753" s="53"/>
    </row>
    <row r="754" spans="1:21" ht="16.8" x14ac:dyDescent="0.65">
      <c r="A754" s="54"/>
      <c r="B754" s="53"/>
      <c r="C754" s="53"/>
      <c r="D754" s="53"/>
      <c r="E754" s="53"/>
      <c r="F754" s="53"/>
      <c r="G754" s="54"/>
      <c r="H754" s="53"/>
      <c r="I754" s="53"/>
      <c r="J754" s="53"/>
      <c r="K754" s="53"/>
      <c r="L754" s="53"/>
      <c r="M754" s="53"/>
      <c r="N754" s="53"/>
      <c r="O754" s="53"/>
      <c r="P754" s="53"/>
      <c r="Q754" s="53"/>
      <c r="R754" s="53"/>
      <c r="S754" s="53"/>
      <c r="T754" s="53"/>
      <c r="U754" s="53"/>
    </row>
    <row r="755" spans="1:21" ht="16.8" x14ac:dyDescent="0.65">
      <c r="A755" s="54"/>
      <c r="B755" s="53"/>
      <c r="C755" s="53"/>
      <c r="D755" s="53"/>
      <c r="E755" s="53"/>
      <c r="F755" s="53"/>
      <c r="G755" s="54"/>
      <c r="H755" s="53"/>
      <c r="I755" s="53"/>
      <c r="J755" s="53"/>
      <c r="K755" s="53"/>
      <c r="L755" s="53"/>
      <c r="M755" s="53"/>
      <c r="N755" s="53"/>
      <c r="O755" s="53"/>
      <c r="P755" s="53"/>
      <c r="Q755" s="53"/>
      <c r="R755" s="53"/>
      <c r="S755" s="53"/>
      <c r="T755" s="53"/>
      <c r="U755" s="53"/>
    </row>
    <row r="756" spans="1:21" ht="16.8" x14ac:dyDescent="0.65">
      <c r="A756" s="54"/>
      <c r="B756" s="53"/>
      <c r="C756" s="53"/>
      <c r="D756" s="53"/>
      <c r="E756" s="53"/>
      <c r="F756" s="53"/>
      <c r="G756" s="54"/>
      <c r="H756" s="53"/>
      <c r="I756" s="53"/>
      <c r="J756" s="53"/>
      <c r="K756" s="53"/>
      <c r="L756" s="53"/>
      <c r="M756" s="53"/>
      <c r="N756" s="53"/>
      <c r="O756" s="53"/>
      <c r="P756" s="53"/>
      <c r="Q756" s="53"/>
      <c r="R756" s="53"/>
      <c r="S756" s="53"/>
      <c r="T756" s="53"/>
      <c r="U756" s="53"/>
    </row>
    <row r="757" spans="1:21" ht="16.8" x14ac:dyDescent="0.65">
      <c r="A757" s="54"/>
      <c r="B757" s="53"/>
      <c r="C757" s="53"/>
      <c r="D757" s="53"/>
      <c r="E757" s="53"/>
      <c r="F757" s="53"/>
      <c r="G757" s="54"/>
      <c r="H757" s="53"/>
      <c r="I757" s="53"/>
      <c r="J757" s="53"/>
      <c r="K757" s="53"/>
      <c r="L757" s="53"/>
      <c r="M757" s="53"/>
      <c r="N757" s="53"/>
      <c r="O757" s="53"/>
      <c r="P757" s="53"/>
      <c r="Q757" s="53"/>
      <c r="R757" s="53"/>
      <c r="S757" s="53"/>
      <c r="T757" s="53"/>
      <c r="U757" s="53"/>
    </row>
    <row r="758" spans="1:21" ht="16.8" x14ac:dyDescent="0.65">
      <c r="A758" s="54"/>
      <c r="B758" s="53"/>
      <c r="C758" s="53"/>
      <c r="D758" s="53"/>
      <c r="E758" s="53"/>
      <c r="F758" s="53"/>
      <c r="G758" s="54"/>
      <c r="H758" s="53"/>
      <c r="I758" s="53"/>
      <c r="J758" s="53"/>
      <c r="K758" s="53"/>
      <c r="L758" s="53"/>
      <c r="M758" s="53"/>
      <c r="N758" s="53"/>
      <c r="O758" s="53"/>
      <c r="P758" s="53"/>
      <c r="Q758" s="53"/>
      <c r="R758" s="53"/>
      <c r="S758" s="53"/>
      <c r="T758" s="53"/>
      <c r="U758" s="53"/>
    </row>
    <row r="759" spans="1:21" ht="16.8" x14ac:dyDescent="0.65">
      <c r="A759" s="54"/>
      <c r="B759" s="53"/>
      <c r="C759" s="53"/>
      <c r="D759" s="53"/>
      <c r="E759" s="53"/>
      <c r="F759" s="53"/>
      <c r="G759" s="54"/>
      <c r="H759" s="53"/>
      <c r="I759" s="53"/>
      <c r="J759" s="53"/>
      <c r="K759" s="53"/>
      <c r="L759" s="53"/>
      <c r="M759" s="53"/>
      <c r="N759" s="53"/>
      <c r="O759" s="53"/>
      <c r="P759" s="53"/>
      <c r="Q759" s="53"/>
      <c r="R759" s="53"/>
      <c r="S759" s="53"/>
      <c r="T759" s="53"/>
      <c r="U759" s="53"/>
    </row>
    <row r="760" spans="1:21" ht="16.8" x14ac:dyDescent="0.65">
      <c r="A760" s="54"/>
      <c r="B760" s="53"/>
      <c r="C760" s="53"/>
      <c r="D760" s="53"/>
      <c r="E760" s="53"/>
      <c r="F760" s="53"/>
      <c r="G760" s="54"/>
      <c r="H760" s="53"/>
      <c r="I760" s="53"/>
      <c r="J760" s="53"/>
      <c r="K760" s="53"/>
      <c r="L760" s="53"/>
      <c r="M760" s="53"/>
      <c r="N760" s="53"/>
      <c r="O760" s="53"/>
      <c r="P760" s="53"/>
      <c r="Q760" s="53"/>
      <c r="R760" s="53"/>
      <c r="S760" s="53"/>
      <c r="T760" s="53"/>
      <c r="U760" s="53"/>
    </row>
    <row r="761" spans="1:21" ht="16.8" x14ac:dyDescent="0.65">
      <c r="A761" s="54"/>
      <c r="B761" s="53"/>
      <c r="C761" s="53"/>
      <c r="D761" s="53"/>
      <c r="E761" s="53"/>
      <c r="F761" s="53"/>
      <c r="G761" s="54"/>
      <c r="H761" s="53"/>
      <c r="I761" s="53"/>
      <c r="J761" s="53"/>
      <c r="K761" s="53"/>
      <c r="L761" s="53"/>
      <c r="M761" s="53"/>
      <c r="N761" s="53"/>
      <c r="O761" s="53"/>
      <c r="P761" s="53"/>
      <c r="Q761" s="53"/>
      <c r="R761" s="53"/>
      <c r="S761" s="53"/>
      <c r="T761" s="53"/>
      <c r="U761" s="53"/>
    </row>
    <row r="762" spans="1:21" ht="16.8" x14ac:dyDescent="0.65">
      <c r="A762" s="54"/>
      <c r="B762" s="53"/>
      <c r="C762" s="53"/>
      <c r="D762" s="53"/>
      <c r="E762" s="53"/>
      <c r="F762" s="53"/>
      <c r="G762" s="54"/>
      <c r="H762" s="53"/>
      <c r="I762" s="53"/>
      <c r="J762" s="53"/>
      <c r="K762" s="53"/>
      <c r="L762" s="53"/>
      <c r="M762" s="53"/>
      <c r="N762" s="53"/>
      <c r="O762" s="53"/>
      <c r="P762" s="53"/>
      <c r="Q762" s="53"/>
      <c r="R762" s="53"/>
      <c r="S762" s="53"/>
      <c r="T762" s="53"/>
      <c r="U762" s="53"/>
    </row>
    <row r="763" spans="1:21" ht="16.8" x14ac:dyDescent="0.65">
      <c r="A763" s="54"/>
      <c r="B763" s="53"/>
      <c r="C763" s="53"/>
      <c r="D763" s="53"/>
      <c r="E763" s="53"/>
      <c r="F763" s="53"/>
      <c r="G763" s="54"/>
      <c r="H763" s="53"/>
      <c r="I763" s="53"/>
      <c r="J763" s="53"/>
      <c r="K763" s="53"/>
      <c r="L763" s="53"/>
      <c r="M763" s="53"/>
      <c r="N763" s="53"/>
      <c r="O763" s="53"/>
      <c r="P763" s="53"/>
      <c r="Q763" s="53"/>
      <c r="R763" s="53"/>
      <c r="S763" s="53"/>
      <c r="T763" s="53"/>
      <c r="U763" s="53"/>
    </row>
    <row r="764" spans="1:21" ht="16.8" x14ac:dyDescent="0.65">
      <c r="A764" s="54"/>
      <c r="B764" s="53"/>
      <c r="C764" s="53"/>
      <c r="D764" s="53"/>
      <c r="E764" s="53"/>
      <c r="F764" s="53"/>
      <c r="G764" s="54"/>
      <c r="H764" s="53"/>
      <c r="I764" s="53"/>
      <c r="J764" s="53"/>
      <c r="K764" s="53"/>
      <c r="L764" s="53"/>
      <c r="M764" s="53"/>
      <c r="N764" s="53"/>
      <c r="O764" s="53"/>
      <c r="P764" s="53"/>
      <c r="Q764" s="53"/>
      <c r="R764" s="53"/>
      <c r="S764" s="53"/>
      <c r="T764" s="53"/>
      <c r="U764" s="53"/>
    </row>
    <row r="765" spans="1:21" ht="16.8" x14ac:dyDescent="0.65">
      <c r="A765" s="54"/>
      <c r="B765" s="53"/>
      <c r="C765" s="53"/>
      <c r="D765" s="53"/>
      <c r="E765" s="53"/>
      <c r="F765" s="53"/>
      <c r="G765" s="54"/>
      <c r="H765" s="53"/>
      <c r="I765" s="53"/>
      <c r="J765" s="53"/>
      <c r="K765" s="53"/>
      <c r="L765" s="53"/>
      <c r="M765" s="53"/>
      <c r="N765" s="53"/>
      <c r="O765" s="53"/>
      <c r="P765" s="53"/>
      <c r="Q765" s="53"/>
      <c r="R765" s="53"/>
      <c r="S765" s="53"/>
      <c r="T765" s="53"/>
      <c r="U765" s="53"/>
    </row>
    <row r="766" spans="1:21" ht="16.8" x14ac:dyDescent="0.65">
      <c r="A766" s="54"/>
      <c r="B766" s="53"/>
      <c r="C766" s="53"/>
      <c r="D766" s="53"/>
      <c r="E766" s="53"/>
      <c r="F766" s="53"/>
      <c r="G766" s="54"/>
      <c r="H766" s="53"/>
      <c r="I766" s="53"/>
      <c r="J766" s="53"/>
      <c r="K766" s="53"/>
      <c r="L766" s="53"/>
      <c r="M766" s="53"/>
      <c r="N766" s="53"/>
      <c r="O766" s="53"/>
      <c r="P766" s="53"/>
      <c r="Q766" s="53"/>
      <c r="R766" s="53"/>
      <c r="S766" s="53"/>
      <c r="T766" s="53"/>
      <c r="U766" s="53"/>
    </row>
    <row r="767" spans="1:21" ht="16.8" x14ac:dyDescent="0.65">
      <c r="A767" s="54"/>
      <c r="B767" s="53"/>
      <c r="C767" s="53"/>
      <c r="D767" s="53"/>
      <c r="E767" s="53"/>
      <c r="F767" s="53"/>
      <c r="G767" s="54"/>
      <c r="H767" s="53"/>
      <c r="I767" s="53"/>
      <c r="J767" s="53"/>
      <c r="K767" s="53"/>
      <c r="L767" s="53"/>
      <c r="M767" s="53"/>
      <c r="N767" s="53"/>
      <c r="O767" s="53"/>
      <c r="P767" s="53"/>
      <c r="Q767" s="53"/>
      <c r="R767" s="53"/>
      <c r="S767" s="53"/>
      <c r="T767" s="53"/>
      <c r="U767" s="53"/>
    </row>
    <row r="768" spans="1:21" ht="16.8" x14ac:dyDescent="0.65">
      <c r="A768" s="54"/>
      <c r="B768" s="53"/>
      <c r="C768" s="53"/>
      <c r="D768" s="53"/>
      <c r="E768" s="53"/>
      <c r="F768" s="53"/>
      <c r="G768" s="54"/>
      <c r="H768" s="53"/>
      <c r="I768" s="53"/>
      <c r="J768" s="53"/>
      <c r="K768" s="53"/>
      <c r="L768" s="53"/>
      <c r="M768" s="53"/>
      <c r="N768" s="53"/>
      <c r="O768" s="53"/>
      <c r="P768" s="53"/>
      <c r="Q768" s="53"/>
      <c r="R768" s="53"/>
      <c r="S768" s="53"/>
      <c r="T768" s="53"/>
      <c r="U768" s="53"/>
    </row>
    <row r="769" spans="1:21" ht="16.8" x14ac:dyDescent="0.65">
      <c r="A769" s="54"/>
      <c r="B769" s="53"/>
      <c r="C769" s="53"/>
      <c r="D769" s="53"/>
      <c r="E769" s="53"/>
      <c r="F769" s="53"/>
      <c r="G769" s="54"/>
      <c r="H769" s="53"/>
      <c r="I769" s="53"/>
      <c r="J769" s="53"/>
      <c r="K769" s="53"/>
      <c r="L769" s="53"/>
      <c r="M769" s="53"/>
      <c r="N769" s="53"/>
      <c r="O769" s="53"/>
      <c r="P769" s="53"/>
      <c r="Q769" s="53"/>
      <c r="R769" s="53"/>
      <c r="S769" s="53"/>
      <c r="T769" s="53"/>
      <c r="U769" s="53"/>
    </row>
    <row r="770" spans="1:21" ht="16.8" x14ac:dyDescent="0.65">
      <c r="A770" s="54"/>
      <c r="B770" s="53"/>
      <c r="C770" s="53"/>
      <c r="D770" s="53"/>
      <c r="E770" s="53"/>
      <c r="F770" s="53"/>
      <c r="G770" s="54"/>
      <c r="H770" s="53"/>
      <c r="I770" s="53"/>
      <c r="J770" s="53"/>
      <c r="K770" s="53"/>
      <c r="L770" s="53"/>
      <c r="M770" s="53"/>
      <c r="N770" s="53"/>
      <c r="O770" s="53"/>
      <c r="P770" s="53"/>
      <c r="Q770" s="53"/>
      <c r="R770" s="53"/>
      <c r="S770" s="53"/>
      <c r="T770" s="53"/>
      <c r="U770" s="53"/>
    </row>
    <row r="771" spans="1:21" ht="16.8" x14ac:dyDescent="0.65">
      <c r="A771" s="54"/>
      <c r="B771" s="53"/>
      <c r="C771" s="53"/>
      <c r="D771" s="53"/>
      <c r="E771" s="53"/>
      <c r="F771" s="53"/>
      <c r="G771" s="54"/>
      <c r="H771" s="53"/>
      <c r="I771" s="53"/>
      <c r="J771" s="53"/>
      <c r="K771" s="53"/>
      <c r="L771" s="53"/>
      <c r="M771" s="53"/>
      <c r="N771" s="53"/>
      <c r="O771" s="53"/>
      <c r="P771" s="53"/>
      <c r="Q771" s="53"/>
      <c r="R771" s="53"/>
      <c r="S771" s="53"/>
      <c r="T771" s="53"/>
      <c r="U771" s="53"/>
    </row>
    <row r="772" spans="1:21" ht="16.8" x14ac:dyDescent="0.65">
      <c r="A772" s="54"/>
      <c r="B772" s="53"/>
      <c r="C772" s="53"/>
      <c r="D772" s="53"/>
      <c r="E772" s="53"/>
      <c r="F772" s="53"/>
      <c r="G772" s="54"/>
      <c r="H772" s="53"/>
      <c r="I772" s="53"/>
      <c r="J772" s="53"/>
      <c r="K772" s="53"/>
      <c r="L772" s="53"/>
      <c r="M772" s="53"/>
      <c r="N772" s="53"/>
      <c r="O772" s="53"/>
      <c r="P772" s="53"/>
      <c r="Q772" s="53"/>
      <c r="R772" s="53"/>
      <c r="S772" s="53"/>
      <c r="T772" s="53"/>
      <c r="U772" s="53"/>
    </row>
    <row r="773" spans="1:21" ht="16.8" x14ac:dyDescent="0.65">
      <c r="A773" s="54"/>
      <c r="B773" s="53"/>
      <c r="C773" s="53"/>
      <c r="D773" s="53"/>
      <c r="E773" s="53"/>
      <c r="F773" s="53"/>
      <c r="G773" s="54"/>
      <c r="H773" s="53"/>
      <c r="I773" s="53"/>
      <c r="J773" s="53"/>
      <c r="K773" s="53"/>
      <c r="L773" s="53"/>
      <c r="M773" s="53"/>
      <c r="N773" s="53"/>
      <c r="O773" s="53"/>
      <c r="P773" s="53"/>
      <c r="Q773" s="53"/>
      <c r="R773" s="53"/>
      <c r="S773" s="53"/>
      <c r="T773" s="53"/>
      <c r="U773" s="53"/>
    </row>
    <row r="774" spans="1:21" ht="16.8" x14ac:dyDescent="0.65">
      <c r="A774" s="54"/>
      <c r="B774" s="53"/>
      <c r="C774" s="53"/>
      <c r="D774" s="53"/>
      <c r="E774" s="53"/>
      <c r="F774" s="53"/>
      <c r="G774" s="54"/>
      <c r="H774" s="53"/>
      <c r="I774" s="53"/>
      <c r="J774" s="53"/>
      <c r="K774" s="53"/>
      <c r="L774" s="53"/>
      <c r="M774" s="53"/>
      <c r="N774" s="53"/>
      <c r="O774" s="53"/>
      <c r="P774" s="53"/>
      <c r="Q774" s="53"/>
      <c r="R774" s="53"/>
      <c r="S774" s="53"/>
      <c r="T774" s="53"/>
      <c r="U774" s="53"/>
    </row>
    <row r="775" spans="1:21" ht="16.8" x14ac:dyDescent="0.65">
      <c r="A775" s="54"/>
      <c r="B775" s="53"/>
      <c r="C775" s="53"/>
      <c r="D775" s="53"/>
      <c r="E775" s="53"/>
      <c r="F775" s="53"/>
      <c r="G775" s="54"/>
      <c r="H775" s="53"/>
      <c r="I775" s="53"/>
      <c r="J775" s="53"/>
      <c r="K775" s="53"/>
      <c r="L775" s="53"/>
      <c r="M775" s="53"/>
      <c r="N775" s="53"/>
      <c r="O775" s="53"/>
      <c r="P775" s="53"/>
      <c r="Q775" s="53"/>
      <c r="R775" s="53"/>
      <c r="S775" s="53"/>
      <c r="T775" s="53"/>
      <c r="U775" s="53"/>
    </row>
    <row r="776" spans="1:21" ht="16.8" x14ac:dyDescent="0.65">
      <c r="A776" s="54"/>
      <c r="B776" s="53"/>
      <c r="C776" s="53"/>
      <c r="D776" s="53"/>
      <c r="E776" s="53"/>
      <c r="F776" s="53"/>
      <c r="G776" s="54"/>
      <c r="H776" s="53"/>
      <c r="I776" s="53"/>
      <c r="J776" s="53"/>
      <c r="K776" s="53"/>
      <c r="L776" s="53"/>
      <c r="M776" s="53"/>
      <c r="N776" s="53"/>
      <c r="O776" s="53"/>
      <c r="P776" s="53"/>
      <c r="Q776" s="53"/>
      <c r="R776" s="53"/>
      <c r="S776" s="53"/>
      <c r="T776" s="53"/>
      <c r="U776" s="53"/>
    </row>
    <row r="777" spans="1:21" ht="16.8" x14ac:dyDescent="0.65">
      <c r="A777" s="54"/>
      <c r="B777" s="53"/>
      <c r="C777" s="53"/>
      <c r="D777" s="53"/>
      <c r="E777" s="53"/>
      <c r="F777" s="53"/>
      <c r="G777" s="54"/>
      <c r="H777" s="53"/>
      <c r="I777" s="53"/>
      <c r="J777" s="53"/>
      <c r="K777" s="53"/>
      <c r="L777" s="53"/>
      <c r="M777" s="53"/>
      <c r="N777" s="53"/>
      <c r="O777" s="53"/>
      <c r="P777" s="53"/>
      <c r="Q777" s="53"/>
      <c r="R777" s="53"/>
      <c r="S777" s="53"/>
      <c r="T777" s="53"/>
      <c r="U777" s="53"/>
    </row>
    <row r="778" spans="1:21" ht="16.8" x14ac:dyDescent="0.65">
      <c r="A778" s="54"/>
      <c r="B778" s="53"/>
      <c r="C778" s="53"/>
      <c r="D778" s="53"/>
      <c r="E778" s="53"/>
      <c r="F778" s="53"/>
      <c r="G778" s="54"/>
      <c r="H778" s="53"/>
      <c r="I778" s="53"/>
      <c r="J778" s="53"/>
      <c r="K778" s="53"/>
      <c r="L778" s="53"/>
      <c r="M778" s="53"/>
      <c r="N778" s="53"/>
      <c r="O778" s="53"/>
      <c r="P778" s="53"/>
      <c r="Q778" s="53"/>
      <c r="R778" s="53"/>
      <c r="S778" s="53"/>
      <c r="T778" s="53"/>
      <c r="U778" s="53"/>
    </row>
    <row r="779" spans="1:21" ht="16.8" x14ac:dyDescent="0.65">
      <c r="A779" s="54"/>
      <c r="B779" s="53"/>
      <c r="C779" s="53"/>
      <c r="D779" s="53"/>
      <c r="E779" s="53"/>
      <c r="F779" s="53"/>
      <c r="G779" s="54"/>
      <c r="H779" s="53"/>
      <c r="I779" s="53"/>
      <c r="J779" s="53"/>
      <c r="K779" s="53"/>
      <c r="L779" s="53"/>
      <c r="M779" s="53"/>
      <c r="N779" s="53"/>
      <c r="O779" s="53"/>
      <c r="P779" s="53"/>
      <c r="Q779" s="53"/>
      <c r="R779" s="53"/>
      <c r="S779" s="53"/>
      <c r="T779" s="53"/>
      <c r="U779" s="53"/>
    </row>
    <row r="780" spans="1:21" ht="16.8" x14ac:dyDescent="0.65">
      <c r="A780" s="54"/>
      <c r="B780" s="53"/>
      <c r="C780" s="53"/>
      <c r="D780" s="53"/>
      <c r="E780" s="53"/>
      <c r="F780" s="53"/>
      <c r="G780" s="54"/>
      <c r="H780" s="53"/>
      <c r="I780" s="53"/>
      <c r="J780" s="53"/>
      <c r="K780" s="53"/>
      <c r="L780" s="53"/>
      <c r="M780" s="53"/>
      <c r="N780" s="53"/>
      <c r="O780" s="53"/>
      <c r="P780" s="53"/>
      <c r="Q780" s="53"/>
      <c r="R780" s="53"/>
      <c r="S780" s="53"/>
      <c r="T780" s="53"/>
      <c r="U780" s="53"/>
    </row>
    <row r="781" spans="1:21" ht="16.8" x14ac:dyDescent="0.65">
      <c r="A781" s="54"/>
      <c r="B781" s="53"/>
      <c r="C781" s="53"/>
      <c r="D781" s="53"/>
      <c r="E781" s="53"/>
      <c r="F781" s="53"/>
      <c r="G781" s="54"/>
      <c r="H781" s="53"/>
      <c r="I781" s="53"/>
      <c r="J781" s="53"/>
      <c r="K781" s="53"/>
      <c r="L781" s="53"/>
      <c r="M781" s="53"/>
      <c r="N781" s="53"/>
      <c r="O781" s="53"/>
      <c r="P781" s="53"/>
      <c r="Q781" s="53"/>
      <c r="R781" s="53"/>
      <c r="S781" s="53"/>
      <c r="T781" s="53"/>
      <c r="U781" s="53"/>
    </row>
    <row r="782" spans="1:21" ht="16.8" x14ac:dyDescent="0.65">
      <c r="A782" s="54"/>
      <c r="B782" s="53"/>
      <c r="C782" s="53"/>
      <c r="D782" s="53"/>
      <c r="E782" s="53"/>
      <c r="F782" s="53"/>
      <c r="G782" s="54"/>
      <c r="H782" s="53"/>
      <c r="I782" s="53"/>
      <c r="J782" s="53"/>
      <c r="K782" s="53"/>
      <c r="L782" s="53"/>
      <c r="M782" s="53"/>
      <c r="N782" s="53"/>
      <c r="O782" s="53"/>
      <c r="P782" s="53"/>
      <c r="Q782" s="53"/>
      <c r="R782" s="53"/>
      <c r="S782" s="53"/>
      <c r="T782" s="53"/>
      <c r="U782" s="53"/>
    </row>
    <row r="783" spans="1:21" ht="16.8" x14ac:dyDescent="0.65">
      <c r="A783" s="54"/>
      <c r="B783" s="53"/>
      <c r="C783" s="53"/>
      <c r="D783" s="53"/>
      <c r="E783" s="53"/>
      <c r="F783" s="53"/>
      <c r="G783" s="54"/>
      <c r="H783" s="53"/>
      <c r="I783" s="53"/>
      <c r="J783" s="53"/>
      <c r="K783" s="53"/>
      <c r="L783" s="53"/>
      <c r="M783" s="53"/>
      <c r="N783" s="53"/>
      <c r="O783" s="53"/>
      <c r="P783" s="53"/>
      <c r="Q783" s="53"/>
      <c r="R783" s="53"/>
      <c r="S783" s="53"/>
      <c r="T783" s="53"/>
      <c r="U783" s="53"/>
    </row>
    <row r="784" spans="1:21" ht="16.8" x14ac:dyDescent="0.65">
      <c r="A784" s="54"/>
      <c r="B784" s="53"/>
      <c r="C784" s="53"/>
      <c r="D784" s="53"/>
      <c r="E784" s="53"/>
      <c r="F784" s="53"/>
      <c r="G784" s="54"/>
      <c r="H784" s="53"/>
      <c r="I784" s="53"/>
      <c r="J784" s="53"/>
      <c r="K784" s="53"/>
      <c r="L784" s="53"/>
      <c r="M784" s="53"/>
      <c r="N784" s="53"/>
      <c r="O784" s="53"/>
      <c r="P784" s="53"/>
      <c r="Q784" s="53"/>
      <c r="R784" s="53"/>
      <c r="S784" s="53"/>
      <c r="T784" s="53"/>
      <c r="U784" s="53"/>
    </row>
    <row r="785" spans="1:21" ht="16.8" x14ac:dyDescent="0.65">
      <c r="A785" s="54"/>
      <c r="B785" s="53"/>
      <c r="C785" s="53"/>
      <c r="D785" s="53"/>
      <c r="E785" s="53"/>
      <c r="F785" s="53"/>
      <c r="G785" s="54"/>
      <c r="H785" s="53"/>
      <c r="I785" s="53"/>
      <c r="J785" s="53"/>
      <c r="K785" s="53"/>
      <c r="L785" s="53"/>
      <c r="M785" s="53"/>
      <c r="N785" s="53"/>
      <c r="O785" s="53"/>
      <c r="P785" s="53"/>
      <c r="Q785" s="53"/>
      <c r="R785" s="53"/>
      <c r="S785" s="53"/>
      <c r="T785" s="53"/>
      <c r="U785" s="53"/>
    </row>
    <row r="786" spans="1:21" ht="16.8" x14ac:dyDescent="0.65">
      <c r="A786" s="54"/>
      <c r="B786" s="53"/>
      <c r="C786" s="53"/>
      <c r="D786" s="53"/>
      <c r="E786" s="53"/>
      <c r="F786" s="53"/>
      <c r="G786" s="54"/>
      <c r="H786" s="53"/>
      <c r="I786" s="53"/>
      <c r="J786" s="53"/>
      <c r="K786" s="53"/>
      <c r="L786" s="53"/>
      <c r="M786" s="53"/>
      <c r="N786" s="53"/>
      <c r="O786" s="53"/>
      <c r="P786" s="53"/>
      <c r="Q786" s="53"/>
      <c r="R786" s="53"/>
      <c r="S786" s="53"/>
      <c r="T786" s="53"/>
      <c r="U786" s="53"/>
    </row>
    <row r="787" spans="1:21" ht="16.8" x14ac:dyDescent="0.65">
      <c r="A787" s="54"/>
      <c r="B787" s="53"/>
      <c r="C787" s="53"/>
      <c r="D787" s="53"/>
      <c r="E787" s="53"/>
      <c r="F787" s="53"/>
      <c r="G787" s="54"/>
      <c r="H787" s="53"/>
      <c r="I787" s="53"/>
      <c r="J787" s="53"/>
      <c r="K787" s="53"/>
      <c r="L787" s="53"/>
      <c r="M787" s="53"/>
      <c r="N787" s="53"/>
      <c r="O787" s="53"/>
      <c r="P787" s="53"/>
      <c r="Q787" s="53"/>
      <c r="R787" s="53"/>
      <c r="S787" s="53"/>
      <c r="T787" s="53"/>
      <c r="U787" s="53"/>
    </row>
    <row r="788" spans="1:21" ht="16.8" x14ac:dyDescent="0.65">
      <c r="A788" s="54"/>
      <c r="B788" s="53"/>
      <c r="C788" s="53"/>
      <c r="D788" s="53"/>
      <c r="E788" s="53"/>
      <c r="F788" s="53"/>
      <c r="G788" s="54"/>
      <c r="H788" s="53"/>
      <c r="I788" s="53"/>
      <c r="J788" s="53"/>
      <c r="K788" s="53"/>
      <c r="L788" s="53"/>
      <c r="M788" s="53"/>
      <c r="N788" s="53"/>
      <c r="O788" s="53"/>
      <c r="P788" s="53"/>
      <c r="Q788" s="53"/>
      <c r="R788" s="53"/>
      <c r="S788" s="53"/>
      <c r="T788" s="53"/>
      <c r="U788" s="53"/>
    </row>
    <row r="789" spans="1:21" ht="16.8" x14ac:dyDescent="0.65">
      <c r="A789" s="54"/>
      <c r="B789" s="53"/>
      <c r="C789" s="53"/>
      <c r="D789" s="53"/>
      <c r="E789" s="53"/>
      <c r="F789" s="53"/>
      <c r="G789" s="54"/>
      <c r="H789" s="53"/>
      <c r="I789" s="53"/>
      <c r="J789" s="53"/>
      <c r="K789" s="53"/>
      <c r="L789" s="53"/>
      <c r="M789" s="53"/>
      <c r="N789" s="53"/>
      <c r="O789" s="53"/>
      <c r="P789" s="53"/>
      <c r="Q789" s="53"/>
      <c r="R789" s="53"/>
      <c r="S789" s="53"/>
      <c r="T789" s="53"/>
      <c r="U789" s="53"/>
    </row>
    <row r="790" spans="1:21" ht="16.8" x14ac:dyDescent="0.65">
      <c r="A790" s="54"/>
      <c r="B790" s="53"/>
      <c r="C790" s="53"/>
      <c r="D790" s="53"/>
      <c r="E790" s="53"/>
      <c r="F790" s="53"/>
      <c r="G790" s="54"/>
      <c r="H790" s="53"/>
      <c r="I790" s="53"/>
      <c r="J790" s="53"/>
      <c r="K790" s="53"/>
      <c r="L790" s="53"/>
      <c r="M790" s="53"/>
      <c r="N790" s="53"/>
      <c r="O790" s="53"/>
      <c r="P790" s="53"/>
      <c r="Q790" s="53"/>
      <c r="R790" s="53"/>
      <c r="S790" s="53"/>
      <c r="T790" s="53"/>
      <c r="U790" s="53"/>
    </row>
    <row r="791" spans="1:21" ht="16.8" x14ac:dyDescent="0.65">
      <c r="A791" s="54"/>
      <c r="B791" s="53"/>
      <c r="C791" s="53"/>
      <c r="D791" s="53"/>
      <c r="E791" s="53"/>
      <c r="F791" s="53"/>
      <c r="G791" s="54"/>
      <c r="H791" s="53"/>
      <c r="I791" s="53"/>
      <c r="J791" s="53"/>
      <c r="K791" s="53"/>
      <c r="L791" s="53"/>
      <c r="M791" s="53"/>
      <c r="N791" s="53"/>
      <c r="O791" s="53"/>
      <c r="P791" s="53"/>
      <c r="Q791" s="53"/>
      <c r="R791" s="53"/>
      <c r="S791" s="53"/>
      <c r="T791" s="53"/>
      <c r="U791" s="53"/>
    </row>
    <row r="792" spans="1:21" ht="16.8" x14ac:dyDescent="0.65">
      <c r="A792" s="54"/>
      <c r="B792" s="53"/>
      <c r="C792" s="53"/>
      <c r="D792" s="53"/>
      <c r="E792" s="53"/>
      <c r="F792" s="53"/>
      <c r="G792" s="54"/>
      <c r="H792" s="53"/>
      <c r="I792" s="53"/>
      <c r="J792" s="53"/>
      <c r="K792" s="53"/>
      <c r="L792" s="53"/>
      <c r="M792" s="53"/>
      <c r="N792" s="53"/>
      <c r="O792" s="53"/>
      <c r="P792" s="53"/>
      <c r="Q792" s="53"/>
      <c r="R792" s="53"/>
      <c r="S792" s="53"/>
      <c r="T792" s="53"/>
      <c r="U792" s="53"/>
    </row>
    <row r="793" spans="1:21" ht="16.8" x14ac:dyDescent="0.65">
      <c r="A793" s="54"/>
      <c r="B793" s="53"/>
      <c r="C793" s="53"/>
      <c r="D793" s="53"/>
      <c r="E793" s="53"/>
      <c r="F793" s="53"/>
      <c r="G793" s="54"/>
      <c r="H793" s="53"/>
      <c r="I793" s="53"/>
      <c r="J793" s="53"/>
      <c r="K793" s="53"/>
      <c r="L793" s="53"/>
      <c r="M793" s="53"/>
      <c r="N793" s="53"/>
      <c r="O793" s="53"/>
      <c r="P793" s="53"/>
      <c r="Q793" s="53"/>
      <c r="R793" s="53"/>
      <c r="S793" s="53"/>
      <c r="T793" s="53"/>
      <c r="U793" s="53"/>
    </row>
    <row r="794" spans="1:21" ht="16.8" x14ac:dyDescent="0.65">
      <c r="A794" s="54"/>
      <c r="B794" s="53"/>
      <c r="C794" s="53"/>
      <c r="D794" s="53"/>
      <c r="E794" s="53"/>
      <c r="F794" s="53"/>
      <c r="G794" s="54"/>
      <c r="H794" s="53"/>
      <c r="I794" s="53"/>
      <c r="J794" s="53"/>
      <c r="K794" s="53"/>
      <c r="L794" s="53"/>
      <c r="M794" s="53"/>
      <c r="N794" s="53"/>
      <c r="O794" s="53"/>
      <c r="P794" s="53"/>
      <c r="Q794" s="53"/>
      <c r="R794" s="53"/>
      <c r="S794" s="53"/>
      <c r="T794" s="53"/>
      <c r="U794" s="53"/>
    </row>
    <row r="795" spans="1:21" ht="16.8" x14ac:dyDescent="0.65">
      <c r="A795" s="54"/>
      <c r="B795" s="53"/>
      <c r="C795" s="53"/>
      <c r="D795" s="53"/>
      <c r="E795" s="53"/>
      <c r="F795" s="53"/>
      <c r="G795" s="54"/>
      <c r="H795" s="53"/>
      <c r="I795" s="53"/>
      <c r="J795" s="53"/>
      <c r="K795" s="53"/>
      <c r="L795" s="53"/>
      <c r="M795" s="53"/>
      <c r="N795" s="53"/>
      <c r="O795" s="53"/>
      <c r="P795" s="53"/>
      <c r="Q795" s="53"/>
      <c r="R795" s="53"/>
      <c r="S795" s="53"/>
      <c r="T795" s="53"/>
      <c r="U795" s="53"/>
    </row>
    <row r="796" spans="1:21" ht="16.8" x14ac:dyDescent="0.65">
      <c r="A796" s="54"/>
      <c r="B796" s="53"/>
      <c r="C796" s="53"/>
      <c r="D796" s="53"/>
      <c r="E796" s="53"/>
      <c r="F796" s="53"/>
      <c r="G796" s="54"/>
      <c r="H796" s="53"/>
      <c r="I796" s="53"/>
      <c r="J796" s="53"/>
      <c r="K796" s="53"/>
      <c r="L796" s="53"/>
      <c r="M796" s="53"/>
      <c r="N796" s="53"/>
      <c r="O796" s="53"/>
      <c r="P796" s="53"/>
      <c r="Q796" s="53"/>
      <c r="R796" s="53"/>
      <c r="S796" s="53"/>
      <c r="T796" s="53"/>
      <c r="U796" s="53"/>
    </row>
    <row r="797" spans="1:21" ht="16.8" x14ac:dyDescent="0.65">
      <c r="A797" s="54"/>
      <c r="B797" s="53"/>
      <c r="C797" s="53"/>
      <c r="D797" s="53"/>
      <c r="E797" s="53"/>
      <c r="F797" s="53"/>
      <c r="G797" s="54"/>
      <c r="H797" s="53"/>
      <c r="I797" s="53"/>
      <c r="J797" s="53"/>
      <c r="K797" s="53"/>
      <c r="L797" s="53"/>
      <c r="M797" s="53"/>
      <c r="N797" s="53"/>
      <c r="O797" s="53"/>
      <c r="P797" s="53"/>
      <c r="Q797" s="53"/>
      <c r="R797" s="53"/>
      <c r="S797" s="53"/>
      <c r="T797" s="53"/>
      <c r="U797" s="53"/>
    </row>
    <row r="798" spans="1:21" ht="16.8" x14ac:dyDescent="0.65">
      <c r="A798" s="54"/>
      <c r="B798" s="53"/>
      <c r="C798" s="53"/>
      <c r="D798" s="53"/>
      <c r="E798" s="53"/>
      <c r="F798" s="53"/>
      <c r="G798" s="54"/>
      <c r="H798" s="53"/>
      <c r="I798" s="53"/>
      <c r="J798" s="53"/>
      <c r="K798" s="53"/>
      <c r="L798" s="53"/>
      <c r="M798" s="53"/>
      <c r="N798" s="53"/>
      <c r="O798" s="53"/>
      <c r="P798" s="53"/>
      <c r="Q798" s="53"/>
      <c r="R798" s="53"/>
      <c r="S798" s="53"/>
      <c r="T798" s="53"/>
      <c r="U798" s="53"/>
    </row>
    <row r="799" spans="1:21" ht="16.8" x14ac:dyDescent="0.65">
      <c r="A799" s="54"/>
      <c r="B799" s="53"/>
      <c r="C799" s="53"/>
      <c r="D799" s="53"/>
      <c r="E799" s="53"/>
      <c r="F799" s="53"/>
      <c r="G799" s="54"/>
      <c r="H799" s="53"/>
      <c r="I799" s="53"/>
      <c r="J799" s="53"/>
      <c r="K799" s="53"/>
      <c r="L799" s="53"/>
      <c r="M799" s="53"/>
      <c r="N799" s="53"/>
      <c r="O799" s="53"/>
      <c r="P799" s="53"/>
      <c r="Q799" s="53"/>
      <c r="R799" s="53"/>
      <c r="S799" s="53"/>
      <c r="T799" s="53"/>
      <c r="U799" s="53"/>
    </row>
    <row r="800" spans="1:21" ht="16.8" x14ac:dyDescent="0.65">
      <c r="A800" s="54"/>
      <c r="B800" s="53"/>
      <c r="C800" s="53"/>
      <c r="D800" s="53"/>
      <c r="E800" s="53"/>
      <c r="F800" s="53"/>
      <c r="G800" s="54"/>
      <c r="H800" s="53"/>
      <c r="I800" s="53"/>
      <c r="J800" s="53"/>
      <c r="K800" s="53"/>
      <c r="L800" s="53"/>
      <c r="M800" s="53"/>
      <c r="N800" s="53"/>
      <c r="O800" s="53"/>
      <c r="P800" s="53"/>
      <c r="Q800" s="53"/>
      <c r="R800" s="53"/>
      <c r="S800" s="53"/>
      <c r="T800" s="53"/>
      <c r="U800" s="53"/>
    </row>
    <row r="801" spans="1:21" ht="16.8" x14ac:dyDescent="0.65">
      <c r="A801" s="54"/>
      <c r="B801" s="53"/>
      <c r="C801" s="53"/>
      <c r="D801" s="53"/>
      <c r="E801" s="53"/>
      <c r="F801" s="53"/>
      <c r="G801" s="54"/>
      <c r="H801" s="53"/>
      <c r="I801" s="53"/>
      <c r="J801" s="53"/>
      <c r="K801" s="53"/>
      <c r="L801" s="53"/>
      <c r="M801" s="53"/>
      <c r="N801" s="53"/>
      <c r="O801" s="53"/>
      <c r="P801" s="53"/>
      <c r="Q801" s="53"/>
      <c r="R801" s="53"/>
      <c r="S801" s="53"/>
      <c r="T801" s="53"/>
      <c r="U801" s="53"/>
    </row>
    <row r="802" spans="1:21" ht="16.8" x14ac:dyDescent="0.65">
      <c r="A802" s="54"/>
      <c r="B802" s="53"/>
      <c r="C802" s="53"/>
      <c r="D802" s="53"/>
      <c r="E802" s="53"/>
      <c r="F802" s="53"/>
      <c r="G802" s="54"/>
      <c r="H802" s="53"/>
      <c r="I802" s="53"/>
      <c r="J802" s="53"/>
      <c r="K802" s="53"/>
      <c r="L802" s="53"/>
      <c r="M802" s="53"/>
      <c r="N802" s="53"/>
      <c r="O802" s="53"/>
      <c r="P802" s="53"/>
      <c r="Q802" s="53"/>
      <c r="R802" s="53"/>
      <c r="S802" s="53"/>
      <c r="T802" s="53"/>
      <c r="U802" s="53"/>
    </row>
    <row r="803" spans="1:21" ht="16.8" x14ac:dyDescent="0.65">
      <c r="A803" s="54"/>
      <c r="B803" s="53"/>
      <c r="C803" s="53"/>
      <c r="D803" s="53"/>
      <c r="E803" s="53"/>
      <c r="F803" s="53"/>
      <c r="G803" s="54"/>
      <c r="H803" s="53"/>
      <c r="I803" s="53"/>
      <c r="J803" s="53"/>
      <c r="K803" s="53"/>
      <c r="L803" s="53"/>
      <c r="M803" s="53"/>
      <c r="N803" s="53"/>
      <c r="O803" s="53"/>
      <c r="P803" s="53"/>
      <c r="Q803" s="53"/>
      <c r="R803" s="53"/>
      <c r="S803" s="53"/>
      <c r="T803" s="53"/>
      <c r="U803" s="53"/>
    </row>
    <row r="804" spans="1:21" ht="16.8" x14ac:dyDescent="0.65">
      <c r="A804" s="54"/>
      <c r="B804" s="53"/>
      <c r="C804" s="53"/>
      <c r="D804" s="53"/>
      <c r="E804" s="53"/>
      <c r="F804" s="53"/>
      <c r="G804" s="54"/>
      <c r="H804" s="53"/>
      <c r="I804" s="53"/>
      <c r="J804" s="53"/>
      <c r="K804" s="53"/>
      <c r="L804" s="53"/>
      <c r="M804" s="53"/>
      <c r="N804" s="53"/>
      <c r="O804" s="53"/>
      <c r="P804" s="53"/>
      <c r="Q804" s="53"/>
      <c r="R804" s="53"/>
      <c r="S804" s="53"/>
      <c r="T804" s="53"/>
      <c r="U804" s="53"/>
    </row>
    <row r="805" spans="1:21" ht="16.8" x14ac:dyDescent="0.65">
      <c r="A805" s="54"/>
      <c r="B805" s="53"/>
      <c r="C805" s="53"/>
      <c r="D805" s="53"/>
      <c r="E805" s="53"/>
      <c r="F805" s="53"/>
      <c r="G805" s="54"/>
      <c r="H805" s="53"/>
      <c r="I805" s="53"/>
      <c r="J805" s="53"/>
      <c r="K805" s="53"/>
      <c r="L805" s="53"/>
      <c r="M805" s="53"/>
      <c r="N805" s="53"/>
      <c r="O805" s="53"/>
      <c r="P805" s="53"/>
      <c r="Q805" s="53"/>
      <c r="R805" s="53"/>
      <c r="S805" s="53"/>
      <c r="T805" s="53"/>
      <c r="U805" s="53"/>
    </row>
    <row r="806" spans="1:21" ht="16.8" x14ac:dyDescent="0.65">
      <c r="A806" s="54"/>
      <c r="B806" s="53"/>
      <c r="C806" s="53"/>
      <c r="D806" s="53"/>
      <c r="E806" s="53"/>
      <c r="F806" s="53"/>
      <c r="G806" s="54"/>
      <c r="H806" s="53"/>
      <c r="I806" s="53"/>
      <c r="J806" s="53"/>
      <c r="K806" s="53"/>
      <c r="L806" s="53"/>
      <c r="M806" s="53"/>
      <c r="N806" s="53"/>
      <c r="O806" s="53"/>
      <c r="P806" s="53"/>
      <c r="Q806" s="53"/>
      <c r="R806" s="53"/>
      <c r="S806" s="53"/>
      <c r="T806" s="53"/>
      <c r="U806" s="53"/>
    </row>
    <row r="807" spans="1:21" ht="16.8" x14ac:dyDescent="0.65">
      <c r="A807" s="54"/>
      <c r="B807" s="53"/>
      <c r="C807" s="53"/>
      <c r="D807" s="53"/>
      <c r="E807" s="53"/>
      <c r="F807" s="53"/>
      <c r="G807" s="54"/>
      <c r="H807" s="53"/>
      <c r="I807" s="53"/>
      <c r="J807" s="53"/>
      <c r="K807" s="53"/>
      <c r="L807" s="53"/>
      <c r="M807" s="53"/>
      <c r="N807" s="53"/>
      <c r="O807" s="53"/>
      <c r="P807" s="53"/>
      <c r="Q807" s="53"/>
      <c r="R807" s="53"/>
      <c r="S807" s="53"/>
      <c r="T807" s="53"/>
      <c r="U807" s="53"/>
    </row>
    <row r="808" spans="1:21" ht="16.8" x14ac:dyDescent="0.65">
      <c r="A808" s="54"/>
      <c r="B808" s="53"/>
      <c r="C808" s="53"/>
      <c r="D808" s="53"/>
      <c r="E808" s="53"/>
      <c r="F808" s="53"/>
      <c r="G808" s="54"/>
      <c r="H808" s="53"/>
      <c r="I808" s="53"/>
      <c r="J808" s="53"/>
      <c r="K808" s="53"/>
      <c r="L808" s="53"/>
      <c r="M808" s="53"/>
      <c r="N808" s="53"/>
      <c r="O808" s="53"/>
      <c r="P808" s="53"/>
      <c r="Q808" s="53"/>
      <c r="R808" s="53"/>
      <c r="S808" s="53"/>
      <c r="T808" s="53"/>
      <c r="U808" s="53"/>
    </row>
    <row r="809" spans="1:21" ht="16.8" x14ac:dyDescent="0.65">
      <c r="A809" s="54"/>
      <c r="B809" s="53"/>
      <c r="C809" s="53"/>
      <c r="D809" s="53"/>
      <c r="E809" s="53"/>
      <c r="F809" s="53"/>
      <c r="G809" s="54"/>
      <c r="H809" s="53"/>
      <c r="I809" s="53"/>
      <c r="J809" s="53"/>
      <c r="K809" s="53"/>
      <c r="L809" s="53"/>
      <c r="M809" s="53"/>
      <c r="N809" s="53"/>
      <c r="O809" s="53"/>
      <c r="P809" s="53"/>
      <c r="Q809" s="53"/>
      <c r="R809" s="53"/>
      <c r="S809" s="53"/>
      <c r="T809" s="53"/>
      <c r="U809" s="53"/>
    </row>
    <row r="810" spans="1:21" ht="16.8" x14ac:dyDescent="0.65">
      <c r="A810" s="54"/>
      <c r="B810" s="53"/>
      <c r="C810" s="53"/>
      <c r="D810" s="53"/>
      <c r="E810" s="53"/>
      <c r="F810" s="53"/>
      <c r="G810" s="54"/>
      <c r="H810" s="53"/>
      <c r="I810" s="53"/>
      <c r="J810" s="53"/>
      <c r="K810" s="53"/>
      <c r="L810" s="53"/>
      <c r="M810" s="53"/>
      <c r="N810" s="53"/>
      <c r="O810" s="53"/>
      <c r="P810" s="53"/>
      <c r="Q810" s="53"/>
      <c r="R810" s="53"/>
      <c r="S810" s="53"/>
      <c r="T810" s="53"/>
      <c r="U810" s="53"/>
    </row>
    <row r="811" spans="1:21" ht="16.8" x14ac:dyDescent="0.65">
      <c r="A811" s="54"/>
      <c r="B811" s="53"/>
      <c r="C811" s="53"/>
      <c r="D811" s="53"/>
      <c r="E811" s="53"/>
      <c r="F811" s="53"/>
      <c r="G811" s="54"/>
      <c r="H811" s="53"/>
      <c r="I811" s="53"/>
      <c r="J811" s="53"/>
      <c r="K811" s="53"/>
      <c r="L811" s="53"/>
      <c r="M811" s="53"/>
      <c r="N811" s="53"/>
      <c r="O811" s="53"/>
      <c r="P811" s="53"/>
      <c r="Q811" s="53"/>
      <c r="R811" s="53"/>
      <c r="S811" s="53"/>
      <c r="T811" s="53"/>
      <c r="U811" s="53"/>
    </row>
    <row r="812" spans="1:21" ht="16.8" x14ac:dyDescent="0.65">
      <c r="A812" s="54"/>
      <c r="B812" s="53"/>
      <c r="C812" s="53"/>
      <c r="D812" s="53"/>
      <c r="E812" s="53"/>
      <c r="F812" s="53"/>
      <c r="G812" s="54"/>
      <c r="H812" s="53"/>
      <c r="I812" s="53"/>
      <c r="J812" s="53"/>
      <c r="K812" s="53"/>
      <c r="L812" s="53"/>
      <c r="M812" s="53"/>
      <c r="N812" s="53"/>
      <c r="O812" s="53"/>
      <c r="P812" s="53"/>
      <c r="Q812" s="53"/>
      <c r="R812" s="53"/>
      <c r="S812" s="53"/>
      <c r="T812" s="53"/>
      <c r="U812" s="53"/>
    </row>
    <row r="813" spans="1:21" ht="16.8" x14ac:dyDescent="0.65">
      <c r="A813" s="54"/>
      <c r="B813" s="53"/>
      <c r="C813" s="53"/>
      <c r="D813" s="53"/>
      <c r="E813" s="53"/>
      <c r="F813" s="53"/>
      <c r="G813" s="54"/>
      <c r="H813" s="53"/>
      <c r="I813" s="53"/>
      <c r="J813" s="53"/>
      <c r="K813" s="53"/>
      <c r="L813" s="53"/>
      <c r="M813" s="53"/>
      <c r="N813" s="53"/>
      <c r="O813" s="53"/>
      <c r="P813" s="53"/>
      <c r="Q813" s="53"/>
      <c r="R813" s="53"/>
      <c r="S813" s="53"/>
      <c r="T813" s="53"/>
      <c r="U813" s="53"/>
    </row>
    <row r="814" spans="1:21" ht="16.8" x14ac:dyDescent="0.65">
      <c r="A814" s="54"/>
      <c r="B814" s="53"/>
      <c r="C814" s="53"/>
      <c r="D814" s="53"/>
      <c r="E814" s="53"/>
      <c r="F814" s="53"/>
      <c r="G814" s="54"/>
      <c r="H814" s="53"/>
      <c r="I814" s="53"/>
      <c r="J814" s="53"/>
      <c r="K814" s="53"/>
      <c r="L814" s="53"/>
      <c r="M814" s="53"/>
      <c r="N814" s="53"/>
      <c r="O814" s="53"/>
      <c r="P814" s="53"/>
      <c r="Q814" s="53"/>
      <c r="R814" s="53"/>
      <c r="S814" s="53"/>
      <c r="T814" s="53"/>
      <c r="U814" s="53"/>
    </row>
    <row r="815" spans="1:21" ht="16.8" x14ac:dyDescent="0.65">
      <c r="A815" s="54"/>
      <c r="B815" s="53"/>
      <c r="C815" s="53"/>
      <c r="D815" s="53"/>
      <c r="E815" s="53"/>
      <c r="F815" s="53"/>
      <c r="G815" s="54"/>
      <c r="H815" s="53"/>
      <c r="I815" s="53"/>
      <c r="J815" s="53"/>
      <c r="K815" s="53"/>
      <c r="L815" s="53"/>
      <c r="M815" s="53"/>
      <c r="N815" s="53"/>
      <c r="O815" s="53"/>
      <c r="P815" s="53"/>
      <c r="Q815" s="53"/>
      <c r="R815" s="53"/>
      <c r="S815" s="53"/>
      <c r="T815" s="53"/>
      <c r="U815" s="53"/>
    </row>
    <row r="816" spans="1:21" ht="16.8" x14ac:dyDescent="0.65">
      <c r="A816" s="54"/>
      <c r="B816" s="53"/>
      <c r="C816" s="53"/>
      <c r="D816" s="53"/>
      <c r="E816" s="53"/>
      <c r="F816" s="53"/>
      <c r="G816" s="54"/>
      <c r="H816" s="53"/>
      <c r="I816" s="53"/>
      <c r="J816" s="53"/>
      <c r="K816" s="53"/>
      <c r="L816" s="53"/>
      <c r="M816" s="53"/>
      <c r="N816" s="53"/>
      <c r="O816" s="53"/>
      <c r="P816" s="53"/>
      <c r="Q816" s="53"/>
      <c r="R816" s="53"/>
      <c r="S816" s="53"/>
      <c r="T816" s="53"/>
      <c r="U816" s="53"/>
    </row>
    <row r="817" spans="1:21" ht="16.8" x14ac:dyDescent="0.65">
      <c r="A817" s="54"/>
      <c r="B817" s="53"/>
      <c r="C817" s="53"/>
      <c r="D817" s="53"/>
      <c r="E817" s="53"/>
      <c r="F817" s="53"/>
      <c r="G817" s="54"/>
      <c r="H817" s="53"/>
      <c r="I817" s="53"/>
      <c r="J817" s="53"/>
      <c r="K817" s="53"/>
      <c r="L817" s="53"/>
      <c r="M817" s="53"/>
      <c r="N817" s="53"/>
      <c r="O817" s="53"/>
      <c r="P817" s="53"/>
      <c r="Q817" s="53"/>
      <c r="R817" s="53"/>
      <c r="S817" s="53"/>
      <c r="T817" s="53"/>
      <c r="U817" s="53"/>
    </row>
    <row r="818" spans="1:21" ht="16.8" x14ac:dyDescent="0.65">
      <c r="A818" s="54"/>
      <c r="B818" s="53"/>
      <c r="C818" s="53"/>
      <c r="D818" s="53"/>
      <c r="E818" s="53"/>
      <c r="F818" s="53"/>
      <c r="G818" s="54"/>
      <c r="H818" s="53"/>
      <c r="I818" s="53"/>
      <c r="J818" s="53"/>
      <c r="K818" s="53"/>
      <c r="L818" s="53"/>
      <c r="M818" s="53"/>
      <c r="N818" s="53"/>
      <c r="O818" s="53"/>
      <c r="P818" s="53"/>
      <c r="Q818" s="53"/>
      <c r="R818" s="53"/>
      <c r="S818" s="53"/>
      <c r="T818" s="53"/>
      <c r="U818" s="53"/>
    </row>
    <row r="819" spans="1:21" ht="16.8" x14ac:dyDescent="0.65">
      <c r="A819" s="54"/>
      <c r="B819" s="53"/>
      <c r="C819" s="53"/>
      <c r="D819" s="53"/>
      <c r="E819" s="53"/>
      <c r="F819" s="53"/>
      <c r="G819" s="54"/>
      <c r="H819" s="53"/>
      <c r="I819" s="53"/>
      <c r="J819" s="53"/>
      <c r="K819" s="53"/>
      <c r="L819" s="53"/>
      <c r="M819" s="53"/>
      <c r="N819" s="53"/>
      <c r="O819" s="53"/>
      <c r="P819" s="53"/>
      <c r="Q819" s="53"/>
      <c r="R819" s="53"/>
      <c r="S819" s="53"/>
      <c r="T819" s="53"/>
      <c r="U819" s="53"/>
    </row>
    <row r="820" spans="1:21" ht="16.8" x14ac:dyDescent="0.65">
      <c r="A820" s="54"/>
      <c r="B820" s="53"/>
      <c r="C820" s="53"/>
      <c r="D820" s="53"/>
      <c r="E820" s="53"/>
      <c r="F820" s="53"/>
      <c r="G820" s="54"/>
      <c r="H820" s="53"/>
      <c r="I820" s="53"/>
      <c r="J820" s="53"/>
      <c r="K820" s="53"/>
      <c r="L820" s="53"/>
      <c r="M820" s="53"/>
      <c r="N820" s="53"/>
      <c r="O820" s="53"/>
      <c r="P820" s="53"/>
      <c r="Q820" s="53"/>
      <c r="R820" s="53"/>
      <c r="S820" s="53"/>
      <c r="T820" s="53"/>
      <c r="U820" s="53"/>
    </row>
    <row r="821" spans="1:21" ht="16.8" x14ac:dyDescent="0.65">
      <c r="A821" s="54"/>
      <c r="B821" s="53"/>
      <c r="C821" s="53"/>
      <c r="D821" s="53"/>
      <c r="E821" s="53"/>
      <c r="F821" s="53"/>
      <c r="G821" s="54"/>
      <c r="H821" s="53"/>
      <c r="I821" s="53"/>
      <c r="J821" s="53"/>
      <c r="K821" s="53"/>
      <c r="L821" s="53"/>
      <c r="M821" s="53"/>
      <c r="N821" s="53"/>
      <c r="O821" s="53"/>
      <c r="P821" s="53"/>
      <c r="Q821" s="53"/>
      <c r="R821" s="53"/>
      <c r="S821" s="53"/>
      <c r="T821" s="53"/>
      <c r="U821" s="53"/>
    </row>
    <row r="822" spans="1:21" ht="16.8" x14ac:dyDescent="0.65">
      <c r="A822" s="54"/>
      <c r="B822" s="53"/>
      <c r="C822" s="53"/>
      <c r="D822" s="53"/>
      <c r="E822" s="53"/>
      <c r="F822" s="53"/>
      <c r="G822" s="54"/>
      <c r="H822" s="53"/>
      <c r="I822" s="53"/>
      <c r="J822" s="53"/>
      <c r="K822" s="53"/>
      <c r="L822" s="53"/>
      <c r="M822" s="53"/>
      <c r="N822" s="53"/>
      <c r="O822" s="53"/>
      <c r="P822" s="53"/>
      <c r="Q822" s="53"/>
      <c r="R822" s="53"/>
      <c r="S822" s="53"/>
      <c r="T822" s="53"/>
      <c r="U822" s="53"/>
    </row>
    <row r="823" spans="1:21" ht="16.8" x14ac:dyDescent="0.65">
      <c r="A823" s="54"/>
      <c r="B823" s="53"/>
      <c r="C823" s="53"/>
      <c r="D823" s="53"/>
      <c r="E823" s="53"/>
      <c r="F823" s="53"/>
      <c r="G823" s="54"/>
      <c r="H823" s="53"/>
      <c r="I823" s="53"/>
      <c r="J823" s="53"/>
      <c r="K823" s="53"/>
      <c r="L823" s="53"/>
      <c r="M823" s="53"/>
      <c r="N823" s="53"/>
      <c r="O823" s="53"/>
      <c r="P823" s="53"/>
      <c r="Q823" s="53"/>
      <c r="R823" s="53"/>
      <c r="S823" s="53"/>
      <c r="T823" s="53"/>
      <c r="U823" s="53"/>
    </row>
    <row r="824" spans="1:21" ht="16.8" x14ac:dyDescent="0.65">
      <c r="A824" s="54"/>
      <c r="B824" s="53"/>
      <c r="C824" s="53"/>
      <c r="D824" s="53"/>
      <c r="E824" s="53"/>
      <c r="F824" s="53"/>
      <c r="G824" s="54"/>
      <c r="H824" s="53"/>
      <c r="I824" s="53"/>
      <c r="J824" s="53"/>
      <c r="K824" s="53"/>
      <c r="L824" s="53"/>
      <c r="M824" s="53"/>
      <c r="N824" s="53"/>
      <c r="O824" s="53"/>
      <c r="P824" s="53"/>
      <c r="Q824" s="53"/>
      <c r="R824" s="53"/>
      <c r="S824" s="53"/>
      <c r="T824" s="53"/>
      <c r="U824" s="53"/>
    </row>
    <row r="825" spans="1:21" ht="16.8" x14ac:dyDescent="0.65">
      <c r="A825" s="54"/>
      <c r="B825" s="53"/>
      <c r="C825" s="53"/>
      <c r="D825" s="53"/>
      <c r="E825" s="53"/>
      <c r="F825" s="53"/>
      <c r="G825" s="54"/>
      <c r="H825" s="53"/>
      <c r="I825" s="53"/>
      <c r="J825" s="53"/>
      <c r="K825" s="53"/>
      <c r="L825" s="53"/>
      <c r="M825" s="53"/>
      <c r="N825" s="53"/>
      <c r="O825" s="53"/>
      <c r="P825" s="53"/>
      <c r="Q825" s="53"/>
      <c r="R825" s="53"/>
      <c r="S825" s="53"/>
      <c r="T825" s="53"/>
      <c r="U825" s="53"/>
    </row>
    <row r="826" spans="1:21" ht="16.8" x14ac:dyDescent="0.65">
      <c r="A826" s="54"/>
      <c r="B826" s="53"/>
      <c r="C826" s="53"/>
      <c r="D826" s="53"/>
      <c r="E826" s="53"/>
      <c r="F826" s="53"/>
      <c r="G826" s="54"/>
      <c r="H826" s="53"/>
      <c r="I826" s="53"/>
      <c r="J826" s="53"/>
      <c r="K826" s="53"/>
      <c r="L826" s="53"/>
      <c r="M826" s="53"/>
      <c r="N826" s="53"/>
      <c r="O826" s="53"/>
      <c r="P826" s="53"/>
      <c r="Q826" s="53"/>
      <c r="R826" s="53"/>
      <c r="S826" s="53"/>
      <c r="T826" s="53"/>
      <c r="U826" s="53"/>
    </row>
    <row r="827" spans="1:21" ht="16.8" x14ac:dyDescent="0.65">
      <c r="A827" s="54"/>
      <c r="B827" s="53"/>
      <c r="C827" s="53"/>
      <c r="D827" s="53"/>
      <c r="E827" s="53"/>
      <c r="F827" s="53"/>
      <c r="G827" s="54"/>
      <c r="H827" s="53"/>
      <c r="I827" s="53"/>
      <c r="J827" s="53"/>
      <c r="K827" s="53"/>
      <c r="L827" s="53"/>
      <c r="M827" s="53"/>
      <c r="N827" s="53"/>
      <c r="O827" s="53"/>
      <c r="P827" s="53"/>
      <c r="Q827" s="53"/>
      <c r="R827" s="53"/>
      <c r="S827" s="53"/>
      <c r="T827" s="53"/>
      <c r="U827" s="53"/>
    </row>
    <row r="828" spans="1:21" ht="16.8" x14ac:dyDescent="0.65">
      <c r="A828" s="54"/>
      <c r="B828" s="53"/>
      <c r="C828" s="53"/>
      <c r="D828" s="53"/>
      <c r="E828" s="53"/>
      <c r="F828" s="53"/>
      <c r="G828" s="54"/>
      <c r="H828" s="53"/>
      <c r="I828" s="53"/>
      <c r="J828" s="53"/>
      <c r="K828" s="53"/>
      <c r="L828" s="53"/>
      <c r="M828" s="53"/>
      <c r="N828" s="53"/>
      <c r="O828" s="53"/>
      <c r="P828" s="53"/>
      <c r="Q828" s="53"/>
      <c r="R828" s="53"/>
      <c r="S828" s="53"/>
      <c r="T828" s="53"/>
      <c r="U828" s="53"/>
    </row>
    <row r="829" spans="1:21" ht="16.8" x14ac:dyDescent="0.65">
      <c r="A829" s="54"/>
      <c r="B829" s="53"/>
      <c r="C829" s="53"/>
      <c r="D829" s="53"/>
      <c r="E829" s="53"/>
      <c r="F829" s="53"/>
      <c r="G829" s="54"/>
      <c r="H829" s="53"/>
      <c r="I829" s="53"/>
      <c r="J829" s="53"/>
      <c r="K829" s="53"/>
      <c r="L829" s="53"/>
      <c r="M829" s="53"/>
      <c r="N829" s="53"/>
      <c r="O829" s="53"/>
      <c r="P829" s="53"/>
      <c r="Q829" s="53"/>
      <c r="R829" s="53"/>
      <c r="S829" s="53"/>
      <c r="T829" s="53"/>
      <c r="U829" s="53"/>
    </row>
    <row r="830" spans="1:21" ht="16.8" x14ac:dyDescent="0.65">
      <c r="A830" s="54"/>
      <c r="B830" s="53"/>
      <c r="C830" s="53"/>
      <c r="D830" s="53"/>
      <c r="E830" s="53"/>
      <c r="F830" s="53"/>
      <c r="G830" s="54"/>
      <c r="H830" s="53"/>
      <c r="I830" s="53"/>
      <c r="J830" s="53"/>
      <c r="K830" s="53"/>
      <c r="L830" s="53"/>
      <c r="M830" s="53"/>
      <c r="N830" s="53"/>
      <c r="O830" s="53"/>
      <c r="P830" s="53"/>
      <c r="Q830" s="53"/>
      <c r="R830" s="53"/>
      <c r="S830" s="53"/>
      <c r="T830" s="53"/>
      <c r="U830" s="53"/>
    </row>
    <row r="831" spans="1:21" ht="16.8" x14ac:dyDescent="0.65">
      <c r="A831" s="54"/>
      <c r="B831" s="53"/>
      <c r="C831" s="53"/>
      <c r="D831" s="53"/>
      <c r="E831" s="53"/>
      <c r="F831" s="53"/>
      <c r="G831" s="54"/>
      <c r="H831" s="53"/>
      <c r="I831" s="53"/>
      <c r="J831" s="53"/>
      <c r="K831" s="53"/>
      <c r="L831" s="53"/>
      <c r="M831" s="53"/>
      <c r="N831" s="53"/>
      <c r="O831" s="53"/>
      <c r="P831" s="53"/>
      <c r="Q831" s="53"/>
      <c r="R831" s="53"/>
      <c r="S831" s="53"/>
      <c r="T831" s="53"/>
      <c r="U831" s="53"/>
    </row>
    <row r="832" spans="1:21" ht="16.8" x14ac:dyDescent="0.65">
      <c r="A832" s="54"/>
      <c r="B832" s="53"/>
      <c r="C832" s="53"/>
      <c r="D832" s="53"/>
      <c r="E832" s="53"/>
      <c r="F832" s="53"/>
      <c r="G832" s="54"/>
      <c r="H832" s="53"/>
      <c r="I832" s="53"/>
      <c r="J832" s="53"/>
      <c r="K832" s="53"/>
      <c r="L832" s="53"/>
      <c r="M832" s="53"/>
      <c r="N832" s="53"/>
      <c r="O832" s="53"/>
      <c r="P832" s="53"/>
      <c r="Q832" s="53"/>
      <c r="R832" s="53"/>
      <c r="S832" s="53"/>
      <c r="T832" s="53"/>
      <c r="U832" s="53"/>
    </row>
    <row r="833" spans="1:21" ht="16.8" x14ac:dyDescent="0.65">
      <c r="A833" s="54"/>
      <c r="B833" s="53"/>
      <c r="C833" s="53"/>
      <c r="D833" s="53"/>
      <c r="E833" s="53"/>
      <c r="F833" s="53"/>
      <c r="G833" s="54"/>
      <c r="H833" s="53"/>
      <c r="I833" s="53"/>
      <c r="J833" s="53"/>
      <c r="K833" s="53"/>
      <c r="L833" s="53"/>
      <c r="M833" s="53"/>
      <c r="N833" s="53"/>
      <c r="O833" s="53"/>
      <c r="P833" s="53"/>
      <c r="Q833" s="53"/>
      <c r="R833" s="53"/>
      <c r="S833" s="53"/>
      <c r="T833" s="53"/>
      <c r="U833" s="53"/>
    </row>
    <row r="834" spans="1:21" ht="16.8" x14ac:dyDescent="0.65">
      <c r="A834" s="54"/>
      <c r="B834" s="53"/>
      <c r="C834" s="53"/>
      <c r="D834" s="53"/>
      <c r="E834" s="53"/>
      <c r="F834" s="53"/>
      <c r="G834" s="54"/>
      <c r="H834" s="53"/>
      <c r="I834" s="53"/>
      <c r="J834" s="53"/>
      <c r="K834" s="53"/>
      <c r="L834" s="53"/>
      <c r="M834" s="53"/>
      <c r="N834" s="53"/>
      <c r="O834" s="53"/>
      <c r="P834" s="53"/>
      <c r="Q834" s="53"/>
      <c r="R834" s="53"/>
      <c r="S834" s="53"/>
      <c r="T834" s="53"/>
      <c r="U834" s="53"/>
    </row>
    <row r="835" spans="1:21" ht="16.8" x14ac:dyDescent="0.65">
      <c r="A835" s="54"/>
      <c r="B835" s="53"/>
      <c r="C835" s="53"/>
      <c r="D835" s="53"/>
      <c r="E835" s="53"/>
      <c r="F835" s="53"/>
      <c r="G835" s="54"/>
      <c r="H835" s="53"/>
      <c r="I835" s="53"/>
      <c r="J835" s="53"/>
      <c r="K835" s="53"/>
      <c r="L835" s="53"/>
      <c r="M835" s="53"/>
      <c r="N835" s="53"/>
      <c r="O835" s="53"/>
      <c r="P835" s="53"/>
      <c r="Q835" s="53"/>
      <c r="R835" s="53"/>
      <c r="S835" s="53"/>
      <c r="T835" s="53"/>
      <c r="U835" s="53"/>
    </row>
    <row r="836" spans="1:21" ht="16.8" x14ac:dyDescent="0.65">
      <c r="A836" s="54"/>
      <c r="B836" s="53"/>
      <c r="C836" s="53"/>
      <c r="D836" s="53"/>
      <c r="E836" s="53"/>
      <c r="F836" s="53"/>
      <c r="G836" s="54"/>
      <c r="H836" s="53"/>
      <c r="I836" s="53"/>
      <c r="J836" s="53"/>
      <c r="K836" s="53"/>
      <c r="L836" s="53"/>
      <c r="M836" s="53"/>
      <c r="N836" s="53"/>
      <c r="O836" s="53"/>
      <c r="P836" s="53"/>
      <c r="Q836" s="53"/>
      <c r="R836" s="53"/>
      <c r="S836" s="53"/>
      <c r="T836" s="53"/>
      <c r="U836" s="53"/>
    </row>
    <row r="837" spans="1:21" ht="16.8" x14ac:dyDescent="0.65">
      <c r="A837" s="54"/>
      <c r="B837" s="53"/>
      <c r="C837" s="53"/>
      <c r="D837" s="53"/>
      <c r="E837" s="53"/>
      <c r="F837" s="53"/>
      <c r="G837" s="54"/>
      <c r="H837" s="53"/>
      <c r="I837" s="53"/>
      <c r="J837" s="53"/>
      <c r="K837" s="53"/>
      <c r="L837" s="53"/>
      <c r="M837" s="53"/>
      <c r="N837" s="53"/>
      <c r="O837" s="53"/>
      <c r="P837" s="53"/>
      <c r="Q837" s="53"/>
      <c r="R837" s="53"/>
      <c r="S837" s="53"/>
      <c r="T837" s="53"/>
      <c r="U837" s="53"/>
    </row>
    <row r="838" spans="1:21" ht="16.8" x14ac:dyDescent="0.65">
      <c r="A838" s="54"/>
      <c r="B838" s="53"/>
      <c r="C838" s="53"/>
      <c r="D838" s="53"/>
      <c r="E838" s="53"/>
      <c r="F838" s="53"/>
      <c r="G838" s="54"/>
      <c r="H838" s="53"/>
      <c r="I838" s="53"/>
      <c r="J838" s="53"/>
      <c r="K838" s="53"/>
      <c r="L838" s="53"/>
      <c r="M838" s="53"/>
      <c r="N838" s="53"/>
      <c r="O838" s="53"/>
      <c r="P838" s="53"/>
      <c r="Q838" s="53"/>
      <c r="R838" s="53"/>
      <c r="S838" s="53"/>
      <c r="T838" s="53"/>
      <c r="U838" s="53"/>
    </row>
    <row r="839" spans="1:21" ht="16.8" x14ac:dyDescent="0.65">
      <c r="A839" s="54"/>
      <c r="B839" s="53"/>
      <c r="C839" s="53"/>
      <c r="D839" s="53"/>
      <c r="E839" s="53"/>
      <c r="F839" s="53"/>
      <c r="G839" s="54"/>
      <c r="H839" s="53"/>
      <c r="I839" s="53"/>
      <c r="J839" s="53"/>
      <c r="K839" s="53"/>
      <c r="L839" s="53"/>
      <c r="M839" s="53"/>
      <c r="N839" s="53"/>
      <c r="O839" s="53"/>
      <c r="P839" s="53"/>
      <c r="Q839" s="53"/>
      <c r="R839" s="53"/>
      <c r="S839" s="53"/>
      <c r="T839" s="53"/>
      <c r="U839" s="53"/>
    </row>
    <row r="840" spans="1:21" ht="16.8" x14ac:dyDescent="0.65">
      <c r="A840" s="54"/>
      <c r="B840" s="53"/>
      <c r="C840" s="53"/>
      <c r="D840" s="53"/>
      <c r="E840" s="53"/>
      <c r="F840" s="53"/>
      <c r="G840" s="54"/>
      <c r="H840" s="53"/>
      <c r="I840" s="53"/>
      <c r="J840" s="53"/>
      <c r="K840" s="53"/>
      <c r="L840" s="53"/>
      <c r="M840" s="53"/>
      <c r="N840" s="53"/>
      <c r="O840" s="53"/>
      <c r="P840" s="53"/>
      <c r="Q840" s="53"/>
      <c r="R840" s="53"/>
      <c r="S840" s="53"/>
      <c r="T840" s="53"/>
      <c r="U840" s="53"/>
    </row>
    <row r="841" spans="1:21" ht="16.8" x14ac:dyDescent="0.65">
      <c r="A841" s="54"/>
      <c r="B841" s="53"/>
      <c r="C841" s="53"/>
      <c r="D841" s="53"/>
      <c r="E841" s="53"/>
      <c r="F841" s="53"/>
      <c r="G841" s="54"/>
      <c r="H841" s="53"/>
      <c r="I841" s="53"/>
      <c r="J841" s="53"/>
      <c r="K841" s="53"/>
      <c r="L841" s="53"/>
      <c r="M841" s="53"/>
      <c r="N841" s="53"/>
      <c r="O841" s="53"/>
      <c r="P841" s="53"/>
      <c r="Q841" s="53"/>
      <c r="R841" s="53"/>
      <c r="S841" s="53"/>
      <c r="T841" s="53"/>
      <c r="U841" s="53"/>
    </row>
    <row r="842" spans="1:21" ht="16.8" x14ac:dyDescent="0.65">
      <c r="A842" s="54"/>
      <c r="B842" s="53"/>
      <c r="C842" s="53"/>
      <c r="D842" s="53"/>
      <c r="E842" s="53"/>
      <c r="F842" s="53"/>
      <c r="G842" s="54"/>
      <c r="H842" s="53"/>
      <c r="I842" s="53"/>
      <c r="J842" s="53"/>
      <c r="K842" s="53"/>
      <c r="L842" s="53"/>
      <c r="M842" s="53"/>
      <c r="N842" s="53"/>
      <c r="O842" s="53"/>
      <c r="P842" s="53"/>
      <c r="Q842" s="53"/>
      <c r="R842" s="53"/>
      <c r="S842" s="53"/>
      <c r="T842" s="53"/>
      <c r="U842" s="53"/>
    </row>
    <row r="843" spans="1:21" ht="16.8" x14ac:dyDescent="0.65">
      <c r="A843" s="54"/>
      <c r="B843" s="53"/>
      <c r="C843" s="53"/>
      <c r="D843" s="53"/>
      <c r="E843" s="53"/>
      <c r="F843" s="53"/>
      <c r="G843" s="54"/>
      <c r="H843" s="53"/>
      <c r="I843" s="53"/>
      <c r="J843" s="53"/>
      <c r="K843" s="53"/>
      <c r="L843" s="53"/>
      <c r="M843" s="53"/>
      <c r="N843" s="53"/>
      <c r="O843" s="53"/>
      <c r="P843" s="53"/>
      <c r="Q843" s="53"/>
      <c r="R843" s="53"/>
      <c r="S843" s="53"/>
      <c r="T843" s="53"/>
      <c r="U843" s="53"/>
    </row>
    <row r="844" spans="1:21" ht="16.8" x14ac:dyDescent="0.65">
      <c r="A844" s="54"/>
      <c r="B844" s="53"/>
      <c r="C844" s="53"/>
      <c r="D844" s="53"/>
      <c r="E844" s="53"/>
      <c r="F844" s="53"/>
      <c r="G844" s="54"/>
      <c r="H844" s="53"/>
      <c r="I844" s="53"/>
      <c r="J844" s="53"/>
      <c r="K844" s="53"/>
      <c r="L844" s="53"/>
      <c r="M844" s="53"/>
      <c r="N844" s="53"/>
      <c r="O844" s="53"/>
      <c r="P844" s="53"/>
      <c r="Q844" s="53"/>
      <c r="R844" s="53"/>
      <c r="S844" s="53"/>
      <c r="T844" s="53"/>
      <c r="U844" s="53"/>
    </row>
    <row r="845" spans="1:21" ht="16.8" x14ac:dyDescent="0.65">
      <c r="A845" s="54"/>
      <c r="B845" s="53"/>
      <c r="C845" s="53"/>
      <c r="D845" s="53"/>
      <c r="E845" s="53"/>
      <c r="F845" s="53"/>
      <c r="G845" s="54"/>
      <c r="H845" s="53"/>
      <c r="I845" s="53"/>
      <c r="J845" s="53"/>
      <c r="K845" s="53"/>
      <c r="L845" s="53"/>
      <c r="M845" s="53"/>
      <c r="N845" s="53"/>
      <c r="O845" s="53"/>
      <c r="P845" s="53"/>
      <c r="Q845" s="53"/>
      <c r="R845" s="53"/>
      <c r="S845" s="53"/>
      <c r="T845" s="53"/>
      <c r="U845" s="53"/>
    </row>
    <row r="846" spans="1:21" ht="16.8" x14ac:dyDescent="0.65">
      <c r="A846" s="54"/>
      <c r="B846" s="53"/>
      <c r="C846" s="53"/>
      <c r="D846" s="53"/>
      <c r="E846" s="53"/>
      <c r="F846" s="53"/>
      <c r="G846" s="54"/>
      <c r="H846" s="53"/>
      <c r="I846" s="53"/>
      <c r="J846" s="53"/>
      <c r="K846" s="53"/>
      <c r="L846" s="53"/>
      <c r="M846" s="53"/>
      <c r="N846" s="53"/>
      <c r="O846" s="53"/>
      <c r="P846" s="53"/>
      <c r="Q846" s="53"/>
      <c r="R846" s="53"/>
      <c r="S846" s="53"/>
      <c r="T846" s="53"/>
      <c r="U846" s="53"/>
    </row>
    <row r="847" spans="1:21" ht="16.8" x14ac:dyDescent="0.65">
      <c r="A847" s="54"/>
      <c r="B847" s="53"/>
      <c r="C847" s="53"/>
      <c r="D847" s="53"/>
      <c r="E847" s="53"/>
      <c r="F847" s="53"/>
      <c r="G847" s="54"/>
      <c r="H847" s="53"/>
      <c r="I847" s="53"/>
      <c r="J847" s="53"/>
      <c r="K847" s="53"/>
      <c r="L847" s="53"/>
      <c r="M847" s="53"/>
      <c r="N847" s="53"/>
      <c r="O847" s="53"/>
      <c r="P847" s="53"/>
      <c r="Q847" s="53"/>
      <c r="R847" s="53"/>
      <c r="S847" s="53"/>
      <c r="T847" s="53"/>
      <c r="U847" s="53"/>
    </row>
    <row r="848" spans="1:21" ht="16.8" x14ac:dyDescent="0.65">
      <c r="A848" s="54"/>
      <c r="B848" s="53"/>
      <c r="C848" s="53"/>
      <c r="D848" s="53"/>
      <c r="E848" s="53"/>
      <c r="F848" s="53"/>
      <c r="G848" s="54"/>
      <c r="H848" s="53"/>
      <c r="I848" s="53"/>
      <c r="J848" s="53"/>
      <c r="K848" s="53"/>
      <c r="L848" s="53"/>
      <c r="M848" s="53"/>
      <c r="N848" s="53"/>
      <c r="O848" s="53"/>
      <c r="P848" s="53"/>
      <c r="Q848" s="53"/>
      <c r="R848" s="53"/>
      <c r="S848" s="53"/>
      <c r="T848" s="53"/>
      <c r="U848" s="53"/>
    </row>
    <row r="849" spans="1:21" ht="16.8" x14ac:dyDescent="0.65">
      <c r="A849" s="54"/>
      <c r="B849" s="53"/>
      <c r="C849" s="53"/>
      <c r="D849" s="53"/>
      <c r="E849" s="53"/>
      <c r="F849" s="53"/>
      <c r="G849" s="54"/>
      <c r="H849" s="53"/>
      <c r="I849" s="53"/>
      <c r="J849" s="53"/>
      <c r="K849" s="53"/>
      <c r="L849" s="53"/>
      <c r="M849" s="53"/>
      <c r="N849" s="53"/>
      <c r="O849" s="53"/>
      <c r="P849" s="53"/>
      <c r="Q849" s="53"/>
      <c r="R849" s="53"/>
      <c r="S849" s="53"/>
      <c r="T849" s="53"/>
      <c r="U849" s="53"/>
    </row>
    <row r="850" spans="1:21" ht="16.8" x14ac:dyDescent="0.65">
      <c r="A850" s="54"/>
      <c r="B850" s="53"/>
      <c r="C850" s="53"/>
      <c r="D850" s="53"/>
      <c r="E850" s="53"/>
      <c r="F850" s="53"/>
      <c r="G850" s="54"/>
      <c r="H850" s="53"/>
      <c r="I850" s="53"/>
      <c r="J850" s="53"/>
      <c r="K850" s="53"/>
      <c r="L850" s="53"/>
      <c r="M850" s="53"/>
      <c r="N850" s="53"/>
      <c r="O850" s="53"/>
      <c r="P850" s="53"/>
      <c r="Q850" s="53"/>
      <c r="R850" s="53"/>
      <c r="S850" s="53"/>
      <c r="T850" s="53"/>
      <c r="U850" s="53"/>
    </row>
    <row r="851" spans="1:21" ht="16.8" x14ac:dyDescent="0.65">
      <c r="A851" s="54"/>
      <c r="B851" s="53"/>
      <c r="C851" s="53"/>
      <c r="D851" s="53"/>
      <c r="E851" s="53"/>
      <c r="F851" s="53"/>
      <c r="G851" s="54"/>
      <c r="H851" s="53"/>
      <c r="I851" s="53"/>
      <c r="J851" s="53"/>
      <c r="K851" s="53"/>
      <c r="L851" s="53"/>
      <c r="M851" s="53"/>
      <c r="N851" s="53"/>
      <c r="O851" s="53"/>
      <c r="P851" s="53"/>
      <c r="Q851" s="53"/>
      <c r="R851" s="53"/>
      <c r="S851" s="53"/>
      <c r="T851" s="53"/>
      <c r="U851" s="53"/>
    </row>
    <row r="852" spans="1:21" ht="16.8" x14ac:dyDescent="0.65">
      <c r="A852" s="54"/>
      <c r="B852" s="53"/>
      <c r="C852" s="53"/>
      <c r="D852" s="53"/>
      <c r="E852" s="53"/>
      <c r="F852" s="53"/>
      <c r="G852" s="54"/>
      <c r="H852" s="53"/>
      <c r="I852" s="53"/>
      <c r="J852" s="53"/>
      <c r="K852" s="53"/>
      <c r="L852" s="53"/>
      <c r="M852" s="53"/>
      <c r="N852" s="53"/>
      <c r="O852" s="53"/>
      <c r="P852" s="53"/>
      <c r="Q852" s="53"/>
      <c r="R852" s="53"/>
      <c r="S852" s="53"/>
      <c r="T852" s="53"/>
      <c r="U852" s="53"/>
    </row>
    <row r="853" spans="1:21" ht="16.8" x14ac:dyDescent="0.65">
      <c r="A853" s="54"/>
      <c r="B853" s="53"/>
      <c r="C853" s="53"/>
      <c r="D853" s="53"/>
      <c r="E853" s="53"/>
      <c r="F853" s="53"/>
      <c r="G853" s="54"/>
      <c r="H853" s="53"/>
      <c r="I853" s="53"/>
      <c r="J853" s="53"/>
      <c r="K853" s="53"/>
      <c r="L853" s="53"/>
      <c r="M853" s="53"/>
      <c r="N853" s="53"/>
      <c r="O853" s="53"/>
      <c r="P853" s="53"/>
      <c r="Q853" s="53"/>
      <c r="R853" s="53"/>
      <c r="S853" s="53"/>
      <c r="T853" s="53"/>
      <c r="U853" s="53"/>
    </row>
    <row r="854" spans="1:21" ht="16.8" x14ac:dyDescent="0.65">
      <c r="A854" s="54"/>
      <c r="B854" s="53"/>
      <c r="C854" s="53"/>
      <c r="D854" s="53"/>
      <c r="E854" s="53"/>
      <c r="F854" s="53"/>
      <c r="G854" s="54"/>
      <c r="H854" s="53"/>
      <c r="I854" s="53"/>
      <c r="J854" s="53"/>
      <c r="K854" s="53"/>
      <c r="L854" s="53"/>
      <c r="M854" s="53"/>
      <c r="N854" s="53"/>
      <c r="O854" s="53"/>
      <c r="P854" s="53"/>
      <c r="Q854" s="53"/>
      <c r="R854" s="53"/>
      <c r="S854" s="53"/>
      <c r="T854" s="53"/>
      <c r="U854" s="53"/>
    </row>
    <row r="855" spans="1:21" ht="16.8" x14ac:dyDescent="0.65">
      <c r="A855" s="54"/>
      <c r="B855" s="53"/>
      <c r="C855" s="53"/>
      <c r="D855" s="53"/>
      <c r="E855" s="53"/>
      <c r="F855" s="53"/>
      <c r="G855" s="54"/>
      <c r="H855" s="53"/>
      <c r="I855" s="53"/>
      <c r="J855" s="53"/>
      <c r="K855" s="53"/>
      <c r="L855" s="53"/>
      <c r="M855" s="53"/>
      <c r="N855" s="53"/>
      <c r="O855" s="53"/>
      <c r="P855" s="53"/>
      <c r="Q855" s="53"/>
      <c r="R855" s="53"/>
      <c r="S855" s="53"/>
      <c r="T855" s="53"/>
      <c r="U855" s="53"/>
    </row>
    <row r="856" spans="1:21" ht="16.8" x14ac:dyDescent="0.65">
      <c r="A856" s="54"/>
      <c r="B856" s="53"/>
      <c r="C856" s="53"/>
      <c r="D856" s="53"/>
      <c r="E856" s="53"/>
      <c r="F856" s="53"/>
      <c r="G856" s="54"/>
      <c r="H856" s="53"/>
      <c r="I856" s="53"/>
      <c r="J856" s="53"/>
      <c r="K856" s="53"/>
      <c r="L856" s="53"/>
      <c r="M856" s="53"/>
      <c r="N856" s="53"/>
      <c r="O856" s="53"/>
      <c r="P856" s="53"/>
      <c r="Q856" s="53"/>
      <c r="R856" s="53"/>
      <c r="S856" s="53"/>
      <c r="T856" s="53"/>
      <c r="U856" s="53"/>
    </row>
    <row r="857" spans="1:21" ht="16.8" x14ac:dyDescent="0.65">
      <c r="A857" s="54"/>
      <c r="B857" s="53"/>
      <c r="C857" s="53"/>
      <c r="D857" s="53"/>
      <c r="E857" s="53"/>
      <c r="F857" s="53"/>
      <c r="G857" s="54"/>
      <c r="H857" s="53"/>
      <c r="I857" s="53"/>
      <c r="J857" s="53"/>
      <c r="K857" s="53"/>
      <c r="L857" s="53"/>
      <c r="M857" s="53"/>
      <c r="N857" s="53"/>
      <c r="O857" s="53"/>
      <c r="P857" s="53"/>
      <c r="Q857" s="53"/>
      <c r="R857" s="53"/>
      <c r="S857" s="53"/>
      <c r="T857" s="53"/>
      <c r="U857" s="53"/>
    </row>
    <row r="858" spans="1:21" ht="16.8" x14ac:dyDescent="0.65">
      <c r="A858" s="54"/>
      <c r="B858" s="53"/>
      <c r="C858" s="53"/>
      <c r="D858" s="53"/>
      <c r="E858" s="53"/>
      <c r="F858" s="53"/>
      <c r="G858" s="54"/>
      <c r="H858" s="53"/>
      <c r="I858" s="53"/>
      <c r="J858" s="53"/>
      <c r="K858" s="53"/>
      <c r="L858" s="53"/>
      <c r="M858" s="53"/>
      <c r="N858" s="53"/>
      <c r="O858" s="53"/>
      <c r="P858" s="53"/>
      <c r="Q858" s="53"/>
      <c r="R858" s="53"/>
      <c r="S858" s="53"/>
      <c r="T858" s="53"/>
      <c r="U858" s="53"/>
    </row>
    <row r="859" spans="1:21" ht="16.8" x14ac:dyDescent="0.65">
      <c r="A859" s="54"/>
      <c r="B859" s="53"/>
      <c r="C859" s="53"/>
      <c r="D859" s="53"/>
      <c r="E859" s="53"/>
      <c r="F859" s="53"/>
      <c r="G859" s="54"/>
      <c r="H859" s="53"/>
      <c r="I859" s="53"/>
      <c r="J859" s="53"/>
      <c r="K859" s="53"/>
      <c r="L859" s="53"/>
      <c r="M859" s="53"/>
      <c r="N859" s="53"/>
      <c r="O859" s="53"/>
      <c r="P859" s="53"/>
      <c r="Q859" s="53"/>
      <c r="R859" s="53"/>
      <c r="S859" s="53"/>
      <c r="T859" s="53"/>
      <c r="U859" s="53"/>
    </row>
    <row r="860" spans="1:21" ht="16.8" x14ac:dyDescent="0.65">
      <c r="A860" s="54"/>
      <c r="B860" s="53"/>
      <c r="C860" s="53"/>
      <c r="D860" s="53"/>
      <c r="E860" s="53"/>
      <c r="F860" s="53"/>
      <c r="G860" s="54"/>
      <c r="H860" s="53"/>
      <c r="I860" s="53"/>
      <c r="J860" s="53"/>
      <c r="K860" s="53"/>
      <c r="L860" s="53"/>
      <c r="M860" s="53"/>
      <c r="N860" s="53"/>
      <c r="O860" s="53"/>
      <c r="P860" s="53"/>
      <c r="Q860" s="53"/>
      <c r="R860" s="53"/>
      <c r="S860" s="53"/>
      <c r="T860" s="53"/>
      <c r="U860" s="53"/>
    </row>
    <row r="861" spans="1:21" ht="16.8" x14ac:dyDescent="0.65">
      <c r="A861" s="54"/>
      <c r="B861" s="53"/>
      <c r="C861" s="53"/>
      <c r="D861" s="53"/>
      <c r="E861" s="53"/>
      <c r="F861" s="53"/>
      <c r="G861" s="54"/>
      <c r="H861" s="53"/>
      <c r="I861" s="53"/>
      <c r="J861" s="53"/>
      <c r="K861" s="53"/>
      <c r="L861" s="53"/>
      <c r="M861" s="53"/>
      <c r="N861" s="53"/>
      <c r="O861" s="53"/>
      <c r="P861" s="53"/>
      <c r="Q861" s="53"/>
      <c r="R861" s="53"/>
      <c r="S861" s="53"/>
      <c r="T861" s="53"/>
      <c r="U861" s="53"/>
    </row>
    <row r="862" spans="1:21" ht="16.8" x14ac:dyDescent="0.65">
      <c r="A862" s="54"/>
      <c r="B862" s="53"/>
      <c r="C862" s="53"/>
      <c r="D862" s="53"/>
      <c r="E862" s="53"/>
      <c r="F862" s="53"/>
      <c r="G862" s="54"/>
      <c r="H862" s="53"/>
      <c r="I862" s="53"/>
      <c r="J862" s="53"/>
      <c r="K862" s="53"/>
      <c r="L862" s="53"/>
      <c r="M862" s="53"/>
      <c r="N862" s="53"/>
      <c r="O862" s="53"/>
      <c r="P862" s="53"/>
      <c r="Q862" s="53"/>
      <c r="R862" s="53"/>
      <c r="S862" s="53"/>
      <c r="T862" s="53"/>
      <c r="U862" s="53"/>
    </row>
    <row r="863" spans="1:21" ht="16.8" x14ac:dyDescent="0.65">
      <c r="A863" s="54"/>
      <c r="B863" s="53"/>
      <c r="C863" s="53"/>
      <c r="D863" s="53"/>
      <c r="E863" s="53"/>
      <c r="F863" s="53"/>
      <c r="G863" s="54"/>
      <c r="H863" s="53"/>
      <c r="I863" s="53"/>
      <c r="J863" s="53"/>
      <c r="K863" s="53"/>
      <c r="L863" s="53"/>
      <c r="M863" s="53"/>
      <c r="N863" s="53"/>
      <c r="O863" s="53"/>
      <c r="P863" s="53"/>
      <c r="Q863" s="53"/>
      <c r="R863" s="53"/>
      <c r="S863" s="53"/>
      <c r="T863" s="53"/>
      <c r="U863" s="53"/>
    </row>
    <row r="864" spans="1:21" ht="16.8" x14ac:dyDescent="0.65">
      <c r="A864" s="54"/>
      <c r="B864" s="53"/>
      <c r="C864" s="53"/>
      <c r="D864" s="53"/>
      <c r="E864" s="53"/>
      <c r="F864" s="53"/>
      <c r="G864" s="54"/>
      <c r="H864" s="53"/>
      <c r="I864" s="53"/>
      <c r="J864" s="53"/>
      <c r="K864" s="53"/>
      <c r="L864" s="53"/>
      <c r="M864" s="53"/>
      <c r="N864" s="53"/>
      <c r="O864" s="53"/>
      <c r="P864" s="53"/>
      <c r="Q864" s="53"/>
      <c r="R864" s="53"/>
      <c r="S864" s="53"/>
      <c r="T864" s="53"/>
      <c r="U864" s="53"/>
    </row>
    <row r="865" spans="1:21" ht="16.8" x14ac:dyDescent="0.65">
      <c r="A865" s="54"/>
      <c r="B865" s="53"/>
      <c r="C865" s="53"/>
      <c r="D865" s="53"/>
      <c r="E865" s="53"/>
      <c r="F865" s="53"/>
      <c r="G865" s="54"/>
      <c r="H865" s="53"/>
      <c r="I865" s="53"/>
      <c r="J865" s="53"/>
      <c r="K865" s="53"/>
      <c r="L865" s="53"/>
      <c r="M865" s="53"/>
      <c r="N865" s="53"/>
      <c r="O865" s="53"/>
      <c r="P865" s="53"/>
      <c r="Q865" s="53"/>
      <c r="R865" s="53"/>
      <c r="S865" s="53"/>
      <c r="T865" s="53"/>
      <c r="U865" s="53"/>
    </row>
    <row r="866" spans="1:21" ht="16.8" x14ac:dyDescent="0.65">
      <c r="A866" s="54"/>
      <c r="B866" s="53"/>
      <c r="C866" s="53"/>
      <c r="D866" s="53"/>
      <c r="E866" s="53"/>
      <c r="F866" s="53"/>
      <c r="G866" s="54"/>
      <c r="H866" s="53"/>
      <c r="I866" s="53"/>
      <c r="J866" s="53"/>
      <c r="K866" s="53"/>
      <c r="L866" s="53"/>
      <c r="M866" s="53"/>
      <c r="N866" s="53"/>
      <c r="O866" s="53"/>
      <c r="P866" s="53"/>
      <c r="Q866" s="53"/>
      <c r="R866" s="53"/>
      <c r="S866" s="53"/>
      <c r="T866" s="53"/>
      <c r="U866" s="53"/>
    </row>
    <row r="867" spans="1:21" ht="16.8" x14ac:dyDescent="0.65">
      <c r="A867" s="54"/>
      <c r="B867" s="53"/>
      <c r="C867" s="53"/>
      <c r="D867" s="53"/>
      <c r="E867" s="53"/>
      <c r="F867" s="53"/>
      <c r="G867" s="54"/>
      <c r="H867" s="53"/>
      <c r="I867" s="53"/>
      <c r="J867" s="53"/>
      <c r="K867" s="53"/>
      <c r="L867" s="53"/>
      <c r="M867" s="53"/>
      <c r="N867" s="53"/>
      <c r="O867" s="53"/>
      <c r="P867" s="53"/>
      <c r="Q867" s="53"/>
      <c r="R867" s="53"/>
      <c r="S867" s="53"/>
      <c r="T867" s="53"/>
      <c r="U867" s="53"/>
    </row>
    <row r="868" spans="1:21" ht="16.8" x14ac:dyDescent="0.65">
      <c r="A868" s="54"/>
      <c r="B868" s="53"/>
      <c r="C868" s="53"/>
      <c r="D868" s="53"/>
      <c r="E868" s="53"/>
      <c r="F868" s="53"/>
      <c r="G868" s="54"/>
      <c r="H868" s="53"/>
      <c r="I868" s="53"/>
      <c r="J868" s="53"/>
      <c r="K868" s="53"/>
      <c r="L868" s="53"/>
      <c r="M868" s="53"/>
      <c r="N868" s="53"/>
      <c r="O868" s="53"/>
      <c r="P868" s="53"/>
      <c r="Q868" s="53"/>
      <c r="R868" s="53"/>
      <c r="S868" s="53"/>
      <c r="T868" s="53"/>
      <c r="U868" s="53"/>
    </row>
    <row r="869" spans="1:21" ht="16.8" x14ac:dyDescent="0.65">
      <c r="A869" s="54"/>
      <c r="B869" s="53"/>
      <c r="C869" s="53"/>
      <c r="D869" s="53"/>
      <c r="E869" s="53"/>
      <c r="F869" s="53"/>
      <c r="G869" s="54"/>
      <c r="H869" s="53"/>
      <c r="I869" s="53"/>
      <c r="J869" s="53"/>
      <c r="K869" s="53"/>
      <c r="L869" s="53"/>
      <c r="M869" s="53"/>
      <c r="N869" s="53"/>
      <c r="O869" s="53"/>
      <c r="P869" s="53"/>
      <c r="Q869" s="53"/>
      <c r="R869" s="53"/>
      <c r="S869" s="53"/>
      <c r="T869" s="53"/>
      <c r="U869" s="53"/>
    </row>
    <row r="870" spans="1:21" ht="16.8" x14ac:dyDescent="0.65">
      <c r="A870" s="54"/>
      <c r="B870" s="53"/>
      <c r="C870" s="53"/>
      <c r="D870" s="53"/>
      <c r="E870" s="53"/>
      <c r="F870" s="53"/>
      <c r="G870" s="54"/>
      <c r="H870" s="53"/>
      <c r="I870" s="53"/>
      <c r="J870" s="53"/>
      <c r="K870" s="53"/>
      <c r="L870" s="53"/>
      <c r="M870" s="53"/>
      <c r="N870" s="53"/>
      <c r="O870" s="53"/>
      <c r="P870" s="53"/>
      <c r="Q870" s="53"/>
      <c r="R870" s="53"/>
      <c r="S870" s="53"/>
      <c r="T870" s="53"/>
      <c r="U870" s="53"/>
    </row>
    <row r="871" spans="1:21" ht="16.8" x14ac:dyDescent="0.65">
      <c r="A871" s="54"/>
      <c r="B871" s="53"/>
      <c r="C871" s="53"/>
      <c r="D871" s="53"/>
      <c r="E871" s="53"/>
      <c r="F871" s="53"/>
      <c r="G871" s="54"/>
      <c r="H871" s="53"/>
      <c r="I871" s="53"/>
      <c r="J871" s="53"/>
      <c r="K871" s="53"/>
      <c r="L871" s="53"/>
      <c r="M871" s="53"/>
      <c r="N871" s="53"/>
      <c r="O871" s="53"/>
      <c r="P871" s="53"/>
      <c r="Q871" s="53"/>
      <c r="R871" s="53"/>
      <c r="S871" s="53"/>
      <c r="T871" s="53"/>
      <c r="U871" s="53"/>
    </row>
    <row r="872" spans="1:21" ht="16.8" x14ac:dyDescent="0.65">
      <c r="A872" s="54"/>
      <c r="B872" s="53"/>
      <c r="C872" s="53"/>
      <c r="D872" s="53"/>
      <c r="E872" s="53"/>
      <c r="F872" s="53"/>
      <c r="G872" s="54"/>
      <c r="H872" s="53"/>
      <c r="I872" s="53"/>
      <c r="J872" s="53"/>
      <c r="K872" s="53"/>
      <c r="L872" s="53"/>
      <c r="M872" s="53"/>
      <c r="N872" s="53"/>
      <c r="O872" s="53"/>
      <c r="P872" s="53"/>
      <c r="Q872" s="53"/>
      <c r="R872" s="53"/>
      <c r="S872" s="53"/>
      <c r="T872" s="53"/>
      <c r="U872" s="53"/>
    </row>
    <row r="873" spans="1:21" ht="16.8" x14ac:dyDescent="0.65">
      <c r="A873" s="54"/>
      <c r="B873" s="53"/>
      <c r="C873" s="53"/>
      <c r="D873" s="53"/>
      <c r="E873" s="53"/>
      <c r="F873" s="53"/>
      <c r="G873" s="54"/>
      <c r="H873" s="53"/>
      <c r="I873" s="53"/>
      <c r="J873" s="53"/>
      <c r="K873" s="53"/>
      <c r="L873" s="53"/>
      <c r="M873" s="53"/>
      <c r="N873" s="53"/>
      <c r="O873" s="53"/>
      <c r="P873" s="53"/>
      <c r="Q873" s="53"/>
      <c r="R873" s="53"/>
      <c r="S873" s="53"/>
      <c r="T873" s="53"/>
      <c r="U873" s="53"/>
    </row>
    <row r="874" spans="1:21" ht="16.8" x14ac:dyDescent="0.65">
      <c r="A874" s="54"/>
      <c r="B874" s="53"/>
      <c r="C874" s="53"/>
      <c r="D874" s="53"/>
      <c r="E874" s="53"/>
      <c r="F874" s="53"/>
      <c r="G874" s="54"/>
      <c r="H874" s="53"/>
      <c r="I874" s="53"/>
      <c r="J874" s="53"/>
      <c r="K874" s="53"/>
      <c r="L874" s="53"/>
      <c r="M874" s="53"/>
      <c r="N874" s="53"/>
      <c r="O874" s="53"/>
      <c r="P874" s="53"/>
      <c r="Q874" s="53"/>
      <c r="R874" s="53"/>
      <c r="S874" s="53"/>
      <c r="T874" s="53"/>
      <c r="U874" s="53"/>
    </row>
    <row r="875" spans="1:21" ht="16.8" x14ac:dyDescent="0.65">
      <c r="A875" s="54"/>
      <c r="B875" s="53"/>
      <c r="C875" s="53"/>
      <c r="D875" s="53"/>
      <c r="E875" s="53"/>
      <c r="F875" s="53"/>
      <c r="G875" s="54"/>
      <c r="H875" s="53"/>
      <c r="I875" s="53"/>
      <c r="J875" s="53"/>
      <c r="K875" s="53"/>
      <c r="L875" s="53"/>
      <c r="M875" s="53"/>
      <c r="N875" s="53"/>
      <c r="O875" s="53"/>
      <c r="P875" s="53"/>
      <c r="Q875" s="53"/>
      <c r="R875" s="53"/>
      <c r="S875" s="53"/>
      <c r="T875" s="53"/>
      <c r="U875" s="53"/>
    </row>
    <row r="876" spans="1:21" ht="16.8" x14ac:dyDescent="0.65">
      <c r="A876" s="54"/>
      <c r="B876" s="53"/>
      <c r="C876" s="53"/>
      <c r="D876" s="53"/>
      <c r="E876" s="53"/>
      <c r="F876" s="53"/>
      <c r="G876" s="54"/>
      <c r="H876" s="53"/>
      <c r="I876" s="53"/>
      <c r="J876" s="53"/>
      <c r="K876" s="53"/>
      <c r="L876" s="53"/>
      <c r="M876" s="53"/>
      <c r="N876" s="53"/>
      <c r="O876" s="53"/>
      <c r="P876" s="53"/>
      <c r="Q876" s="53"/>
      <c r="R876" s="53"/>
      <c r="S876" s="53"/>
      <c r="T876" s="53"/>
      <c r="U876" s="53"/>
    </row>
    <row r="877" spans="1:21" ht="16.8" x14ac:dyDescent="0.65">
      <c r="A877" s="54"/>
      <c r="B877" s="53"/>
      <c r="C877" s="53"/>
      <c r="D877" s="53"/>
      <c r="E877" s="53"/>
      <c r="F877" s="53"/>
      <c r="G877" s="54"/>
      <c r="H877" s="53"/>
      <c r="I877" s="53"/>
      <c r="J877" s="53"/>
      <c r="K877" s="53"/>
      <c r="L877" s="53"/>
      <c r="M877" s="53"/>
      <c r="N877" s="53"/>
      <c r="O877" s="53"/>
      <c r="P877" s="53"/>
      <c r="Q877" s="53"/>
      <c r="R877" s="53"/>
      <c r="S877" s="53"/>
      <c r="T877" s="53"/>
      <c r="U877" s="53"/>
    </row>
    <row r="878" spans="1:21" ht="16.8" x14ac:dyDescent="0.65">
      <c r="A878" s="54"/>
      <c r="B878" s="53"/>
      <c r="C878" s="53"/>
      <c r="D878" s="53"/>
      <c r="E878" s="53"/>
      <c r="F878" s="53"/>
      <c r="G878" s="54"/>
      <c r="H878" s="53"/>
      <c r="I878" s="53"/>
      <c r="J878" s="53"/>
      <c r="K878" s="53"/>
      <c r="L878" s="53"/>
      <c r="M878" s="53"/>
      <c r="N878" s="53"/>
      <c r="O878" s="53"/>
      <c r="P878" s="53"/>
      <c r="Q878" s="53"/>
      <c r="R878" s="53"/>
      <c r="S878" s="53"/>
      <c r="T878" s="53"/>
      <c r="U878" s="53"/>
    </row>
    <row r="879" spans="1:21" ht="16.8" x14ac:dyDescent="0.65">
      <c r="A879" s="54"/>
      <c r="B879" s="53"/>
      <c r="C879" s="53"/>
      <c r="D879" s="53"/>
      <c r="E879" s="53"/>
      <c r="F879" s="53"/>
      <c r="G879" s="54"/>
      <c r="H879" s="53"/>
      <c r="I879" s="53"/>
      <c r="J879" s="53"/>
      <c r="K879" s="53"/>
      <c r="L879" s="53"/>
      <c r="M879" s="53"/>
      <c r="N879" s="53"/>
      <c r="O879" s="53"/>
      <c r="P879" s="53"/>
      <c r="Q879" s="53"/>
      <c r="R879" s="53"/>
      <c r="S879" s="53"/>
      <c r="T879" s="53"/>
      <c r="U879" s="53"/>
    </row>
    <row r="880" spans="1:21" ht="16.8" x14ac:dyDescent="0.65">
      <c r="A880" s="54"/>
      <c r="B880" s="53"/>
      <c r="C880" s="53"/>
      <c r="D880" s="53"/>
      <c r="E880" s="53"/>
      <c r="F880" s="53"/>
      <c r="G880" s="54"/>
      <c r="H880" s="53"/>
      <c r="I880" s="53"/>
      <c r="J880" s="53"/>
      <c r="K880" s="53"/>
      <c r="L880" s="53"/>
      <c r="M880" s="53"/>
      <c r="N880" s="53"/>
      <c r="O880" s="53"/>
      <c r="P880" s="53"/>
      <c r="Q880" s="53"/>
      <c r="R880" s="53"/>
      <c r="S880" s="53"/>
      <c r="T880" s="53"/>
      <c r="U880" s="53"/>
    </row>
    <row r="881" spans="1:21" ht="16.8" x14ac:dyDescent="0.65">
      <c r="A881" s="54"/>
      <c r="B881" s="53"/>
      <c r="C881" s="53"/>
      <c r="D881" s="53"/>
      <c r="E881" s="53"/>
      <c r="F881" s="53"/>
      <c r="G881" s="54"/>
      <c r="H881" s="53"/>
      <c r="I881" s="53"/>
      <c r="J881" s="53"/>
      <c r="K881" s="53"/>
      <c r="L881" s="53"/>
      <c r="M881" s="53"/>
      <c r="N881" s="53"/>
      <c r="O881" s="53"/>
      <c r="P881" s="53"/>
      <c r="Q881" s="53"/>
      <c r="R881" s="53"/>
      <c r="S881" s="53"/>
      <c r="T881" s="53"/>
      <c r="U881" s="53"/>
    </row>
    <row r="882" spans="1:21" ht="16.8" x14ac:dyDescent="0.65">
      <c r="A882" s="54"/>
      <c r="B882" s="53"/>
      <c r="C882" s="53"/>
      <c r="D882" s="53"/>
      <c r="E882" s="53"/>
      <c r="F882" s="53"/>
      <c r="G882" s="54"/>
      <c r="H882" s="53"/>
      <c r="I882" s="53"/>
      <c r="J882" s="53"/>
      <c r="K882" s="53"/>
      <c r="L882" s="53"/>
      <c r="M882" s="53"/>
      <c r="N882" s="53"/>
      <c r="O882" s="53"/>
      <c r="P882" s="53"/>
      <c r="Q882" s="53"/>
      <c r="R882" s="53"/>
      <c r="S882" s="53"/>
      <c r="T882" s="53"/>
      <c r="U882" s="53"/>
    </row>
    <row r="883" spans="1:21" ht="16.8" x14ac:dyDescent="0.65">
      <c r="A883" s="54"/>
      <c r="B883" s="53"/>
      <c r="C883" s="53"/>
      <c r="D883" s="53"/>
      <c r="E883" s="53"/>
      <c r="F883" s="53"/>
      <c r="G883" s="54"/>
      <c r="H883" s="53"/>
      <c r="I883" s="53"/>
      <c r="J883" s="53"/>
      <c r="K883" s="53"/>
      <c r="L883" s="53"/>
      <c r="M883" s="53"/>
      <c r="N883" s="53"/>
      <c r="O883" s="53"/>
      <c r="P883" s="53"/>
      <c r="Q883" s="53"/>
      <c r="R883" s="53"/>
      <c r="S883" s="53"/>
      <c r="T883" s="53"/>
      <c r="U883" s="53"/>
    </row>
    <row r="884" spans="1:21" ht="16.8" x14ac:dyDescent="0.65">
      <c r="A884" s="54"/>
      <c r="B884" s="53"/>
      <c r="C884" s="53"/>
      <c r="D884" s="53"/>
      <c r="E884" s="53"/>
      <c r="F884" s="53"/>
      <c r="G884" s="54"/>
      <c r="H884" s="53"/>
      <c r="I884" s="53"/>
      <c r="J884" s="53"/>
      <c r="K884" s="53"/>
      <c r="L884" s="53"/>
      <c r="M884" s="53"/>
      <c r="N884" s="53"/>
      <c r="O884" s="53"/>
      <c r="P884" s="53"/>
      <c r="Q884" s="53"/>
      <c r="R884" s="53"/>
      <c r="S884" s="53"/>
      <c r="T884" s="53"/>
      <c r="U884" s="53"/>
    </row>
    <row r="885" spans="1:21" ht="16.8" x14ac:dyDescent="0.65">
      <c r="A885" s="54"/>
      <c r="B885" s="53"/>
      <c r="C885" s="53"/>
      <c r="D885" s="53"/>
      <c r="E885" s="53"/>
      <c r="F885" s="53"/>
      <c r="G885" s="54"/>
      <c r="H885" s="53"/>
      <c r="I885" s="53"/>
      <c r="J885" s="53"/>
      <c r="K885" s="53"/>
      <c r="L885" s="53"/>
      <c r="M885" s="53"/>
      <c r="N885" s="53"/>
      <c r="O885" s="53"/>
      <c r="P885" s="53"/>
      <c r="Q885" s="53"/>
      <c r="R885" s="53"/>
      <c r="S885" s="53"/>
      <c r="T885" s="53"/>
      <c r="U885" s="53"/>
    </row>
    <row r="886" spans="1:21" ht="16.8" x14ac:dyDescent="0.65">
      <c r="A886" s="54"/>
      <c r="B886" s="53"/>
      <c r="C886" s="53"/>
      <c r="D886" s="53"/>
      <c r="E886" s="53"/>
      <c r="F886" s="53"/>
      <c r="G886" s="54"/>
      <c r="H886" s="53"/>
      <c r="I886" s="53"/>
      <c r="J886" s="53"/>
      <c r="K886" s="53"/>
      <c r="L886" s="53"/>
      <c r="M886" s="53"/>
      <c r="N886" s="53"/>
      <c r="O886" s="53"/>
      <c r="P886" s="53"/>
      <c r="Q886" s="53"/>
      <c r="R886" s="53"/>
      <c r="S886" s="53"/>
      <c r="T886" s="53"/>
      <c r="U886" s="53"/>
    </row>
    <row r="887" spans="1:21" ht="16.8" x14ac:dyDescent="0.65">
      <c r="A887" s="54"/>
      <c r="B887" s="53"/>
      <c r="C887" s="53"/>
      <c r="D887" s="53"/>
      <c r="E887" s="53"/>
      <c r="F887" s="53"/>
      <c r="G887" s="54"/>
      <c r="H887" s="53"/>
      <c r="I887" s="53"/>
      <c r="J887" s="53"/>
      <c r="K887" s="53"/>
      <c r="L887" s="53"/>
      <c r="M887" s="53"/>
      <c r="N887" s="53"/>
      <c r="O887" s="53"/>
      <c r="P887" s="53"/>
      <c r="Q887" s="53"/>
      <c r="R887" s="53"/>
      <c r="S887" s="53"/>
      <c r="T887" s="53"/>
      <c r="U887" s="53"/>
    </row>
    <row r="888" spans="1:21" ht="16.8" x14ac:dyDescent="0.65">
      <c r="A888" s="54"/>
      <c r="B888" s="53"/>
      <c r="C888" s="53"/>
      <c r="D888" s="53"/>
      <c r="E888" s="53"/>
      <c r="F888" s="53"/>
      <c r="G888" s="54"/>
      <c r="H888" s="53"/>
      <c r="I888" s="53"/>
      <c r="J888" s="53"/>
      <c r="K888" s="53"/>
      <c r="L888" s="53"/>
      <c r="M888" s="53"/>
      <c r="N888" s="53"/>
      <c r="O888" s="53"/>
      <c r="P888" s="53"/>
      <c r="Q888" s="53"/>
      <c r="R888" s="53"/>
      <c r="S888" s="53"/>
      <c r="T888" s="53"/>
      <c r="U888" s="53"/>
    </row>
    <row r="889" spans="1:21" ht="16.8" x14ac:dyDescent="0.65">
      <c r="A889" s="54"/>
      <c r="B889" s="53"/>
      <c r="C889" s="53"/>
      <c r="D889" s="53"/>
      <c r="E889" s="53"/>
      <c r="F889" s="53"/>
      <c r="G889" s="54"/>
      <c r="H889" s="53"/>
      <c r="I889" s="53"/>
      <c r="J889" s="53"/>
      <c r="K889" s="53"/>
      <c r="L889" s="53"/>
      <c r="M889" s="53"/>
      <c r="N889" s="53"/>
      <c r="O889" s="53"/>
      <c r="P889" s="53"/>
      <c r="Q889" s="53"/>
      <c r="R889" s="53"/>
      <c r="S889" s="53"/>
      <c r="T889" s="53"/>
      <c r="U889" s="53"/>
    </row>
    <row r="890" spans="1:21" ht="16.8" x14ac:dyDescent="0.65">
      <c r="A890" s="54"/>
      <c r="B890" s="53"/>
      <c r="C890" s="53"/>
      <c r="D890" s="53"/>
      <c r="E890" s="53"/>
      <c r="F890" s="53"/>
      <c r="G890" s="54"/>
      <c r="H890" s="53"/>
      <c r="I890" s="53"/>
      <c r="J890" s="53"/>
      <c r="K890" s="53"/>
      <c r="L890" s="53"/>
      <c r="M890" s="53"/>
      <c r="N890" s="53"/>
      <c r="O890" s="53"/>
      <c r="P890" s="53"/>
      <c r="Q890" s="53"/>
      <c r="R890" s="53"/>
      <c r="S890" s="53"/>
      <c r="T890" s="53"/>
      <c r="U890" s="53"/>
    </row>
    <row r="891" spans="1:21" ht="16.8" x14ac:dyDescent="0.65">
      <c r="A891" s="54"/>
      <c r="B891" s="53"/>
      <c r="C891" s="53"/>
      <c r="D891" s="53"/>
      <c r="E891" s="53"/>
      <c r="F891" s="53"/>
      <c r="G891" s="54"/>
      <c r="H891" s="53"/>
      <c r="I891" s="53"/>
      <c r="J891" s="53"/>
      <c r="K891" s="53"/>
      <c r="L891" s="53"/>
      <c r="M891" s="53"/>
      <c r="N891" s="53"/>
      <c r="O891" s="53"/>
      <c r="P891" s="53"/>
      <c r="Q891" s="53"/>
      <c r="R891" s="53"/>
      <c r="S891" s="53"/>
      <c r="T891" s="53"/>
      <c r="U891" s="53"/>
    </row>
    <row r="892" spans="1:21" ht="16.8" x14ac:dyDescent="0.65">
      <c r="A892" s="54"/>
      <c r="B892" s="53"/>
      <c r="C892" s="53"/>
      <c r="D892" s="53"/>
      <c r="E892" s="53"/>
      <c r="F892" s="53"/>
      <c r="G892" s="54"/>
      <c r="H892" s="53"/>
      <c r="I892" s="53"/>
      <c r="J892" s="53"/>
      <c r="K892" s="53"/>
      <c r="L892" s="53"/>
      <c r="M892" s="53"/>
      <c r="N892" s="53"/>
      <c r="O892" s="53"/>
      <c r="P892" s="53"/>
      <c r="Q892" s="53"/>
      <c r="R892" s="53"/>
      <c r="S892" s="53"/>
      <c r="T892" s="53"/>
      <c r="U892" s="53"/>
    </row>
    <row r="893" spans="1:21" ht="16.8" x14ac:dyDescent="0.65">
      <c r="A893" s="54"/>
      <c r="B893" s="53"/>
      <c r="C893" s="53"/>
      <c r="D893" s="53"/>
      <c r="E893" s="53"/>
      <c r="F893" s="53"/>
      <c r="G893" s="54"/>
      <c r="H893" s="53"/>
      <c r="I893" s="53"/>
      <c r="J893" s="53"/>
      <c r="K893" s="53"/>
      <c r="L893" s="53"/>
      <c r="M893" s="53"/>
      <c r="N893" s="53"/>
      <c r="O893" s="53"/>
      <c r="P893" s="53"/>
      <c r="Q893" s="53"/>
      <c r="R893" s="53"/>
      <c r="S893" s="53"/>
      <c r="T893" s="53"/>
      <c r="U893" s="53"/>
    </row>
    <row r="894" spans="1:21" ht="16.8" x14ac:dyDescent="0.65">
      <c r="A894" s="54"/>
      <c r="B894" s="53"/>
      <c r="C894" s="53"/>
      <c r="D894" s="53"/>
      <c r="E894" s="53"/>
      <c r="F894" s="53"/>
      <c r="G894" s="54"/>
      <c r="H894" s="53"/>
      <c r="I894" s="53"/>
      <c r="J894" s="53"/>
      <c r="K894" s="53"/>
      <c r="L894" s="53"/>
      <c r="M894" s="53"/>
      <c r="N894" s="53"/>
      <c r="O894" s="53"/>
      <c r="P894" s="53"/>
      <c r="Q894" s="53"/>
      <c r="R894" s="53"/>
      <c r="S894" s="53"/>
      <c r="T894" s="53"/>
      <c r="U894" s="53"/>
    </row>
    <row r="895" spans="1:21" ht="16.8" x14ac:dyDescent="0.65">
      <c r="A895" s="54"/>
      <c r="B895" s="53"/>
      <c r="C895" s="53"/>
      <c r="D895" s="53"/>
      <c r="E895" s="53"/>
      <c r="F895" s="53"/>
      <c r="G895" s="54"/>
      <c r="H895" s="53"/>
      <c r="I895" s="53"/>
      <c r="J895" s="53"/>
      <c r="K895" s="53"/>
      <c r="L895" s="53"/>
      <c r="M895" s="53"/>
      <c r="N895" s="53"/>
      <c r="O895" s="53"/>
      <c r="P895" s="53"/>
      <c r="Q895" s="53"/>
      <c r="R895" s="53"/>
      <c r="S895" s="53"/>
      <c r="T895" s="53"/>
      <c r="U895" s="53"/>
    </row>
    <row r="896" spans="1:21" ht="16.8" x14ac:dyDescent="0.65">
      <c r="A896" s="54"/>
      <c r="B896" s="53"/>
      <c r="C896" s="53"/>
      <c r="D896" s="53"/>
      <c r="E896" s="53"/>
      <c r="F896" s="53"/>
      <c r="G896" s="54"/>
      <c r="H896" s="53"/>
      <c r="I896" s="53"/>
      <c r="J896" s="53"/>
      <c r="K896" s="53"/>
      <c r="L896" s="53"/>
      <c r="M896" s="53"/>
      <c r="N896" s="53"/>
      <c r="O896" s="53"/>
      <c r="P896" s="53"/>
      <c r="Q896" s="53"/>
      <c r="R896" s="53"/>
      <c r="S896" s="53"/>
      <c r="T896" s="53"/>
      <c r="U896" s="53"/>
    </row>
    <row r="897" spans="1:21" ht="16.8" x14ac:dyDescent="0.65">
      <c r="A897" s="54"/>
      <c r="B897" s="53"/>
      <c r="C897" s="53"/>
      <c r="D897" s="53"/>
      <c r="E897" s="53"/>
      <c r="F897" s="53"/>
      <c r="G897" s="54"/>
      <c r="H897" s="53"/>
      <c r="I897" s="53"/>
      <c r="J897" s="53"/>
      <c r="K897" s="53"/>
      <c r="L897" s="53"/>
      <c r="M897" s="53"/>
      <c r="N897" s="53"/>
      <c r="O897" s="53"/>
      <c r="P897" s="53"/>
      <c r="Q897" s="53"/>
      <c r="R897" s="53"/>
      <c r="S897" s="53"/>
      <c r="T897" s="53"/>
      <c r="U897" s="53"/>
    </row>
    <row r="898" spans="1:21" ht="16.8" x14ac:dyDescent="0.65">
      <c r="A898" s="54"/>
      <c r="B898" s="53"/>
      <c r="C898" s="53"/>
      <c r="D898" s="53"/>
      <c r="E898" s="53"/>
      <c r="F898" s="53"/>
      <c r="G898" s="54"/>
      <c r="H898" s="53"/>
      <c r="I898" s="53"/>
      <c r="J898" s="53"/>
      <c r="K898" s="53"/>
      <c r="L898" s="53"/>
      <c r="M898" s="53"/>
      <c r="N898" s="53"/>
      <c r="O898" s="53"/>
      <c r="P898" s="53"/>
      <c r="Q898" s="53"/>
      <c r="R898" s="53"/>
      <c r="S898" s="53"/>
      <c r="T898" s="53"/>
      <c r="U898" s="53"/>
    </row>
    <row r="899" spans="1:21" ht="16.8" x14ac:dyDescent="0.65">
      <c r="A899" s="54"/>
      <c r="B899" s="53"/>
      <c r="C899" s="53"/>
      <c r="D899" s="53"/>
      <c r="E899" s="53"/>
      <c r="F899" s="53"/>
      <c r="G899" s="54"/>
      <c r="H899" s="53"/>
      <c r="I899" s="53"/>
      <c r="J899" s="53"/>
      <c r="K899" s="53"/>
      <c r="L899" s="53"/>
      <c r="M899" s="53"/>
      <c r="N899" s="53"/>
      <c r="O899" s="53"/>
      <c r="P899" s="53"/>
      <c r="Q899" s="53"/>
      <c r="R899" s="53"/>
      <c r="S899" s="53"/>
      <c r="T899" s="53"/>
      <c r="U899" s="53"/>
    </row>
    <row r="900" spans="1:21" ht="16.8" x14ac:dyDescent="0.65">
      <c r="A900" s="54"/>
      <c r="B900" s="53"/>
      <c r="C900" s="53"/>
      <c r="D900" s="53"/>
      <c r="E900" s="53"/>
      <c r="F900" s="53"/>
      <c r="G900" s="54"/>
      <c r="H900" s="53"/>
      <c r="I900" s="53"/>
      <c r="J900" s="53"/>
      <c r="K900" s="53"/>
      <c r="L900" s="53"/>
      <c r="M900" s="53"/>
      <c r="N900" s="53"/>
      <c r="O900" s="53"/>
      <c r="P900" s="53"/>
      <c r="Q900" s="53"/>
      <c r="R900" s="53"/>
      <c r="S900" s="53"/>
      <c r="T900" s="53"/>
      <c r="U900" s="53"/>
    </row>
    <row r="901" spans="1:21" ht="16.8" x14ac:dyDescent="0.65">
      <c r="A901" s="54"/>
      <c r="B901" s="53"/>
      <c r="C901" s="53"/>
      <c r="D901" s="53"/>
      <c r="E901" s="53"/>
      <c r="F901" s="53"/>
      <c r="G901" s="54"/>
      <c r="H901" s="53"/>
      <c r="I901" s="53"/>
      <c r="J901" s="53"/>
      <c r="K901" s="53"/>
      <c r="L901" s="53"/>
      <c r="M901" s="53"/>
      <c r="N901" s="53"/>
      <c r="O901" s="53"/>
      <c r="P901" s="53"/>
      <c r="Q901" s="53"/>
      <c r="R901" s="53"/>
      <c r="S901" s="53"/>
      <c r="T901" s="53"/>
      <c r="U901" s="53"/>
    </row>
    <row r="902" spans="1:21" ht="16.8" x14ac:dyDescent="0.65">
      <c r="A902" s="54"/>
      <c r="B902" s="53"/>
      <c r="C902" s="53"/>
      <c r="D902" s="53"/>
      <c r="E902" s="53"/>
      <c r="F902" s="53"/>
      <c r="G902" s="54"/>
      <c r="H902" s="53"/>
      <c r="I902" s="53"/>
      <c r="J902" s="53"/>
      <c r="K902" s="53"/>
      <c r="L902" s="53"/>
      <c r="M902" s="53"/>
      <c r="N902" s="53"/>
      <c r="O902" s="53"/>
      <c r="P902" s="53"/>
      <c r="Q902" s="53"/>
      <c r="R902" s="53"/>
      <c r="S902" s="53"/>
      <c r="T902" s="53"/>
      <c r="U902" s="53"/>
    </row>
    <row r="903" spans="1:21" ht="16.8" x14ac:dyDescent="0.65">
      <c r="A903" s="54"/>
      <c r="B903" s="53"/>
      <c r="C903" s="53"/>
      <c r="D903" s="53"/>
      <c r="E903" s="53"/>
      <c r="F903" s="53"/>
      <c r="G903" s="54"/>
      <c r="H903" s="53"/>
      <c r="I903" s="53"/>
      <c r="J903" s="53"/>
      <c r="K903" s="53"/>
      <c r="L903" s="53"/>
      <c r="M903" s="53"/>
      <c r="N903" s="53"/>
      <c r="O903" s="53"/>
      <c r="P903" s="53"/>
      <c r="Q903" s="53"/>
      <c r="R903" s="53"/>
      <c r="S903" s="53"/>
      <c r="T903" s="53"/>
      <c r="U903" s="53"/>
    </row>
    <row r="904" spans="1:21" ht="16.8" x14ac:dyDescent="0.65">
      <c r="A904" s="54"/>
      <c r="B904" s="53"/>
      <c r="C904" s="53"/>
      <c r="D904" s="53"/>
      <c r="E904" s="53"/>
      <c r="F904" s="53"/>
      <c r="G904" s="54"/>
      <c r="H904" s="53"/>
      <c r="I904" s="53"/>
      <c r="J904" s="53"/>
      <c r="K904" s="53"/>
      <c r="L904" s="53"/>
      <c r="M904" s="53"/>
      <c r="N904" s="53"/>
      <c r="O904" s="53"/>
      <c r="P904" s="53"/>
      <c r="Q904" s="53"/>
      <c r="R904" s="53"/>
      <c r="S904" s="53"/>
      <c r="T904" s="53"/>
      <c r="U904" s="53"/>
    </row>
    <row r="905" spans="1:21" ht="16.8" x14ac:dyDescent="0.65">
      <c r="A905" s="54"/>
      <c r="B905" s="53"/>
      <c r="C905" s="53"/>
      <c r="D905" s="53"/>
      <c r="E905" s="53"/>
      <c r="F905" s="53"/>
      <c r="G905" s="54"/>
      <c r="H905" s="53"/>
      <c r="I905" s="53"/>
      <c r="J905" s="53"/>
      <c r="K905" s="53"/>
      <c r="L905" s="53"/>
      <c r="M905" s="53"/>
      <c r="N905" s="53"/>
      <c r="O905" s="53"/>
      <c r="P905" s="53"/>
      <c r="Q905" s="53"/>
      <c r="R905" s="53"/>
      <c r="S905" s="53"/>
      <c r="T905" s="53"/>
      <c r="U905" s="53"/>
    </row>
    <row r="906" spans="1:21" ht="16.8" x14ac:dyDescent="0.65">
      <c r="A906" s="54"/>
      <c r="B906" s="53"/>
      <c r="C906" s="53"/>
      <c r="D906" s="53"/>
      <c r="E906" s="53"/>
      <c r="F906" s="53"/>
      <c r="G906" s="54"/>
      <c r="H906" s="53"/>
      <c r="I906" s="53"/>
      <c r="J906" s="53"/>
      <c r="K906" s="53"/>
      <c r="L906" s="53"/>
      <c r="M906" s="53"/>
      <c r="N906" s="53"/>
      <c r="O906" s="53"/>
      <c r="P906" s="53"/>
      <c r="Q906" s="53"/>
      <c r="R906" s="53"/>
      <c r="S906" s="53"/>
      <c r="T906" s="53"/>
      <c r="U906" s="53"/>
    </row>
    <row r="907" spans="1:21" ht="16.8" x14ac:dyDescent="0.65">
      <c r="A907" s="54"/>
      <c r="B907" s="53"/>
      <c r="C907" s="53"/>
      <c r="D907" s="53"/>
      <c r="E907" s="53"/>
      <c r="F907" s="53"/>
      <c r="G907" s="54"/>
      <c r="H907" s="53"/>
      <c r="I907" s="53"/>
      <c r="J907" s="53"/>
      <c r="K907" s="53"/>
      <c r="L907" s="53"/>
      <c r="M907" s="53"/>
      <c r="N907" s="53"/>
      <c r="O907" s="53"/>
      <c r="P907" s="53"/>
      <c r="Q907" s="53"/>
      <c r="R907" s="53"/>
      <c r="S907" s="53"/>
      <c r="T907" s="53"/>
      <c r="U907" s="53"/>
    </row>
    <row r="908" spans="1:21" ht="16.8" x14ac:dyDescent="0.65">
      <c r="A908" s="54"/>
      <c r="B908" s="53"/>
      <c r="C908" s="53"/>
      <c r="D908" s="53"/>
      <c r="E908" s="53"/>
      <c r="F908" s="53"/>
      <c r="G908" s="54"/>
      <c r="H908" s="53"/>
      <c r="I908" s="53"/>
      <c r="J908" s="53"/>
      <c r="K908" s="53"/>
      <c r="L908" s="53"/>
      <c r="M908" s="53"/>
      <c r="N908" s="53"/>
      <c r="O908" s="53"/>
      <c r="P908" s="53"/>
      <c r="Q908" s="53"/>
      <c r="R908" s="53"/>
      <c r="S908" s="53"/>
      <c r="T908" s="53"/>
      <c r="U908" s="53"/>
    </row>
    <row r="909" spans="1:21" ht="16.8" x14ac:dyDescent="0.65">
      <c r="A909" s="54"/>
      <c r="B909" s="53"/>
      <c r="C909" s="53"/>
      <c r="D909" s="53"/>
      <c r="E909" s="53"/>
      <c r="F909" s="53"/>
      <c r="G909" s="54"/>
      <c r="H909" s="53"/>
      <c r="I909" s="53"/>
      <c r="J909" s="53"/>
      <c r="K909" s="53"/>
      <c r="L909" s="53"/>
      <c r="M909" s="53"/>
      <c r="N909" s="53"/>
      <c r="O909" s="53"/>
      <c r="P909" s="53"/>
      <c r="Q909" s="53"/>
      <c r="R909" s="53"/>
      <c r="S909" s="53"/>
      <c r="T909" s="53"/>
      <c r="U909" s="53"/>
    </row>
    <row r="910" spans="1:21" ht="16.8" x14ac:dyDescent="0.65">
      <c r="A910" s="54"/>
      <c r="B910" s="53"/>
      <c r="C910" s="53"/>
      <c r="D910" s="53"/>
      <c r="E910" s="53"/>
      <c r="F910" s="53"/>
      <c r="G910" s="54"/>
      <c r="H910" s="53"/>
      <c r="I910" s="53"/>
      <c r="J910" s="53"/>
      <c r="K910" s="53"/>
      <c r="L910" s="53"/>
      <c r="M910" s="53"/>
      <c r="N910" s="53"/>
      <c r="O910" s="53"/>
      <c r="P910" s="53"/>
      <c r="Q910" s="53"/>
      <c r="R910" s="53"/>
      <c r="S910" s="53"/>
      <c r="T910" s="53"/>
      <c r="U910" s="53"/>
    </row>
    <row r="911" spans="1:21" ht="16.8" x14ac:dyDescent="0.65">
      <c r="A911" s="54"/>
      <c r="B911" s="53"/>
      <c r="C911" s="53"/>
      <c r="D911" s="53"/>
      <c r="E911" s="53"/>
      <c r="F911" s="53"/>
      <c r="G911" s="54"/>
      <c r="H911" s="53"/>
      <c r="I911" s="53"/>
      <c r="J911" s="53"/>
      <c r="K911" s="53"/>
      <c r="L911" s="53"/>
      <c r="M911" s="53"/>
      <c r="N911" s="53"/>
      <c r="O911" s="53"/>
      <c r="P911" s="53"/>
      <c r="Q911" s="53"/>
      <c r="R911" s="53"/>
      <c r="S911" s="53"/>
      <c r="T911" s="53"/>
      <c r="U911" s="53"/>
    </row>
    <row r="912" spans="1:21" ht="16.8" x14ac:dyDescent="0.65">
      <c r="A912" s="54"/>
      <c r="B912" s="53"/>
      <c r="C912" s="53"/>
      <c r="D912" s="53"/>
      <c r="E912" s="53"/>
      <c r="F912" s="53"/>
      <c r="G912" s="54"/>
      <c r="H912" s="53"/>
      <c r="I912" s="53"/>
      <c r="J912" s="53"/>
      <c r="K912" s="53"/>
      <c r="L912" s="53"/>
      <c r="M912" s="53"/>
      <c r="N912" s="53"/>
      <c r="O912" s="53"/>
      <c r="P912" s="53"/>
      <c r="Q912" s="53"/>
      <c r="R912" s="53"/>
      <c r="S912" s="53"/>
      <c r="T912" s="53"/>
      <c r="U912" s="53"/>
    </row>
    <row r="913" spans="1:21" ht="16.8" x14ac:dyDescent="0.65">
      <c r="A913" s="54"/>
      <c r="B913" s="53"/>
      <c r="C913" s="53"/>
      <c r="D913" s="53"/>
      <c r="E913" s="53"/>
      <c r="F913" s="53"/>
      <c r="G913" s="54"/>
      <c r="H913" s="53"/>
      <c r="I913" s="53"/>
      <c r="J913" s="53"/>
      <c r="K913" s="53"/>
      <c r="L913" s="53"/>
      <c r="M913" s="53"/>
      <c r="N913" s="53"/>
      <c r="O913" s="53"/>
      <c r="P913" s="53"/>
      <c r="Q913" s="53"/>
      <c r="R913" s="53"/>
      <c r="S913" s="53"/>
      <c r="T913" s="53"/>
      <c r="U913" s="53"/>
    </row>
    <row r="914" spans="1:21" ht="16.8" x14ac:dyDescent="0.65">
      <c r="A914" s="54"/>
      <c r="B914" s="53"/>
      <c r="C914" s="53"/>
      <c r="D914" s="53"/>
      <c r="E914" s="53"/>
      <c r="F914" s="53"/>
      <c r="G914" s="54"/>
      <c r="H914" s="53"/>
      <c r="I914" s="53"/>
      <c r="J914" s="53"/>
      <c r="K914" s="53"/>
      <c r="L914" s="53"/>
      <c r="M914" s="53"/>
      <c r="N914" s="53"/>
      <c r="O914" s="53"/>
      <c r="P914" s="53"/>
      <c r="Q914" s="53"/>
      <c r="R914" s="53"/>
      <c r="S914" s="53"/>
      <c r="T914" s="53"/>
      <c r="U914" s="53"/>
    </row>
    <row r="915" spans="1:21" ht="16.8" x14ac:dyDescent="0.65">
      <c r="A915" s="54"/>
      <c r="B915" s="53"/>
      <c r="C915" s="53"/>
      <c r="D915" s="53"/>
      <c r="E915" s="53"/>
      <c r="F915" s="53"/>
      <c r="G915" s="54"/>
      <c r="H915" s="53"/>
      <c r="I915" s="53"/>
      <c r="J915" s="53"/>
      <c r="K915" s="53"/>
      <c r="L915" s="53"/>
      <c r="M915" s="53"/>
      <c r="N915" s="53"/>
      <c r="O915" s="53"/>
      <c r="P915" s="53"/>
      <c r="Q915" s="53"/>
      <c r="R915" s="53"/>
      <c r="S915" s="53"/>
      <c r="T915" s="53"/>
      <c r="U915" s="53"/>
    </row>
    <row r="916" spans="1:21" ht="16.8" x14ac:dyDescent="0.65">
      <c r="A916" s="54"/>
      <c r="B916" s="53"/>
      <c r="C916" s="53"/>
      <c r="D916" s="53"/>
      <c r="E916" s="53"/>
      <c r="F916" s="53"/>
      <c r="G916" s="54"/>
      <c r="H916" s="53"/>
      <c r="I916" s="53"/>
      <c r="J916" s="53"/>
      <c r="K916" s="53"/>
      <c r="L916" s="53"/>
      <c r="M916" s="53"/>
      <c r="N916" s="53"/>
      <c r="O916" s="53"/>
      <c r="P916" s="53"/>
      <c r="Q916" s="53"/>
      <c r="R916" s="53"/>
      <c r="S916" s="53"/>
      <c r="T916" s="53"/>
      <c r="U916" s="53"/>
    </row>
    <row r="917" spans="1:21" ht="16.8" x14ac:dyDescent="0.65">
      <c r="A917" s="54"/>
      <c r="B917" s="53"/>
      <c r="C917" s="53"/>
      <c r="D917" s="53"/>
      <c r="E917" s="53"/>
      <c r="F917" s="53"/>
      <c r="G917" s="54"/>
      <c r="H917" s="53"/>
      <c r="I917" s="53"/>
      <c r="J917" s="53"/>
      <c r="K917" s="53"/>
      <c r="L917" s="53"/>
      <c r="M917" s="53"/>
      <c r="N917" s="53"/>
      <c r="O917" s="53"/>
      <c r="P917" s="53"/>
      <c r="Q917" s="53"/>
      <c r="R917" s="53"/>
      <c r="S917" s="53"/>
      <c r="T917" s="53"/>
      <c r="U917" s="53"/>
    </row>
    <row r="918" spans="1:21" ht="16.8" x14ac:dyDescent="0.65">
      <c r="A918" s="54"/>
      <c r="B918" s="53"/>
      <c r="C918" s="53"/>
      <c r="D918" s="53"/>
      <c r="E918" s="53"/>
      <c r="F918" s="53"/>
      <c r="G918" s="54"/>
      <c r="H918" s="53"/>
      <c r="I918" s="53"/>
      <c r="J918" s="53"/>
      <c r="K918" s="53"/>
      <c r="L918" s="53"/>
      <c r="M918" s="53"/>
      <c r="N918" s="53"/>
      <c r="O918" s="53"/>
      <c r="P918" s="53"/>
      <c r="Q918" s="53"/>
      <c r="R918" s="53"/>
      <c r="S918" s="53"/>
      <c r="T918" s="53"/>
      <c r="U918" s="53"/>
    </row>
    <row r="919" spans="1:21" ht="16.8" x14ac:dyDescent="0.65">
      <c r="A919" s="54"/>
      <c r="B919" s="53"/>
      <c r="C919" s="53"/>
      <c r="D919" s="53"/>
      <c r="E919" s="53"/>
      <c r="F919" s="53"/>
      <c r="G919" s="54"/>
      <c r="H919" s="53"/>
      <c r="I919" s="53"/>
      <c r="J919" s="53"/>
      <c r="K919" s="53"/>
      <c r="L919" s="53"/>
      <c r="M919" s="53"/>
      <c r="N919" s="53"/>
      <c r="O919" s="53"/>
      <c r="P919" s="53"/>
      <c r="Q919" s="53"/>
      <c r="R919" s="53"/>
      <c r="S919" s="53"/>
      <c r="T919" s="53"/>
      <c r="U919" s="53"/>
    </row>
    <row r="920" spans="1:21" ht="16.8" x14ac:dyDescent="0.65">
      <c r="A920" s="54"/>
      <c r="B920" s="53"/>
      <c r="C920" s="53"/>
      <c r="D920" s="53"/>
      <c r="E920" s="53"/>
      <c r="F920" s="53"/>
      <c r="G920" s="54"/>
      <c r="H920" s="53"/>
      <c r="I920" s="53"/>
      <c r="J920" s="53"/>
      <c r="K920" s="53"/>
      <c r="L920" s="53"/>
      <c r="M920" s="53"/>
      <c r="N920" s="53"/>
      <c r="O920" s="53"/>
      <c r="P920" s="53"/>
      <c r="Q920" s="53"/>
      <c r="R920" s="53"/>
      <c r="S920" s="53"/>
      <c r="T920" s="53"/>
      <c r="U920" s="53"/>
    </row>
    <row r="921" spans="1:21" ht="16.8" x14ac:dyDescent="0.65">
      <c r="A921" s="54"/>
      <c r="B921" s="53"/>
      <c r="C921" s="53"/>
      <c r="D921" s="53"/>
      <c r="E921" s="53"/>
      <c r="F921" s="53"/>
      <c r="G921" s="54"/>
      <c r="H921" s="53"/>
      <c r="I921" s="53"/>
      <c r="J921" s="53"/>
      <c r="K921" s="53"/>
      <c r="L921" s="53"/>
      <c r="M921" s="53"/>
      <c r="N921" s="53"/>
      <c r="O921" s="53"/>
      <c r="P921" s="53"/>
      <c r="Q921" s="53"/>
      <c r="R921" s="53"/>
      <c r="S921" s="53"/>
      <c r="T921" s="53"/>
      <c r="U921" s="53"/>
    </row>
    <row r="922" spans="1:21" ht="16.8" x14ac:dyDescent="0.65">
      <c r="A922" s="54"/>
      <c r="B922" s="53"/>
      <c r="C922" s="53"/>
      <c r="D922" s="53"/>
      <c r="E922" s="53"/>
      <c r="F922" s="53"/>
      <c r="G922" s="54"/>
      <c r="H922" s="53"/>
      <c r="I922" s="53"/>
      <c r="J922" s="53"/>
      <c r="K922" s="53"/>
      <c r="L922" s="53"/>
      <c r="M922" s="53"/>
      <c r="N922" s="53"/>
      <c r="O922" s="53"/>
      <c r="P922" s="53"/>
      <c r="Q922" s="53"/>
      <c r="R922" s="53"/>
      <c r="S922" s="53"/>
      <c r="T922" s="53"/>
      <c r="U922" s="53"/>
    </row>
    <row r="923" spans="1:21" ht="16.8" x14ac:dyDescent="0.65">
      <c r="A923" s="54"/>
      <c r="B923" s="53"/>
      <c r="C923" s="53"/>
      <c r="D923" s="53"/>
      <c r="E923" s="53"/>
      <c r="F923" s="53"/>
      <c r="G923" s="54"/>
      <c r="H923" s="53"/>
      <c r="I923" s="53"/>
      <c r="J923" s="53"/>
      <c r="K923" s="53"/>
      <c r="L923" s="53"/>
      <c r="M923" s="53"/>
      <c r="N923" s="53"/>
      <c r="O923" s="53"/>
      <c r="P923" s="53"/>
      <c r="Q923" s="53"/>
      <c r="R923" s="53"/>
      <c r="S923" s="53"/>
      <c r="T923" s="53"/>
      <c r="U923" s="53"/>
    </row>
    <row r="924" spans="1:21" ht="16.8" x14ac:dyDescent="0.65">
      <c r="A924" s="54"/>
      <c r="B924" s="53"/>
      <c r="C924" s="53"/>
      <c r="D924" s="53"/>
      <c r="E924" s="53"/>
      <c r="F924" s="53"/>
      <c r="G924" s="54"/>
      <c r="H924" s="53"/>
      <c r="I924" s="53"/>
      <c r="J924" s="53"/>
      <c r="K924" s="53"/>
      <c r="L924" s="53"/>
      <c r="M924" s="53"/>
      <c r="N924" s="53"/>
      <c r="O924" s="53"/>
      <c r="P924" s="53"/>
      <c r="Q924" s="53"/>
      <c r="R924" s="53"/>
      <c r="S924" s="53"/>
      <c r="T924" s="53"/>
      <c r="U924" s="53"/>
    </row>
    <row r="925" spans="1:21" ht="16.8" x14ac:dyDescent="0.65">
      <c r="A925" s="54"/>
      <c r="B925" s="53"/>
      <c r="C925" s="53"/>
      <c r="D925" s="53"/>
      <c r="E925" s="53"/>
      <c r="F925" s="53"/>
      <c r="G925" s="54"/>
      <c r="H925" s="53"/>
      <c r="I925" s="53"/>
      <c r="J925" s="53"/>
      <c r="K925" s="53"/>
      <c r="L925" s="53"/>
      <c r="M925" s="53"/>
      <c r="N925" s="53"/>
      <c r="O925" s="53"/>
      <c r="P925" s="53"/>
      <c r="Q925" s="53"/>
      <c r="R925" s="53"/>
      <c r="S925" s="53"/>
      <c r="T925" s="53"/>
      <c r="U925" s="53"/>
    </row>
    <row r="926" spans="1:21" ht="16.8" x14ac:dyDescent="0.65">
      <c r="A926" s="54"/>
      <c r="B926" s="53"/>
      <c r="C926" s="53"/>
      <c r="D926" s="53"/>
      <c r="E926" s="53"/>
      <c r="F926" s="53"/>
      <c r="G926" s="54"/>
      <c r="H926" s="53"/>
      <c r="I926" s="53"/>
      <c r="J926" s="53"/>
      <c r="K926" s="53"/>
      <c r="L926" s="53"/>
      <c r="M926" s="53"/>
      <c r="N926" s="53"/>
      <c r="O926" s="53"/>
      <c r="P926" s="53"/>
      <c r="Q926" s="53"/>
      <c r="R926" s="53"/>
      <c r="S926" s="53"/>
      <c r="T926" s="53"/>
      <c r="U926" s="53"/>
    </row>
    <row r="927" spans="1:21" ht="16.8" x14ac:dyDescent="0.65">
      <c r="A927" s="54"/>
      <c r="B927" s="53"/>
      <c r="C927" s="53"/>
      <c r="D927" s="53"/>
      <c r="E927" s="53"/>
      <c r="F927" s="53"/>
      <c r="G927" s="54"/>
      <c r="H927" s="53"/>
      <c r="I927" s="53"/>
      <c r="J927" s="53"/>
      <c r="K927" s="53"/>
      <c r="L927" s="53"/>
      <c r="M927" s="53"/>
      <c r="N927" s="53"/>
      <c r="O927" s="53"/>
      <c r="P927" s="53"/>
      <c r="Q927" s="53"/>
      <c r="R927" s="53"/>
      <c r="S927" s="53"/>
      <c r="T927" s="53"/>
      <c r="U927" s="53"/>
    </row>
    <row r="928" spans="1:21" ht="16.8" x14ac:dyDescent="0.65">
      <c r="A928" s="54"/>
      <c r="B928" s="53"/>
      <c r="C928" s="53"/>
      <c r="D928" s="53"/>
      <c r="E928" s="53"/>
      <c r="F928" s="53"/>
      <c r="G928" s="54"/>
      <c r="H928" s="53"/>
      <c r="I928" s="53"/>
      <c r="J928" s="53"/>
      <c r="K928" s="53"/>
      <c r="L928" s="53"/>
      <c r="M928" s="53"/>
      <c r="N928" s="53"/>
      <c r="O928" s="53"/>
      <c r="P928" s="53"/>
      <c r="Q928" s="53"/>
      <c r="R928" s="53"/>
      <c r="S928" s="53"/>
      <c r="T928" s="53"/>
      <c r="U928" s="53"/>
    </row>
    <row r="929" spans="1:21" ht="16.8" x14ac:dyDescent="0.65">
      <c r="A929" s="54"/>
      <c r="B929" s="53"/>
      <c r="C929" s="53"/>
      <c r="D929" s="53"/>
      <c r="E929" s="53"/>
      <c r="F929" s="53"/>
      <c r="G929" s="54"/>
      <c r="H929" s="53"/>
      <c r="I929" s="53"/>
      <c r="J929" s="53"/>
      <c r="K929" s="53"/>
      <c r="L929" s="53"/>
      <c r="M929" s="53"/>
      <c r="N929" s="53"/>
      <c r="O929" s="53"/>
      <c r="P929" s="53"/>
      <c r="Q929" s="53"/>
      <c r="R929" s="53"/>
      <c r="S929" s="53"/>
      <c r="T929" s="53"/>
      <c r="U929" s="53"/>
    </row>
    <row r="930" spans="1:21" ht="16.8" x14ac:dyDescent="0.65">
      <c r="A930" s="54"/>
      <c r="B930" s="53"/>
      <c r="C930" s="53"/>
      <c r="D930" s="53"/>
      <c r="E930" s="53"/>
      <c r="F930" s="53"/>
      <c r="G930" s="54"/>
      <c r="H930" s="53"/>
      <c r="I930" s="53"/>
      <c r="J930" s="53"/>
      <c r="K930" s="53"/>
      <c r="L930" s="53"/>
      <c r="M930" s="53"/>
      <c r="N930" s="53"/>
      <c r="O930" s="53"/>
      <c r="P930" s="53"/>
      <c r="Q930" s="53"/>
      <c r="R930" s="53"/>
      <c r="S930" s="53"/>
      <c r="T930" s="53"/>
      <c r="U930" s="53"/>
    </row>
    <row r="931" spans="1:21" ht="16.8" x14ac:dyDescent="0.65">
      <c r="A931" s="54"/>
      <c r="B931" s="53"/>
      <c r="C931" s="53"/>
      <c r="D931" s="53"/>
      <c r="E931" s="53"/>
      <c r="F931" s="53"/>
      <c r="G931" s="54"/>
      <c r="H931" s="53"/>
      <c r="I931" s="53"/>
      <c r="J931" s="53"/>
      <c r="K931" s="53"/>
      <c r="L931" s="53"/>
      <c r="M931" s="53"/>
      <c r="N931" s="53"/>
      <c r="O931" s="53"/>
      <c r="P931" s="53"/>
      <c r="Q931" s="53"/>
      <c r="R931" s="53"/>
      <c r="S931" s="53"/>
      <c r="T931" s="53"/>
      <c r="U931" s="53"/>
    </row>
    <row r="932" spans="1:21" ht="16.8" x14ac:dyDescent="0.65">
      <c r="A932" s="54"/>
      <c r="B932" s="53"/>
      <c r="C932" s="53"/>
      <c r="D932" s="53"/>
      <c r="E932" s="53"/>
      <c r="F932" s="53"/>
      <c r="G932" s="54"/>
      <c r="H932" s="53"/>
      <c r="I932" s="53"/>
      <c r="J932" s="53"/>
      <c r="K932" s="53"/>
      <c r="L932" s="53"/>
      <c r="M932" s="53"/>
      <c r="N932" s="53"/>
      <c r="O932" s="53"/>
      <c r="P932" s="53"/>
      <c r="Q932" s="53"/>
      <c r="R932" s="53"/>
      <c r="S932" s="53"/>
      <c r="T932" s="53"/>
      <c r="U932" s="53"/>
    </row>
    <row r="933" spans="1:21" ht="16.8" x14ac:dyDescent="0.65">
      <c r="A933" s="54"/>
      <c r="B933" s="53"/>
      <c r="C933" s="53"/>
      <c r="D933" s="53"/>
      <c r="E933" s="53"/>
      <c r="F933" s="53"/>
      <c r="G933" s="54"/>
      <c r="H933" s="53"/>
      <c r="I933" s="53"/>
      <c r="J933" s="53"/>
      <c r="K933" s="53"/>
      <c r="L933" s="53"/>
      <c r="M933" s="53"/>
      <c r="N933" s="53"/>
      <c r="O933" s="53"/>
      <c r="P933" s="53"/>
      <c r="Q933" s="53"/>
      <c r="R933" s="53"/>
      <c r="S933" s="53"/>
      <c r="T933" s="53"/>
      <c r="U933" s="53"/>
    </row>
    <row r="934" spans="1:21" ht="16.8" x14ac:dyDescent="0.65">
      <c r="A934" s="54"/>
      <c r="B934" s="53"/>
      <c r="C934" s="53"/>
      <c r="D934" s="53"/>
      <c r="E934" s="53"/>
      <c r="F934" s="53"/>
      <c r="G934" s="54"/>
      <c r="H934" s="53"/>
      <c r="I934" s="53"/>
      <c r="J934" s="53"/>
      <c r="K934" s="53"/>
      <c r="L934" s="53"/>
      <c r="M934" s="53"/>
      <c r="N934" s="53"/>
      <c r="O934" s="53"/>
      <c r="P934" s="53"/>
      <c r="Q934" s="53"/>
      <c r="R934" s="53"/>
      <c r="S934" s="53"/>
      <c r="T934" s="53"/>
      <c r="U934" s="53"/>
    </row>
    <row r="935" spans="1:21" ht="16.8" x14ac:dyDescent="0.65">
      <c r="A935" s="54"/>
      <c r="B935" s="53"/>
      <c r="C935" s="53"/>
      <c r="D935" s="53"/>
      <c r="E935" s="53"/>
      <c r="F935" s="53"/>
      <c r="G935" s="54"/>
      <c r="H935" s="53"/>
      <c r="I935" s="53"/>
      <c r="J935" s="53"/>
      <c r="K935" s="53"/>
      <c r="L935" s="53"/>
      <c r="M935" s="53"/>
      <c r="N935" s="53"/>
      <c r="O935" s="53"/>
      <c r="P935" s="53"/>
      <c r="Q935" s="53"/>
      <c r="R935" s="53"/>
      <c r="S935" s="53"/>
      <c r="T935" s="53"/>
      <c r="U935" s="53"/>
    </row>
    <row r="936" spans="1:21" ht="16.8" x14ac:dyDescent="0.65">
      <c r="A936" s="54"/>
      <c r="B936" s="53"/>
      <c r="C936" s="53"/>
      <c r="D936" s="53"/>
      <c r="E936" s="53"/>
      <c r="F936" s="53"/>
      <c r="G936" s="54"/>
      <c r="H936" s="53"/>
      <c r="I936" s="53"/>
      <c r="J936" s="53"/>
      <c r="K936" s="53"/>
      <c r="L936" s="53"/>
      <c r="M936" s="53"/>
      <c r="N936" s="53"/>
      <c r="O936" s="53"/>
      <c r="P936" s="53"/>
      <c r="Q936" s="53"/>
      <c r="R936" s="53"/>
      <c r="S936" s="53"/>
      <c r="T936" s="53"/>
      <c r="U936" s="53"/>
    </row>
    <row r="937" spans="1:21" ht="16.8" x14ac:dyDescent="0.65">
      <c r="A937" s="54"/>
      <c r="B937" s="53"/>
      <c r="C937" s="53"/>
      <c r="D937" s="53"/>
      <c r="E937" s="53"/>
      <c r="F937" s="53"/>
      <c r="G937" s="54"/>
      <c r="H937" s="53"/>
      <c r="I937" s="53"/>
      <c r="J937" s="53"/>
      <c r="K937" s="53"/>
      <c r="L937" s="53"/>
      <c r="M937" s="53"/>
      <c r="N937" s="53"/>
      <c r="O937" s="53"/>
      <c r="P937" s="53"/>
      <c r="Q937" s="53"/>
      <c r="R937" s="53"/>
      <c r="S937" s="53"/>
      <c r="T937" s="53"/>
      <c r="U937" s="53"/>
    </row>
    <row r="938" spans="1:21" ht="16.8" x14ac:dyDescent="0.65">
      <c r="A938" s="54"/>
      <c r="B938" s="53"/>
      <c r="C938" s="53"/>
      <c r="D938" s="53"/>
      <c r="E938" s="53"/>
      <c r="F938" s="53"/>
      <c r="G938" s="54"/>
      <c r="H938" s="53"/>
      <c r="I938" s="53"/>
      <c r="J938" s="53"/>
      <c r="K938" s="53"/>
      <c r="L938" s="53"/>
      <c r="M938" s="53"/>
      <c r="N938" s="53"/>
      <c r="O938" s="53"/>
      <c r="P938" s="53"/>
      <c r="Q938" s="53"/>
      <c r="R938" s="53"/>
      <c r="S938" s="53"/>
      <c r="T938" s="53"/>
      <c r="U938" s="53"/>
    </row>
    <row r="939" spans="1:21" ht="16.8" x14ac:dyDescent="0.65">
      <c r="A939" s="54"/>
      <c r="B939" s="53"/>
      <c r="C939" s="53"/>
      <c r="D939" s="53"/>
      <c r="E939" s="53"/>
      <c r="F939" s="53"/>
      <c r="G939" s="54"/>
      <c r="H939" s="53"/>
      <c r="I939" s="53"/>
      <c r="J939" s="53"/>
      <c r="K939" s="53"/>
      <c r="L939" s="53"/>
      <c r="M939" s="53"/>
      <c r="N939" s="53"/>
      <c r="O939" s="53"/>
      <c r="P939" s="53"/>
      <c r="Q939" s="53"/>
      <c r="R939" s="53"/>
      <c r="S939" s="53"/>
      <c r="T939" s="53"/>
      <c r="U939" s="53"/>
    </row>
    <row r="940" spans="1:21" ht="16.8" x14ac:dyDescent="0.65">
      <c r="A940" s="54"/>
      <c r="B940" s="53"/>
      <c r="C940" s="53"/>
      <c r="D940" s="53"/>
      <c r="E940" s="53"/>
      <c r="F940" s="53"/>
      <c r="G940" s="54"/>
      <c r="H940" s="53"/>
      <c r="I940" s="53"/>
      <c r="J940" s="53"/>
      <c r="K940" s="53"/>
      <c r="L940" s="53"/>
      <c r="M940" s="53"/>
      <c r="N940" s="53"/>
      <c r="O940" s="53"/>
      <c r="P940" s="53"/>
      <c r="Q940" s="53"/>
      <c r="R940" s="53"/>
      <c r="S940" s="53"/>
      <c r="T940" s="53"/>
      <c r="U940" s="53"/>
    </row>
    <row r="941" spans="1:21" ht="16.8" x14ac:dyDescent="0.65">
      <c r="A941" s="54"/>
      <c r="B941" s="53"/>
      <c r="C941" s="53"/>
      <c r="D941" s="53"/>
      <c r="E941" s="53"/>
      <c r="F941" s="53"/>
      <c r="G941" s="54"/>
      <c r="H941" s="53"/>
      <c r="I941" s="53"/>
      <c r="J941" s="53"/>
      <c r="K941" s="53"/>
      <c r="L941" s="53"/>
      <c r="M941" s="53"/>
      <c r="N941" s="53"/>
      <c r="O941" s="53"/>
      <c r="P941" s="53"/>
      <c r="Q941" s="53"/>
      <c r="R941" s="53"/>
      <c r="S941" s="53"/>
      <c r="T941" s="53"/>
      <c r="U941" s="53"/>
    </row>
    <row r="942" spans="1:21" ht="16.8" x14ac:dyDescent="0.65">
      <c r="A942" s="54"/>
      <c r="B942" s="53"/>
      <c r="C942" s="53"/>
      <c r="D942" s="53"/>
      <c r="E942" s="53"/>
      <c r="F942" s="53"/>
      <c r="G942" s="54"/>
      <c r="H942" s="53"/>
      <c r="I942" s="53"/>
      <c r="J942" s="53"/>
      <c r="K942" s="53"/>
      <c r="L942" s="53"/>
      <c r="M942" s="53"/>
      <c r="N942" s="53"/>
      <c r="O942" s="53"/>
      <c r="P942" s="53"/>
      <c r="Q942" s="53"/>
      <c r="R942" s="53"/>
      <c r="S942" s="53"/>
      <c r="T942" s="53"/>
      <c r="U942" s="53"/>
    </row>
    <row r="943" spans="1:21" ht="16.8" x14ac:dyDescent="0.65">
      <c r="A943" s="54"/>
      <c r="B943" s="53"/>
      <c r="C943" s="53"/>
      <c r="D943" s="53"/>
      <c r="E943" s="53"/>
      <c r="F943" s="53"/>
      <c r="G943" s="54"/>
      <c r="H943" s="53"/>
      <c r="I943" s="53"/>
      <c r="J943" s="53"/>
      <c r="K943" s="53"/>
      <c r="L943" s="53"/>
      <c r="M943" s="53"/>
      <c r="N943" s="53"/>
      <c r="O943" s="53"/>
      <c r="P943" s="53"/>
      <c r="Q943" s="53"/>
      <c r="R943" s="53"/>
      <c r="S943" s="53"/>
      <c r="T943" s="53"/>
      <c r="U943" s="53"/>
    </row>
    <row r="944" spans="1:21" ht="16.8" x14ac:dyDescent="0.65">
      <c r="A944" s="54"/>
      <c r="B944" s="53"/>
      <c r="C944" s="53"/>
      <c r="D944" s="53"/>
      <c r="E944" s="53"/>
      <c r="F944" s="53"/>
      <c r="G944" s="54"/>
      <c r="H944" s="53"/>
      <c r="I944" s="53"/>
      <c r="J944" s="53"/>
      <c r="K944" s="53"/>
      <c r="L944" s="53"/>
      <c r="M944" s="53"/>
      <c r="N944" s="53"/>
      <c r="O944" s="53"/>
      <c r="P944" s="53"/>
      <c r="Q944" s="53"/>
      <c r="R944" s="53"/>
      <c r="S944" s="53"/>
      <c r="T944" s="53"/>
      <c r="U944" s="53"/>
    </row>
    <row r="945" spans="1:21" ht="16.8" x14ac:dyDescent="0.65">
      <c r="A945" s="54"/>
      <c r="B945" s="53"/>
      <c r="C945" s="53"/>
      <c r="D945" s="53"/>
      <c r="E945" s="53"/>
      <c r="F945" s="53"/>
      <c r="G945" s="54"/>
      <c r="H945" s="53"/>
      <c r="I945" s="53"/>
      <c r="J945" s="53"/>
      <c r="K945" s="53"/>
      <c r="L945" s="53"/>
      <c r="M945" s="53"/>
      <c r="N945" s="53"/>
      <c r="O945" s="53"/>
      <c r="P945" s="53"/>
      <c r="Q945" s="53"/>
      <c r="R945" s="53"/>
      <c r="S945" s="53"/>
      <c r="T945" s="53"/>
      <c r="U945" s="53"/>
    </row>
    <row r="946" spans="1:21" ht="16.8" x14ac:dyDescent="0.65">
      <c r="A946" s="54"/>
      <c r="B946" s="53"/>
      <c r="C946" s="53"/>
      <c r="D946" s="53"/>
      <c r="E946" s="53"/>
      <c r="F946" s="53"/>
      <c r="G946" s="54"/>
      <c r="H946" s="53"/>
      <c r="I946" s="53"/>
      <c r="J946" s="53"/>
      <c r="K946" s="53"/>
      <c r="L946" s="53"/>
      <c r="M946" s="53"/>
      <c r="N946" s="53"/>
      <c r="O946" s="53"/>
      <c r="P946" s="53"/>
      <c r="Q946" s="53"/>
      <c r="R946" s="53"/>
      <c r="S946" s="53"/>
      <c r="T946" s="53"/>
      <c r="U946" s="53"/>
    </row>
    <row r="947" spans="1:21" ht="16.8" x14ac:dyDescent="0.65">
      <c r="A947" s="54"/>
      <c r="B947" s="53"/>
      <c r="C947" s="53"/>
      <c r="D947" s="53"/>
      <c r="E947" s="53"/>
      <c r="F947" s="53"/>
      <c r="G947" s="54"/>
      <c r="H947" s="53"/>
      <c r="I947" s="53"/>
      <c r="J947" s="53"/>
      <c r="K947" s="53"/>
      <c r="L947" s="53"/>
      <c r="M947" s="53"/>
      <c r="N947" s="53"/>
      <c r="O947" s="53"/>
      <c r="P947" s="53"/>
      <c r="Q947" s="53"/>
      <c r="R947" s="53"/>
      <c r="S947" s="53"/>
      <c r="T947" s="53"/>
      <c r="U947" s="53"/>
    </row>
    <row r="948" spans="1:21" ht="16.8" x14ac:dyDescent="0.65">
      <c r="A948" s="54"/>
      <c r="B948" s="53"/>
      <c r="C948" s="53"/>
      <c r="D948" s="53"/>
      <c r="E948" s="53"/>
      <c r="F948" s="53"/>
      <c r="G948" s="54"/>
      <c r="H948" s="53"/>
      <c r="I948" s="53"/>
      <c r="J948" s="53"/>
      <c r="K948" s="53"/>
      <c r="L948" s="53"/>
      <c r="M948" s="53"/>
      <c r="N948" s="53"/>
      <c r="O948" s="53"/>
      <c r="P948" s="53"/>
      <c r="Q948" s="53"/>
      <c r="R948" s="53"/>
      <c r="S948" s="53"/>
      <c r="T948" s="53"/>
      <c r="U948" s="53"/>
    </row>
    <row r="949" spans="1:21" ht="16.8" x14ac:dyDescent="0.65">
      <c r="A949" s="54"/>
      <c r="B949" s="53"/>
      <c r="C949" s="53"/>
      <c r="D949" s="53"/>
      <c r="E949" s="53"/>
      <c r="F949" s="53"/>
      <c r="G949" s="54"/>
      <c r="H949" s="53"/>
      <c r="I949" s="53"/>
      <c r="J949" s="53"/>
      <c r="K949" s="53"/>
      <c r="L949" s="53"/>
      <c r="M949" s="53"/>
      <c r="N949" s="53"/>
      <c r="O949" s="53"/>
      <c r="P949" s="53"/>
      <c r="Q949" s="53"/>
      <c r="R949" s="53"/>
      <c r="S949" s="53"/>
      <c r="T949" s="53"/>
      <c r="U949" s="53"/>
    </row>
    <row r="950" spans="1:21" ht="16.8" x14ac:dyDescent="0.65">
      <c r="A950" s="54"/>
      <c r="B950" s="53"/>
      <c r="C950" s="53"/>
      <c r="D950" s="53"/>
      <c r="E950" s="53"/>
      <c r="F950" s="53"/>
      <c r="G950" s="54"/>
      <c r="H950" s="53"/>
      <c r="I950" s="53"/>
      <c r="J950" s="53"/>
      <c r="K950" s="53"/>
      <c r="L950" s="53"/>
      <c r="M950" s="53"/>
      <c r="N950" s="53"/>
      <c r="O950" s="53"/>
      <c r="P950" s="53"/>
      <c r="Q950" s="53"/>
      <c r="R950" s="53"/>
      <c r="S950" s="53"/>
      <c r="T950" s="53"/>
      <c r="U950" s="53"/>
    </row>
    <row r="951" spans="1:21" ht="16.8" x14ac:dyDescent="0.65">
      <c r="A951" s="54"/>
      <c r="B951" s="53"/>
      <c r="C951" s="53"/>
      <c r="D951" s="53"/>
      <c r="E951" s="53"/>
      <c r="F951" s="53"/>
      <c r="G951" s="54"/>
      <c r="H951" s="53"/>
      <c r="I951" s="53"/>
      <c r="J951" s="53"/>
      <c r="K951" s="53"/>
      <c r="L951" s="53"/>
      <c r="M951" s="53"/>
      <c r="N951" s="53"/>
      <c r="O951" s="53"/>
      <c r="P951" s="53"/>
      <c r="Q951" s="53"/>
      <c r="R951" s="53"/>
      <c r="S951" s="53"/>
      <c r="T951" s="53"/>
      <c r="U951" s="53"/>
    </row>
    <row r="952" spans="1:21" ht="16.8" x14ac:dyDescent="0.65">
      <c r="A952" s="54"/>
      <c r="B952" s="53"/>
      <c r="C952" s="53"/>
      <c r="D952" s="53"/>
      <c r="E952" s="53"/>
      <c r="F952" s="53"/>
      <c r="G952" s="54"/>
      <c r="H952" s="53"/>
      <c r="I952" s="53"/>
      <c r="J952" s="53"/>
      <c r="K952" s="53"/>
      <c r="L952" s="53"/>
      <c r="M952" s="53"/>
      <c r="N952" s="53"/>
      <c r="O952" s="53"/>
      <c r="P952" s="53"/>
      <c r="Q952" s="53"/>
      <c r="R952" s="53"/>
      <c r="S952" s="53"/>
      <c r="T952" s="53"/>
      <c r="U952" s="53"/>
    </row>
    <row r="953" spans="1:21" ht="16.8" x14ac:dyDescent="0.65">
      <c r="A953" s="54"/>
      <c r="B953" s="53"/>
      <c r="C953" s="53"/>
      <c r="D953" s="53"/>
      <c r="E953" s="53"/>
      <c r="F953" s="53"/>
      <c r="G953" s="54"/>
      <c r="H953" s="53"/>
      <c r="I953" s="53"/>
      <c r="J953" s="53"/>
      <c r="K953" s="53"/>
      <c r="L953" s="53"/>
      <c r="M953" s="53"/>
      <c r="N953" s="53"/>
      <c r="O953" s="53"/>
      <c r="P953" s="53"/>
      <c r="Q953" s="53"/>
      <c r="R953" s="53"/>
      <c r="S953" s="53"/>
      <c r="T953" s="53"/>
      <c r="U953" s="53"/>
    </row>
    <row r="954" spans="1:21" ht="16.8" x14ac:dyDescent="0.65">
      <c r="A954" s="54"/>
      <c r="B954" s="53"/>
      <c r="C954" s="53"/>
      <c r="D954" s="53"/>
      <c r="E954" s="53"/>
      <c r="F954" s="53"/>
      <c r="G954" s="54"/>
      <c r="H954" s="53"/>
      <c r="I954" s="53"/>
      <c r="J954" s="53"/>
      <c r="K954" s="53"/>
      <c r="L954" s="53"/>
      <c r="M954" s="53"/>
      <c r="N954" s="53"/>
      <c r="O954" s="53"/>
      <c r="P954" s="53"/>
      <c r="Q954" s="53"/>
      <c r="R954" s="53"/>
      <c r="S954" s="53"/>
      <c r="T954" s="53"/>
      <c r="U954" s="53"/>
    </row>
    <row r="955" spans="1:21" ht="16.8" x14ac:dyDescent="0.65">
      <c r="A955" s="54"/>
      <c r="B955" s="53"/>
      <c r="C955" s="53"/>
      <c r="D955" s="53"/>
      <c r="E955" s="53"/>
      <c r="F955" s="53"/>
      <c r="G955" s="54"/>
      <c r="H955" s="53"/>
      <c r="I955" s="53"/>
      <c r="J955" s="53"/>
      <c r="K955" s="53"/>
      <c r="L955" s="53"/>
      <c r="M955" s="53"/>
      <c r="N955" s="53"/>
      <c r="O955" s="53"/>
      <c r="P955" s="53"/>
      <c r="Q955" s="53"/>
      <c r="R955" s="53"/>
      <c r="S955" s="53"/>
      <c r="T955" s="53"/>
      <c r="U955" s="53"/>
    </row>
    <row r="956" spans="1:21" ht="16.8" x14ac:dyDescent="0.65">
      <c r="A956" s="54"/>
      <c r="B956" s="53"/>
      <c r="C956" s="53"/>
      <c r="D956" s="53"/>
      <c r="E956" s="53"/>
      <c r="F956" s="53"/>
      <c r="G956" s="54"/>
      <c r="H956" s="53"/>
      <c r="I956" s="53"/>
      <c r="J956" s="53"/>
      <c r="K956" s="53"/>
      <c r="L956" s="53"/>
      <c r="M956" s="53"/>
      <c r="N956" s="53"/>
      <c r="O956" s="53"/>
      <c r="P956" s="53"/>
      <c r="Q956" s="53"/>
      <c r="R956" s="53"/>
      <c r="S956" s="53"/>
      <c r="T956" s="53"/>
      <c r="U956" s="53"/>
    </row>
    <row r="957" spans="1:21" ht="16.8" x14ac:dyDescent="0.65">
      <c r="A957" s="54"/>
      <c r="B957" s="53"/>
      <c r="C957" s="53"/>
      <c r="D957" s="53"/>
      <c r="E957" s="53"/>
      <c r="F957" s="53"/>
      <c r="G957" s="54"/>
      <c r="H957" s="53"/>
      <c r="I957" s="53"/>
      <c r="J957" s="53"/>
      <c r="K957" s="53"/>
      <c r="L957" s="53"/>
      <c r="M957" s="53"/>
      <c r="N957" s="53"/>
      <c r="O957" s="53"/>
      <c r="P957" s="53"/>
      <c r="Q957" s="53"/>
      <c r="R957" s="53"/>
      <c r="S957" s="53"/>
      <c r="T957" s="53"/>
      <c r="U957" s="53"/>
    </row>
    <row r="958" spans="1:21" ht="16.8" x14ac:dyDescent="0.65">
      <c r="A958" s="54"/>
      <c r="B958" s="53"/>
      <c r="C958" s="53"/>
      <c r="D958" s="53"/>
      <c r="E958" s="53"/>
      <c r="F958" s="53"/>
      <c r="G958" s="54"/>
      <c r="H958" s="53"/>
      <c r="I958" s="53"/>
      <c r="J958" s="53"/>
      <c r="K958" s="53"/>
      <c r="L958" s="53"/>
      <c r="M958" s="53"/>
      <c r="N958" s="53"/>
      <c r="O958" s="53"/>
      <c r="P958" s="53"/>
      <c r="Q958" s="53"/>
      <c r="R958" s="53"/>
      <c r="S958" s="53"/>
      <c r="T958" s="53"/>
      <c r="U958" s="53"/>
    </row>
    <row r="959" spans="1:21" ht="16.8" x14ac:dyDescent="0.65">
      <c r="A959" s="54"/>
      <c r="B959" s="53"/>
      <c r="C959" s="53"/>
      <c r="D959" s="53"/>
      <c r="E959" s="53"/>
      <c r="F959" s="53"/>
      <c r="G959" s="54"/>
      <c r="H959" s="53"/>
      <c r="I959" s="53"/>
      <c r="J959" s="53"/>
      <c r="K959" s="53"/>
      <c r="L959" s="53"/>
      <c r="M959" s="53"/>
      <c r="N959" s="53"/>
      <c r="O959" s="53"/>
      <c r="P959" s="53"/>
      <c r="Q959" s="53"/>
      <c r="R959" s="53"/>
      <c r="S959" s="53"/>
      <c r="T959" s="53"/>
      <c r="U959" s="53"/>
    </row>
    <row r="960" spans="1:21" ht="16.8" x14ac:dyDescent="0.65">
      <c r="A960" s="54"/>
      <c r="B960" s="53"/>
      <c r="C960" s="53"/>
      <c r="D960" s="53"/>
      <c r="E960" s="53"/>
      <c r="F960" s="53"/>
      <c r="G960" s="54"/>
      <c r="H960" s="53"/>
      <c r="I960" s="53"/>
      <c r="J960" s="53"/>
      <c r="K960" s="53"/>
      <c r="L960" s="53"/>
      <c r="M960" s="53"/>
      <c r="N960" s="53"/>
      <c r="O960" s="53"/>
      <c r="P960" s="53"/>
      <c r="Q960" s="53"/>
      <c r="R960" s="53"/>
      <c r="S960" s="53"/>
      <c r="T960" s="53"/>
      <c r="U960" s="53"/>
    </row>
    <row r="961" spans="1:21" ht="16.8" x14ac:dyDescent="0.65">
      <c r="A961" s="54"/>
      <c r="B961" s="53"/>
      <c r="C961" s="53"/>
      <c r="D961" s="53"/>
      <c r="E961" s="53"/>
      <c r="F961" s="53"/>
      <c r="G961" s="54"/>
      <c r="H961" s="53"/>
      <c r="I961" s="53"/>
      <c r="J961" s="53"/>
      <c r="K961" s="53"/>
      <c r="L961" s="53"/>
      <c r="M961" s="53"/>
      <c r="N961" s="53"/>
      <c r="O961" s="53"/>
      <c r="P961" s="53"/>
      <c r="Q961" s="53"/>
      <c r="R961" s="53"/>
      <c r="S961" s="53"/>
      <c r="T961" s="53"/>
      <c r="U961" s="53"/>
    </row>
    <row r="962" spans="1:21" ht="16.8" x14ac:dyDescent="0.65">
      <c r="A962" s="54"/>
      <c r="B962" s="53"/>
      <c r="C962" s="53"/>
      <c r="D962" s="53"/>
      <c r="E962" s="53"/>
      <c r="F962" s="53"/>
      <c r="G962" s="54"/>
      <c r="H962" s="53"/>
      <c r="I962" s="53"/>
      <c r="J962" s="53"/>
      <c r="K962" s="53"/>
      <c r="L962" s="53"/>
      <c r="M962" s="53"/>
      <c r="N962" s="53"/>
      <c r="O962" s="53"/>
      <c r="P962" s="53"/>
      <c r="Q962" s="53"/>
      <c r="R962" s="53"/>
      <c r="S962" s="53"/>
      <c r="T962" s="53"/>
      <c r="U962" s="53"/>
    </row>
    <row r="963" spans="1:21" ht="16.8" x14ac:dyDescent="0.65">
      <c r="A963" s="54"/>
      <c r="B963" s="53"/>
      <c r="C963" s="53"/>
      <c r="D963" s="53"/>
      <c r="E963" s="53"/>
      <c r="F963" s="53"/>
      <c r="G963" s="54"/>
      <c r="H963" s="53"/>
      <c r="I963" s="53"/>
      <c r="J963" s="53"/>
      <c r="K963" s="53"/>
      <c r="L963" s="53"/>
      <c r="M963" s="53"/>
      <c r="N963" s="53"/>
      <c r="O963" s="53"/>
      <c r="P963" s="53"/>
      <c r="Q963" s="53"/>
      <c r="R963" s="53"/>
      <c r="S963" s="53"/>
      <c r="T963" s="53"/>
      <c r="U963" s="53"/>
    </row>
    <row r="964" spans="1:21" ht="16.8" x14ac:dyDescent="0.65">
      <c r="A964" s="54"/>
      <c r="B964" s="53"/>
      <c r="C964" s="53"/>
      <c r="D964" s="53"/>
      <c r="E964" s="53"/>
      <c r="F964" s="53"/>
      <c r="G964" s="54"/>
      <c r="H964" s="53"/>
      <c r="I964" s="53"/>
      <c r="J964" s="53"/>
      <c r="K964" s="53"/>
      <c r="L964" s="53"/>
      <c r="M964" s="53"/>
      <c r="N964" s="53"/>
      <c r="O964" s="53"/>
      <c r="P964" s="53"/>
      <c r="Q964" s="53"/>
      <c r="R964" s="53"/>
      <c r="S964" s="53"/>
      <c r="T964" s="53"/>
      <c r="U964" s="53"/>
    </row>
    <row r="965" spans="1:21" ht="16.8" x14ac:dyDescent="0.65">
      <c r="A965" s="54"/>
      <c r="B965" s="53"/>
      <c r="C965" s="53"/>
      <c r="D965" s="53"/>
      <c r="E965" s="53"/>
      <c r="F965" s="53"/>
      <c r="G965" s="54"/>
      <c r="H965" s="53"/>
      <c r="I965" s="53"/>
      <c r="J965" s="53"/>
      <c r="K965" s="53"/>
      <c r="L965" s="53"/>
      <c r="M965" s="53"/>
      <c r="N965" s="53"/>
      <c r="O965" s="53"/>
      <c r="P965" s="53"/>
      <c r="Q965" s="53"/>
      <c r="R965" s="53"/>
      <c r="S965" s="53"/>
      <c r="T965" s="53"/>
      <c r="U965" s="53"/>
    </row>
    <row r="966" spans="1:21" ht="16.8" x14ac:dyDescent="0.65">
      <c r="A966" s="54"/>
      <c r="B966" s="53"/>
      <c r="C966" s="53"/>
      <c r="D966" s="53"/>
      <c r="E966" s="53"/>
      <c r="F966" s="53"/>
      <c r="G966" s="54"/>
      <c r="H966" s="53"/>
      <c r="I966" s="53"/>
      <c r="J966" s="53"/>
      <c r="K966" s="53"/>
      <c r="L966" s="53"/>
      <c r="M966" s="53"/>
      <c r="N966" s="53"/>
      <c r="O966" s="53"/>
      <c r="P966" s="53"/>
      <c r="Q966" s="53"/>
      <c r="R966" s="53"/>
      <c r="S966" s="53"/>
      <c r="T966" s="53"/>
      <c r="U966" s="53"/>
    </row>
    <row r="967" spans="1:21" ht="16.8" x14ac:dyDescent="0.65">
      <c r="A967" s="54"/>
      <c r="B967" s="53"/>
      <c r="C967" s="53"/>
      <c r="D967" s="53"/>
      <c r="E967" s="53"/>
      <c r="F967" s="53"/>
      <c r="G967" s="54"/>
      <c r="H967" s="53"/>
      <c r="I967" s="53"/>
      <c r="J967" s="53"/>
      <c r="K967" s="53"/>
      <c r="L967" s="53"/>
      <c r="M967" s="53"/>
      <c r="N967" s="53"/>
      <c r="O967" s="53"/>
      <c r="P967" s="53"/>
      <c r="Q967" s="53"/>
      <c r="R967" s="53"/>
      <c r="S967" s="53"/>
      <c r="T967" s="53"/>
      <c r="U967" s="53"/>
    </row>
    <row r="968" spans="1:21" ht="16.8" x14ac:dyDescent="0.65">
      <c r="A968" s="54"/>
      <c r="B968" s="53"/>
      <c r="C968" s="53"/>
      <c r="D968" s="53"/>
      <c r="E968" s="53"/>
      <c r="F968" s="53"/>
      <c r="G968" s="54"/>
      <c r="H968" s="53"/>
      <c r="I968" s="53"/>
      <c r="J968" s="53"/>
      <c r="K968" s="53"/>
      <c r="L968" s="53"/>
      <c r="M968" s="53"/>
      <c r="N968" s="53"/>
      <c r="O968" s="53"/>
      <c r="P968" s="53"/>
      <c r="Q968" s="53"/>
      <c r="R968" s="53"/>
      <c r="S968" s="53"/>
      <c r="T968" s="53"/>
      <c r="U968" s="53"/>
    </row>
    <row r="969" spans="1:21" ht="16.8" x14ac:dyDescent="0.65">
      <c r="A969" s="54"/>
      <c r="B969" s="53"/>
      <c r="C969" s="53"/>
      <c r="D969" s="53"/>
      <c r="E969" s="53"/>
      <c r="F969" s="53"/>
      <c r="G969" s="54"/>
      <c r="H969" s="53"/>
      <c r="I969" s="53"/>
      <c r="J969" s="53"/>
      <c r="K969" s="53"/>
      <c r="L969" s="53"/>
      <c r="M969" s="53"/>
      <c r="N969" s="53"/>
      <c r="O969" s="53"/>
      <c r="P969" s="53"/>
      <c r="Q969" s="53"/>
      <c r="R969" s="53"/>
      <c r="S969" s="53"/>
      <c r="T969" s="53"/>
      <c r="U969" s="53"/>
    </row>
    <row r="970" spans="1:21" ht="16.8" x14ac:dyDescent="0.65">
      <c r="A970" s="54"/>
      <c r="B970" s="53"/>
      <c r="C970" s="53"/>
      <c r="D970" s="53"/>
      <c r="E970" s="53"/>
      <c r="F970" s="53"/>
      <c r="G970" s="54"/>
      <c r="H970" s="53"/>
      <c r="I970" s="53"/>
      <c r="J970" s="53"/>
      <c r="K970" s="53"/>
      <c r="L970" s="53"/>
      <c r="M970" s="53"/>
      <c r="N970" s="53"/>
      <c r="O970" s="53"/>
      <c r="P970" s="53"/>
      <c r="Q970" s="53"/>
      <c r="R970" s="53"/>
      <c r="S970" s="53"/>
      <c r="T970" s="53"/>
      <c r="U970" s="53"/>
    </row>
    <row r="971" spans="1:21" ht="16.8" x14ac:dyDescent="0.65">
      <c r="A971" s="54"/>
      <c r="B971" s="53"/>
      <c r="C971" s="53"/>
      <c r="D971" s="53"/>
      <c r="E971" s="53"/>
      <c r="F971" s="53"/>
      <c r="G971" s="54"/>
      <c r="H971" s="53"/>
      <c r="I971" s="53"/>
      <c r="J971" s="53"/>
      <c r="K971" s="53"/>
      <c r="L971" s="53"/>
      <c r="M971" s="53"/>
      <c r="N971" s="53"/>
      <c r="O971" s="53"/>
      <c r="P971" s="53"/>
      <c r="Q971" s="53"/>
      <c r="R971" s="53"/>
      <c r="S971" s="53"/>
      <c r="T971" s="53"/>
      <c r="U971" s="53"/>
    </row>
    <row r="972" spans="1:21" ht="16.8" x14ac:dyDescent="0.65">
      <c r="A972" s="54"/>
      <c r="B972" s="53"/>
      <c r="C972" s="53"/>
      <c r="D972" s="53"/>
      <c r="E972" s="53"/>
      <c r="F972" s="53"/>
      <c r="G972" s="54"/>
      <c r="H972" s="53"/>
      <c r="I972" s="53"/>
      <c r="J972" s="53"/>
      <c r="K972" s="53"/>
      <c r="L972" s="53"/>
      <c r="M972" s="53"/>
      <c r="N972" s="53"/>
      <c r="O972" s="53"/>
      <c r="P972" s="53"/>
      <c r="Q972" s="53"/>
      <c r="R972" s="53"/>
      <c r="S972" s="53"/>
      <c r="T972" s="53"/>
      <c r="U972" s="53"/>
    </row>
    <row r="973" spans="1:21" ht="16.8" x14ac:dyDescent="0.65">
      <c r="A973" s="54"/>
      <c r="B973" s="53"/>
      <c r="C973" s="53"/>
      <c r="D973" s="53"/>
      <c r="E973" s="53"/>
      <c r="F973" s="53"/>
      <c r="G973" s="54"/>
      <c r="H973" s="53"/>
      <c r="I973" s="53"/>
      <c r="J973" s="53"/>
      <c r="K973" s="53"/>
      <c r="L973" s="53"/>
      <c r="M973" s="53"/>
      <c r="N973" s="53"/>
      <c r="O973" s="53"/>
      <c r="P973" s="53"/>
      <c r="Q973" s="53"/>
      <c r="R973" s="53"/>
      <c r="S973" s="53"/>
      <c r="T973" s="53"/>
      <c r="U973" s="53"/>
    </row>
    <row r="974" spans="1:21" ht="16.8" x14ac:dyDescent="0.65">
      <c r="A974" s="54"/>
      <c r="B974" s="53"/>
      <c r="C974" s="53"/>
      <c r="D974" s="53"/>
      <c r="E974" s="53"/>
      <c r="F974" s="53"/>
      <c r="G974" s="54"/>
      <c r="H974" s="53"/>
      <c r="I974" s="53"/>
      <c r="J974" s="53"/>
      <c r="K974" s="53"/>
      <c r="L974" s="53"/>
      <c r="M974" s="53"/>
      <c r="N974" s="53"/>
      <c r="O974" s="53"/>
      <c r="P974" s="53"/>
      <c r="Q974" s="53"/>
      <c r="R974" s="53"/>
      <c r="S974" s="53"/>
      <c r="T974" s="53"/>
      <c r="U974" s="53"/>
    </row>
    <row r="975" spans="1:21" ht="16.8" x14ac:dyDescent="0.65">
      <c r="A975" s="54"/>
      <c r="B975" s="53"/>
      <c r="C975" s="53"/>
      <c r="D975" s="53"/>
      <c r="E975" s="53"/>
      <c r="F975" s="53"/>
      <c r="G975" s="54"/>
      <c r="H975" s="53"/>
      <c r="I975" s="53"/>
      <c r="J975" s="53"/>
      <c r="K975" s="53"/>
      <c r="L975" s="53"/>
      <c r="M975" s="53"/>
      <c r="N975" s="53"/>
      <c r="O975" s="53"/>
      <c r="P975" s="53"/>
      <c r="Q975" s="53"/>
      <c r="R975" s="53"/>
      <c r="S975" s="53"/>
      <c r="T975" s="53"/>
      <c r="U975" s="53"/>
    </row>
    <row r="976" spans="1:21" ht="16.8" x14ac:dyDescent="0.65">
      <c r="A976" s="54"/>
      <c r="B976" s="53"/>
      <c r="C976" s="53"/>
      <c r="D976" s="53"/>
      <c r="E976" s="53"/>
      <c r="F976" s="53"/>
      <c r="G976" s="54"/>
      <c r="H976" s="53"/>
      <c r="I976" s="53"/>
      <c r="J976" s="53"/>
      <c r="K976" s="53"/>
      <c r="L976" s="53"/>
      <c r="M976" s="53"/>
      <c r="N976" s="53"/>
      <c r="O976" s="53"/>
      <c r="P976" s="53"/>
      <c r="Q976" s="53"/>
      <c r="R976" s="53"/>
      <c r="S976" s="53"/>
      <c r="T976" s="53"/>
      <c r="U976" s="53"/>
    </row>
    <row r="977" spans="1:21" ht="16.8" x14ac:dyDescent="0.65">
      <c r="A977" s="54"/>
      <c r="B977" s="53"/>
      <c r="C977" s="53"/>
      <c r="D977" s="53"/>
      <c r="E977" s="53"/>
      <c r="F977" s="53"/>
      <c r="G977" s="54"/>
      <c r="H977" s="53"/>
      <c r="I977" s="53"/>
      <c r="J977" s="53"/>
      <c r="K977" s="53"/>
      <c r="L977" s="53"/>
      <c r="M977" s="53"/>
      <c r="N977" s="53"/>
      <c r="O977" s="53"/>
      <c r="P977" s="53"/>
      <c r="Q977" s="53"/>
      <c r="R977" s="53"/>
      <c r="S977" s="53"/>
      <c r="T977" s="53"/>
      <c r="U977" s="53"/>
    </row>
    <row r="978" spans="1:21" ht="16.8" x14ac:dyDescent="0.65">
      <c r="A978" s="54"/>
      <c r="B978" s="53"/>
      <c r="C978" s="53"/>
      <c r="D978" s="53"/>
      <c r="E978" s="53"/>
      <c r="F978" s="53"/>
      <c r="G978" s="54"/>
      <c r="H978" s="53"/>
      <c r="I978" s="53"/>
      <c r="J978" s="53"/>
      <c r="K978" s="53"/>
      <c r="L978" s="53"/>
      <c r="M978" s="53"/>
      <c r="N978" s="53"/>
      <c r="O978" s="53"/>
      <c r="P978" s="53"/>
      <c r="Q978" s="53"/>
      <c r="R978" s="53"/>
      <c r="S978" s="53"/>
      <c r="T978" s="53"/>
      <c r="U978" s="53"/>
    </row>
    <row r="979" spans="1:21" ht="16.8" x14ac:dyDescent="0.65">
      <c r="A979" s="54"/>
      <c r="B979" s="53"/>
      <c r="C979" s="53"/>
      <c r="D979" s="53"/>
      <c r="E979" s="53"/>
      <c r="F979" s="53"/>
      <c r="G979" s="54"/>
      <c r="H979" s="53"/>
      <c r="I979" s="53"/>
      <c r="J979" s="53"/>
      <c r="K979" s="53"/>
      <c r="L979" s="53"/>
      <c r="M979" s="53"/>
      <c r="N979" s="53"/>
      <c r="O979" s="53"/>
      <c r="P979" s="53"/>
      <c r="Q979" s="53"/>
      <c r="R979" s="53"/>
      <c r="S979" s="53"/>
      <c r="T979" s="53"/>
      <c r="U979" s="53"/>
    </row>
    <row r="980" spans="1:21" ht="16.8" x14ac:dyDescent="0.65">
      <c r="A980" s="54"/>
      <c r="B980" s="53"/>
      <c r="C980" s="53"/>
      <c r="D980" s="53"/>
      <c r="E980" s="53"/>
      <c r="F980" s="53"/>
      <c r="G980" s="54"/>
      <c r="H980" s="53"/>
      <c r="I980" s="53"/>
      <c r="J980" s="53"/>
      <c r="K980" s="53"/>
      <c r="L980" s="53"/>
      <c r="M980" s="53"/>
      <c r="N980" s="53"/>
      <c r="O980" s="53"/>
      <c r="P980" s="53"/>
      <c r="Q980" s="53"/>
      <c r="R980" s="53"/>
      <c r="S980" s="53"/>
      <c r="T980" s="53"/>
      <c r="U980" s="53"/>
    </row>
    <row r="981" spans="1:21" ht="16.8" x14ac:dyDescent="0.65">
      <c r="A981" s="54"/>
      <c r="B981" s="53"/>
      <c r="C981" s="53"/>
      <c r="D981" s="53"/>
      <c r="E981" s="53"/>
      <c r="F981" s="53"/>
      <c r="G981" s="54"/>
      <c r="H981" s="53"/>
      <c r="I981" s="53"/>
      <c r="J981" s="53"/>
      <c r="K981" s="53"/>
      <c r="L981" s="53"/>
      <c r="M981" s="53"/>
      <c r="N981" s="53"/>
      <c r="O981" s="53"/>
      <c r="P981" s="53"/>
      <c r="Q981" s="53"/>
      <c r="R981" s="53"/>
      <c r="S981" s="53"/>
      <c r="T981" s="53"/>
      <c r="U981" s="53"/>
    </row>
    <row r="982" spans="1:21" ht="16.8" x14ac:dyDescent="0.65">
      <c r="A982" s="54"/>
      <c r="B982" s="53"/>
      <c r="C982" s="53"/>
      <c r="D982" s="53"/>
      <c r="E982" s="53"/>
      <c r="F982" s="53"/>
      <c r="G982" s="54"/>
      <c r="H982" s="53"/>
      <c r="I982" s="53"/>
      <c r="J982" s="53"/>
      <c r="K982" s="53"/>
      <c r="L982" s="53"/>
      <c r="M982" s="53"/>
      <c r="N982" s="53"/>
      <c r="O982" s="53"/>
      <c r="P982" s="53"/>
      <c r="Q982" s="53"/>
      <c r="R982" s="53"/>
      <c r="S982" s="53"/>
      <c r="T982" s="53"/>
      <c r="U982" s="53"/>
    </row>
    <row r="983" spans="1:21" ht="16.8" x14ac:dyDescent="0.65">
      <c r="A983" s="54"/>
      <c r="B983" s="53"/>
      <c r="C983" s="53"/>
      <c r="D983" s="53"/>
      <c r="E983" s="53"/>
      <c r="F983" s="53"/>
      <c r="G983" s="54"/>
      <c r="H983" s="53"/>
      <c r="I983" s="53"/>
      <c r="J983" s="53"/>
      <c r="K983" s="53"/>
      <c r="L983" s="53"/>
      <c r="M983" s="53"/>
      <c r="N983" s="53"/>
      <c r="O983" s="53"/>
      <c r="P983" s="53"/>
      <c r="Q983" s="53"/>
      <c r="R983" s="53"/>
      <c r="S983" s="53"/>
      <c r="T983" s="53"/>
      <c r="U983" s="53"/>
    </row>
    <row r="984" spans="1:21" ht="16.8" x14ac:dyDescent="0.65">
      <c r="A984" s="54"/>
      <c r="B984" s="53"/>
      <c r="C984" s="53"/>
      <c r="D984" s="53"/>
      <c r="E984" s="53"/>
      <c r="F984" s="53"/>
      <c r="G984" s="54"/>
      <c r="H984" s="53"/>
      <c r="I984" s="53"/>
      <c r="J984" s="53"/>
      <c r="K984" s="53"/>
      <c r="L984" s="53"/>
      <c r="M984" s="53"/>
      <c r="N984" s="53"/>
      <c r="O984" s="53"/>
      <c r="P984" s="53"/>
      <c r="Q984" s="53"/>
      <c r="R984" s="53"/>
      <c r="S984" s="53"/>
      <c r="T984" s="53"/>
      <c r="U984" s="53"/>
    </row>
    <row r="985" spans="1:21" ht="16.8" x14ac:dyDescent="0.65">
      <c r="A985" s="54"/>
      <c r="B985" s="53"/>
      <c r="C985" s="53"/>
      <c r="D985" s="53"/>
      <c r="E985" s="53"/>
      <c r="F985" s="53"/>
      <c r="G985" s="54"/>
      <c r="H985" s="53"/>
      <c r="I985" s="53"/>
      <c r="J985" s="53"/>
      <c r="K985" s="53"/>
      <c r="L985" s="53"/>
      <c r="M985" s="53"/>
      <c r="N985" s="53"/>
      <c r="O985" s="53"/>
      <c r="P985" s="53"/>
      <c r="Q985" s="53"/>
      <c r="R985" s="53"/>
      <c r="S985" s="53"/>
      <c r="T985" s="53"/>
      <c r="U985" s="53"/>
    </row>
    <row r="986" spans="1:21" ht="16.8" x14ac:dyDescent="0.65">
      <c r="A986" s="54"/>
      <c r="B986" s="53"/>
      <c r="C986" s="53"/>
      <c r="D986" s="53"/>
      <c r="E986" s="53"/>
      <c r="F986" s="53"/>
      <c r="G986" s="54"/>
      <c r="H986" s="53"/>
      <c r="I986" s="53"/>
      <c r="J986" s="53"/>
      <c r="K986" s="53"/>
      <c r="L986" s="53"/>
      <c r="M986" s="53"/>
      <c r="N986" s="53"/>
      <c r="O986" s="53"/>
      <c r="P986" s="53"/>
      <c r="Q986" s="53"/>
      <c r="R986" s="53"/>
      <c r="S986" s="53"/>
      <c r="T986" s="53"/>
      <c r="U986" s="53"/>
    </row>
    <row r="987" spans="1:21" ht="16.8" x14ac:dyDescent="0.65">
      <c r="A987" s="54"/>
      <c r="B987" s="53"/>
      <c r="C987" s="53"/>
      <c r="D987" s="53"/>
      <c r="E987" s="53"/>
      <c r="F987" s="53"/>
      <c r="G987" s="54"/>
      <c r="H987" s="53"/>
      <c r="I987" s="53"/>
      <c r="J987" s="53"/>
      <c r="K987" s="53"/>
      <c r="L987" s="53"/>
      <c r="M987" s="53"/>
      <c r="N987" s="53"/>
      <c r="O987" s="53"/>
      <c r="P987" s="53"/>
      <c r="Q987" s="53"/>
      <c r="R987" s="53"/>
      <c r="S987" s="53"/>
      <c r="T987" s="53"/>
      <c r="U987" s="53"/>
    </row>
    <row r="988" spans="1:21" ht="16.8" x14ac:dyDescent="0.65">
      <c r="A988" s="54"/>
      <c r="B988" s="53"/>
      <c r="C988" s="53"/>
      <c r="D988" s="53"/>
      <c r="E988" s="53"/>
      <c r="F988" s="53"/>
      <c r="G988" s="54"/>
      <c r="H988" s="53"/>
      <c r="I988" s="53"/>
      <c r="J988" s="53"/>
      <c r="K988" s="53"/>
      <c r="L988" s="53"/>
      <c r="M988" s="53"/>
      <c r="N988" s="53"/>
      <c r="O988" s="53"/>
      <c r="P988" s="53"/>
      <c r="Q988" s="53"/>
      <c r="R988" s="53"/>
      <c r="S988" s="53"/>
      <c r="T988" s="53"/>
      <c r="U988" s="53"/>
    </row>
    <row r="989" spans="1:21" ht="16.8" x14ac:dyDescent="0.65">
      <c r="A989" s="54"/>
      <c r="B989" s="53"/>
      <c r="C989" s="53"/>
      <c r="D989" s="53"/>
      <c r="E989" s="53"/>
      <c r="F989" s="53"/>
      <c r="G989" s="54"/>
      <c r="H989" s="53"/>
      <c r="I989" s="53"/>
      <c r="J989" s="53"/>
      <c r="K989" s="53"/>
      <c r="L989" s="53"/>
      <c r="M989" s="53"/>
      <c r="N989" s="53"/>
      <c r="O989" s="53"/>
      <c r="P989" s="53"/>
      <c r="Q989" s="53"/>
      <c r="R989" s="53"/>
      <c r="S989" s="53"/>
      <c r="T989" s="53"/>
      <c r="U989" s="53"/>
    </row>
    <row r="990" spans="1:21" ht="16.8" x14ac:dyDescent="0.65">
      <c r="A990" s="54"/>
      <c r="B990" s="53"/>
      <c r="C990" s="53"/>
      <c r="D990" s="53"/>
      <c r="E990" s="53"/>
      <c r="F990" s="53"/>
      <c r="G990" s="54"/>
      <c r="H990" s="53"/>
      <c r="I990" s="53"/>
      <c r="J990" s="53"/>
      <c r="K990" s="53"/>
      <c r="L990" s="53"/>
      <c r="M990" s="53"/>
      <c r="N990" s="53"/>
      <c r="O990" s="53"/>
      <c r="P990" s="53"/>
      <c r="Q990" s="53"/>
      <c r="R990" s="53"/>
      <c r="S990" s="53"/>
      <c r="T990" s="53"/>
      <c r="U990" s="53"/>
    </row>
    <row r="991" spans="1:21" ht="16.8" x14ac:dyDescent="0.65">
      <c r="A991" s="54"/>
      <c r="B991" s="53"/>
      <c r="C991" s="53"/>
      <c r="D991" s="53"/>
      <c r="E991" s="53"/>
      <c r="F991" s="53"/>
      <c r="G991" s="54"/>
      <c r="H991" s="53"/>
      <c r="I991" s="53"/>
      <c r="J991" s="53"/>
      <c r="K991" s="53"/>
      <c r="L991" s="53"/>
      <c r="M991" s="53"/>
      <c r="N991" s="53"/>
      <c r="O991" s="53"/>
      <c r="P991" s="53"/>
      <c r="Q991" s="53"/>
      <c r="R991" s="53"/>
      <c r="S991" s="53"/>
      <c r="T991" s="53"/>
      <c r="U991" s="53"/>
    </row>
    <row r="992" spans="1:21" ht="16.8" x14ac:dyDescent="0.65">
      <c r="A992" s="54"/>
      <c r="B992" s="53"/>
      <c r="C992" s="53"/>
      <c r="D992" s="53"/>
      <c r="E992" s="53"/>
      <c r="F992" s="53"/>
      <c r="G992" s="54"/>
      <c r="H992" s="53"/>
      <c r="I992" s="53"/>
      <c r="J992" s="53"/>
      <c r="K992" s="53"/>
      <c r="L992" s="53"/>
      <c r="M992" s="53"/>
      <c r="N992" s="53"/>
      <c r="O992" s="53"/>
      <c r="P992" s="53"/>
      <c r="Q992" s="53"/>
      <c r="R992" s="53"/>
      <c r="S992" s="53"/>
      <c r="T992" s="53"/>
      <c r="U992" s="53"/>
    </row>
    <row r="993" spans="1:21" ht="16.8" x14ac:dyDescent="0.65">
      <c r="A993" s="54"/>
      <c r="B993" s="53"/>
      <c r="C993" s="53"/>
      <c r="D993" s="53"/>
      <c r="E993" s="53"/>
      <c r="F993" s="53"/>
      <c r="G993" s="54"/>
      <c r="H993" s="53"/>
      <c r="I993" s="53"/>
      <c r="J993" s="53"/>
      <c r="K993" s="53"/>
      <c r="L993" s="53"/>
      <c r="M993" s="53"/>
      <c r="N993" s="53"/>
      <c r="O993" s="53"/>
      <c r="P993" s="53"/>
      <c r="Q993" s="53"/>
      <c r="R993" s="53"/>
      <c r="S993" s="53"/>
      <c r="T993" s="53"/>
      <c r="U993" s="53"/>
    </row>
    <row r="994" spans="1:21" ht="16.8" x14ac:dyDescent="0.65">
      <c r="A994" s="54"/>
      <c r="B994" s="53"/>
      <c r="C994" s="53"/>
      <c r="D994" s="53"/>
      <c r="E994" s="53"/>
      <c r="F994" s="53"/>
      <c r="G994" s="54"/>
      <c r="H994" s="53"/>
      <c r="I994" s="53"/>
      <c r="J994" s="53"/>
      <c r="K994" s="53"/>
      <c r="L994" s="53"/>
      <c r="M994" s="53"/>
      <c r="N994" s="53"/>
      <c r="O994" s="53"/>
      <c r="P994" s="53"/>
      <c r="Q994" s="53"/>
      <c r="R994" s="53"/>
      <c r="S994" s="53"/>
      <c r="T994" s="53"/>
      <c r="U994" s="53"/>
    </row>
    <row r="995" spans="1:21" ht="16.8" x14ac:dyDescent="0.65">
      <c r="A995" s="54"/>
      <c r="B995" s="53"/>
      <c r="C995" s="53"/>
      <c r="D995" s="53"/>
      <c r="E995" s="53"/>
      <c r="F995" s="53"/>
      <c r="G995" s="54"/>
      <c r="H995" s="53"/>
      <c r="I995" s="53"/>
      <c r="J995" s="53"/>
      <c r="K995" s="53"/>
      <c r="L995" s="53"/>
      <c r="M995" s="53"/>
      <c r="N995" s="53"/>
      <c r="O995" s="53"/>
      <c r="P995" s="53"/>
      <c r="Q995" s="53"/>
      <c r="R995" s="53"/>
      <c r="S995" s="53"/>
      <c r="T995" s="53"/>
      <c r="U995" s="53"/>
    </row>
    <row r="996" spans="1:21" ht="16.8" x14ac:dyDescent="0.65">
      <c r="A996" s="54"/>
      <c r="B996" s="53"/>
      <c r="C996" s="53"/>
      <c r="D996" s="53"/>
      <c r="E996" s="53"/>
      <c r="F996" s="53"/>
      <c r="G996" s="54"/>
      <c r="H996" s="53"/>
      <c r="I996" s="53"/>
      <c r="J996" s="53"/>
      <c r="K996" s="53"/>
      <c r="L996" s="53"/>
      <c r="M996" s="53"/>
      <c r="N996" s="53"/>
      <c r="O996" s="53"/>
      <c r="P996" s="53"/>
      <c r="Q996" s="53"/>
      <c r="R996" s="53"/>
      <c r="S996" s="53"/>
      <c r="T996" s="53"/>
      <c r="U996" s="53"/>
    </row>
    <row r="997" spans="1:21" ht="16.8" x14ac:dyDescent="0.65">
      <c r="A997" s="54"/>
      <c r="B997" s="53"/>
      <c r="C997" s="53"/>
      <c r="D997" s="53"/>
      <c r="E997" s="53"/>
      <c r="F997" s="53"/>
      <c r="G997" s="54"/>
      <c r="H997" s="53"/>
      <c r="I997" s="53"/>
      <c r="J997" s="53"/>
      <c r="K997" s="53"/>
      <c r="L997" s="53"/>
      <c r="M997" s="53"/>
      <c r="N997" s="53"/>
      <c r="O997" s="53"/>
      <c r="P997" s="53"/>
      <c r="Q997" s="53"/>
      <c r="R997" s="53"/>
      <c r="S997" s="53"/>
      <c r="T997" s="53"/>
      <c r="U997" s="53"/>
    </row>
    <row r="998" spans="1:21" ht="16.8" x14ac:dyDescent="0.65">
      <c r="A998" s="54"/>
      <c r="B998" s="53"/>
      <c r="C998" s="53"/>
      <c r="D998" s="53"/>
      <c r="E998" s="53"/>
      <c r="F998" s="53"/>
      <c r="G998" s="54"/>
      <c r="H998" s="53"/>
      <c r="I998" s="53"/>
      <c r="J998" s="53"/>
      <c r="K998" s="53"/>
      <c r="L998" s="53"/>
      <c r="M998" s="53"/>
      <c r="N998" s="53"/>
      <c r="O998" s="53"/>
      <c r="P998" s="53"/>
      <c r="Q998" s="53"/>
      <c r="R998" s="53"/>
      <c r="S998" s="53"/>
      <c r="T998" s="53"/>
      <c r="U998" s="53"/>
    </row>
    <row r="999" spans="1:21" ht="16.8" x14ac:dyDescent="0.65">
      <c r="A999" s="54"/>
      <c r="B999" s="53"/>
      <c r="C999" s="53"/>
      <c r="D999" s="53"/>
      <c r="E999" s="53"/>
      <c r="F999" s="53"/>
      <c r="G999" s="54"/>
      <c r="H999" s="53"/>
      <c r="I999" s="53"/>
      <c r="J999" s="53"/>
      <c r="K999" s="53"/>
      <c r="L999" s="53"/>
      <c r="M999" s="53"/>
      <c r="N999" s="53"/>
      <c r="O999" s="53"/>
      <c r="P999" s="53"/>
      <c r="Q999" s="53"/>
      <c r="R999" s="53"/>
      <c r="S999" s="53"/>
      <c r="T999" s="53"/>
      <c r="U999" s="53"/>
    </row>
    <row r="1000" spans="1:21" ht="16.8" x14ac:dyDescent="0.65">
      <c r="A1000" s="54"/>
      <c r="B1000" s="53"/>
      <c r="C1000" s="53"/>
      <c r="D1000" s="53"/>
      <c r="E1000" s="53"/>
      <c r="F1000" s="53"/>
      <c r="G1000" s="54"/>
      <c r="H1000" s="53"/>
      <c r="I1000" s="53"/>
      <c r="J1000" s="53"/>
      <c r="K1000" s="53"/>
      <c r="L1000" s="53"/>
      <c r="M1000" s="53"/>
      <c r="N1000" s="53"/>
      <c r="O1000" s="53"/>
      <c r="P1000" s="53"/>
      <c r="Q1000" s="53"/>
      <c r="R1000" s="53"/>
      <c r="S1000" s="53"/>
      <c r="T1000" s="53"/>
      <c r="U1000" s="53"/>
    </row>
    <row r="1001" spans="1:21" ht="16.8" x14ac:dyDescent="0.65">
      <c r="A1001" s="54"/>
      <c r="B1001" s="53"/>
      <c r="C1001" s="53"/>
      <c r="D1001" s="53"/>
      <c r="E1001" s="53"/>
      <c r="F1001" s="53"/>
      <c r="G1001" s="54"/>
      <c r="H1001" s="53"/>
      <c r="I1001" s="53"/>
      <c r="J1001" s="53"/>
      <c r="K1001" s="53"/>
      <c r="L1001" s="53"/>
      <c r="M1001" s="53"/>
      <c r="N1001" s="53"/>
      <c r="O1001" s="53"/>
      <c r="P1001" s="53"/>
      <c r="Q1001" s="53"/>
      <c r="R1001" s="53"/>
      <c r="S1001" s="53"/>
      <c r="T1001" s="53"/>
      <c r="U1001" s="53"/>
    </row>
    <row r="1002" spans="1:21" ht="16.8" x14ac:dyDescent="0.65">
      <c r="A1002" s="54"/>
      <c r="B1002" s="53"/>
      <c r="C1002" s="53"/>
      <c r="D1002" s="53"/>
      <c r="E1002" s="53"/>
      <c r="F1002" s="53"/>
      <c r="G1002" s="54"/>
      <c r="H1002" s="53"/>
      <c r="I1002" s="53"/>
      <c r="J1002" s="53"/>
      <c r="K1002" s="53"/>
      <c r="L1002" s="53"/>
      <c r="M1002" s="53"/>
      <c r="N1002" s="53"/>
      <c r="O1002" s="53"/>
      <c r="P1002" s="53"/>
      <c r="Q1002" s="53"/>
      <c r="R1002" s="53"/>
      <c r="S1002" s="53"/>
      <c r="T1002" s="53"/>
      <c r="U1002" s="53"/>
    </row>
    <row r="1003" spans="1:21" ht="16.8" x14ac:dyDescent="0.65">
      <c r="A1003" s="54"/>
      <c r="B1003" s="53"/>
      <c r="C1003" s="53"/>
      <c r="D1003" s="53"/>
      <c r="E1003" s="53"/>
      <c r="F1003" s="53"/>
      <c r="G1003" s="54"/>
      <c r="H1003" s="53"/>
      <c r="I1003" s="53"/>
      <c r="J1003" s="53"/>
      <c r="K1003" s="53"/>
      <c r="L1003" s="53"/>
      <c r="M1003" s="53"/>
      <c r="N1003" s="53"/>
      <c r="O1003" s="53"/>
      <c r="P1003" s="53"/>
      <c r="Q1003" s="53"/>
      <c r="R1003" s="53"/>
      <c r="S1003" s="53"/>
      <c r="T1003" s="53"/>
      <c r="U1003" s="53"/>
    </row>
    <row r="1004" spans="1:21" ht="16.8" x14ac:dyDescent="0.65">
      <c r="A1004" s="54"/>
      <c r="B1004" s="53"/>
      <c r="C1004" s="53"/>
      <c r="D1004" s="53"/>
      <c r="E1004" s="53"/>
      <c r="F1004" s="53"/>
      <c r="G1004" s="54"/>
      <c r="H1004" s="53"/>
      <c r="I1004" s="53"/>
      <c r="J1004" s="53"/>
      <c r="K1004" s="53"/>
      <c r="L1004" s="53"/>
      <c r="M1004" s="53"/>
      <c r="N1004" s="53"/>
      <c r="O1004" s="53"/>
      <c r="P1004" s="53"/>
      <c r="Q1004" s="53"/>
      <c r="R1004" s="53"/>
      <c r="S1004" s="53"/>
      <c r="T1004" s="53"/>
      <c r="U1004" s="53"/>
    </row>
    <row r="1005" spans="1:21" ht="16.8" x14ac:dyDescent="0.65">
      <c r="A1005" s="54"/>
      <c r="B1005" s="53"/>
      <c r="C1005" s="53"/>
      <c r="D1005" s="53"/>
      <c r="E1005" s="53"/>
      <c r="F1005" s="53"/>
      <c r="G1005" s="54"/>
      <c r="H1005" s="53"/>
      <c r="I1005" s="53"/>
      <c r="J1005" s="53"/>
      <c r="K1005" s="53"/>
      <c r="L1005" s="53"/>
      <c r="M1005" s="53"/>
      <c r="N1005" s="53"/>
      <c r="O1005" s="53"/>
      <c r="P1005" s="53"/>
      <c r="Q1005" s="53"/>
      <c r="R1005" s="53"/>
      <c r="S1005" s="53"/>
      <c r="T1005" s="53"/>
      <c r="U1005" s="53"/>
    </row>
    <row r="1006" spans="1:21" ht="16.8" x14ac:dyDescent="0.65">
      <c r="A1006" s="54"/>
      <c r="B1006" s="53"/>
      <c r="C1006" s="53"/>
      <c r="D1006" s="53"/>
      <c r="E1006" s="53"/>
      <c r="F1006" s="53"/>
      <c r="G1006" s="54"/>
      <c r="H1006" s="53"/>
      <c r="I1006" s="53"/>
      <c r="J1006" s="53"/>
      <c r="K1006" s="53"/>
      <c r="L1006" s="53"/>
      <c r="M1006" s="53"/>
      <c r="N1006" s="53"/>
      <c r="O1006" s="53"/>
      <c r="P1006" s="53"/>
      <c r="Q1006" s="53"/>
      <c r="R1006" s="53"/>
      <c r="S1006" s="53"/>
      <c r="T1006" s="53"/>
      <c r="U1006" s="53"/>
    </row>
    <row r="1007" spans="1:21" ht="16.8" x14ac:dyDescent="0.65">
      <c r="A1007" s="54"/>
      <c r="B1007" s="53"/>
      <c r="C1007" s="53"/>
      <c r="D1007" s="53"/>
      <c r="E1007" s="53"/>
      <c r="F1007" s="53"/>
      <c r="G1007" s="54"/>
      <c r="H1007" s="53"/>
      <c r="I1007" s="53"/>
      <c r="J1007" s="53"/>
      <c r="K1007" s="53"/>
      <c r="L1007" s="53"/>
      <c r="M1007" s="53"/>
      <c r="N1007" s="53"/>
      <c r="O1007" s="53"/>
      <c r="P1007" s="53"/>
      <c r="Q1007" s="53"/>
      <c r="R1007" s="53"/>
      <c r="S1007" s="53"/>
      <c r="T1007" s="53"/>
      <c r="U1007" s="53"/>
    </row>
    <row r="1008" spans="1:21" ht="16.8" x14ac:dyDescent="0.65">
      <c r="A1008" s="54"/>
      <c r="B1008" s="53"/>
      <c r="C1008" s="53"/>
      <c r="D1008" s="53"/>
      <c r="E1008" s="53"/>
      <c r="F1008" s="53"/>
      <c r="G1008" s="54"/>
      <c r="H1008" s="53"/>
      <c r="I1008" s="53"/>
      <c r="J1008" s="53"/>
      <c r="K1008" s="53"/>
      <c r="L1008" s="53"/>
      <c r="M1008" s="53"/>
      <c r="N1008" s="53"/>
      <c r="O1008" s="53"/>
      <c r="P1008" s="53"/>
      <c r="Q1008" s="53"/>
      <c r="R1008" s="53"/>
      <c r="S1008" s="53"/>
      <c r="T1008" s="53"/>
      <c r="U1008" s="53"/>
    </row>
    <row r="1009" spans="1:21" ht="16.8" x14ac:dyDescent="0.65">
      <c r="A1009" s="54"/>
      <c r="B1009" s="53"/>
      <c r="C1009" s="53"/>
      <c r="D1009" s="53"/>
      <c r="E1009" s="53"/>
      <c r="F1009" s="53"/>
      <c r="G1009" s="54"/>
      <c r="H1009" s="53"/>
      <c r="I1009" s="53"/>
      <c r="J1009" s="53"/>
      <c r="K1009" s="53"/>
      <c r="L1009" s="53"/>
      <c r="M1009" s="53"/>
      <c r="N1009" s="53"/>
      <c r="O1009" s="53"/>
      <c r="P1009" s="53"/>
      <c r="Q1009" s="53"/>
      <c r="R1009" s="53"/>
      <c r="S1009" s="53"/>
      <c r="T1009" s="53"/>
      <c r="U1009" s="53"/>
    </row>
    <row r="1010" spans="1:21" ht="16.8" x14ac:dyDescent="0.65">
      <c r="A1010" s="54"/>
      <c r="B1010" s="53"/>
      <c r="C1010" s="53"/>
      <c r="D1010" s="53"/>
      <c r="E1010" s="53"/>
      <c r="F1010" s="53"/>
      <c r="G1010" s="54"/>
      <c r="H1010" s="53"/>
      <c r="I1010" s="53"/>
      <c r="J1010" s="53"/>
      <c r="K1010" s="53"/>
      <c r="L1010" s="53"/>
      <c r="M1010" s="53"/>
      <c r="N1010" s="53"/>
      <c r="O1010" s="53"/>
      <c r="P1010" s="53"/>
      <c r="Q1010" s="53"/>
      <c r="R1010" s="53"/>
      <c r="S1010" s="53"/>
      <c r="T1010" s="53"/>
      <c r="U1010" s="53"/>
    </row>
    <row r="1011" spans="1:21" ht="16.8" x14ac:dyDescent="0.65">
      <c r="A1011" s="54"/>
      <c r="B1011" s="53"/>
      <c r="C1011" s="53"/>
      <c r="D1011" s="53"/>
      <c r="E1011" s="53"/>
      <c r="F1011" s="53"/>
      <c r="G1011" s="54"/>
      <c r="H1011" s="53"/>
      <c r="I1011" s="53"/>
      <c r="J1011" s="53"/>
      <c r="K1011" s="53"/>
      <c r="L1011" s="53"/>
      <c r="M1011" s="53"/>
      <c r="N1011" s="53"/>
      <c r="O1011" s="53"/>
      <c r="P1011" s="53"/>
      <c r="Q1011" s="53"/>
      <c r="R1011" s="53"/>
      <c r="S1011" s="53"/>
      <c r="T1011" s="53"/>
      <c r="U1011" s="53"/>
    </row>
    <row r="1012" spans="1:21" ht="16.8" x14ac:dyDescent="0.65">
      <c r="A1012" s="54"/>
      <c r="B1012" s="53"/>
      <c r="C1012" s="53"/>
      <c r="D1012" s="53"/>
      <c r="E1012" s="53"/>
      <c r="F1012" s="53"/>
      <c r="G1012" s="54"/>
      <c r="H1012" s="53"/>
      <c r="I1012" s="53"/>
      <c r="J1012" s="53"/>
      <c r="K1012" s="53"/>
      <c r="L1012" s="53"/>
      <c r="M1012" s="53"/>
      <c r="N1012" s="53"/>
      <c r="O1012" s="53"/>
      <c r="P1012" s="53"/>
      <c r="Q1012" s="53"/>
      <c r="R1012" s="53"/>
      <c r="S1012" s="53"/>
      <c r="T1012" s="53"/>
      <c r="U1012" s="53"/>
    </row>
    <row r="1013" spans="1:21" ht="16.8" x14ac:dyDescent="0.65">
      <c r="A1013" s="54"/>
      <c r="B1013" s="53"/>
      <c r="C1013" s="53"/>
      <c r="D1013" s="53"/>
      <c r="E1013" s="53"/>
      <c r="F1013" s="53"/>
      <c r="G1013" s="54"/>
      <c r="H1013" s="53"/>
      <c r="I1013" s="53"/>
      <c r="J1013" s="53"/>
      <c r="K1013" s="53"/>
      <c r="L1013" s="53"/>
      <c r="M1013" s="53"/>
      <c r="N1013" s="53"/>
      <c r="O1013" s="53"/>
      <c r="P1013" s="53"/>
      <c r="Q1013" s="53"/>
      <c r="R1013" s="53"/>
      <c r="S1013" s="53"/>
      <c r="T1013" s="53"/>
      <c r="U1013" s="53"/>
    </row>
    <row r="1014" spans="1:21" ht="16.8" x14ac:dyDescent="0.65">
      <c r="A1014" s="54"/>
      <c r="B1014" s="53"/>
      <c r="C1014" s="53"/>
      <c r="D1014" s="53"/>
      <c r="E1014" s="53"/>
      <c r="F1014" s="53"/>
      <c r="G1014" s="54"/>
      <c r="H1014" s="53"/>
      <c r="I1014" s="53"/>
      <c r="J1014" s="53"/>
      <c r="K1014" s="53"/>
      <c r="L1014" s="53"/>
      <c r="M1014" s="53"/>
      <c r="N1014" s="53"/>
      <c r="O1014" s="53"/>
      <c r="P1014" s="53"/>
      <c r="Q1014" s="53"/>
      <c r="R1014" s="53"/>
      <c r="S1014" s="53"/>
      <c r="T1014" s="53"/>
      <c r="U1014" s="53"/>
    </row>
    <row r="1015" spans="1:21" ht="16.8" x14ac:dyDescent="0.65">
      <c r="A1015" s="54"/>
      <c r="B1015" s="53"/>
      <c r="C1015" s="53"/>
      <c r="D1015" s="53"/>
      <c r="E1015" s="53"/>
      <c r="F1015" s="53"/>
      <c r="G1015" s="54"/>
      <c r="H1015" s="53"/>
      <c r="I1015" s="53"/>
      <c r="J1015" s="53"/>
      <c r="K1015" s="53"/>
      <c r="L1015" s="53"/>
      <c r="M1015" s="53"/>
      <c r="N1015" s="53"/>
      <c r="O1015" s="53"/>
      <c r="P1015" s="53"/>
      <c r="Q1015" s="53"/>
      <c r="R1015" s="53"/>
      <c r="S1015" s="53"/>
      <c r="T1015" s="53"/>
      <c r="U1015" s="53"/>
    </row>
    <row r="1016" spans="1:21" ht="16.8" x14ac:dyDescent="0.65">
      <c r="A1016" s="54"/>
      <c r="B1016" s="53"/>
      <c r="C1016" s="53"/>
      <c r="D1016" s="53"/>
      <c r="E1016" s="53"/>
      <c r="F1016" s="53"/>
      <c r="G1016" s="54"/>
      <c r="H1016" s="53"/>
      <c r="I1016" s="53"/>
      <c r="J1016" s="53"/>
      <c r="K1016" s="53"/>
      <c r="L1016" s="53"/>
      <c r="M1016" s="53"/>
      <c r="N1016" s="53"/>
      <c r="O1016" s="53"/>
      <c r="P1016" s="53"/>
      <c r="Q1016" s="53"/>
      <c r="R1016" s="53"/>
      <c r="S1016" s="53"/>
      <c r="T1016" s="53"/>
      <c r="U1016" s="53"/>
    </row>
    <row r="1017" spans="1:21" ht="16.8" x14ac:dyDescent="0.65">
      <c r="A1017" s="54"/>
      <c r="B1017" s="53"/>
      <c r="C1017" s="53"/>
      <c r="D1017" s="53"/>
      <c r="E1017" s="53"/>
      <c r="F1017" s="53"/>
      <c r="G1017" s="54"/>
      <c r="H1017" s="53"/>
      <c r="I1017" s="53"/>
      <c r="J1017" s="53"/>
      <c r="K1017" s="53"/>
      <c r="L1017" s="53"/>
      <c r="M1017" s="53"/>
      <c r="N1017" s="53"/>
      <c r="O1017" s="53"/>
      <c r="P1017" s="53"/>
      <c r="Q1017" s="53"/>
      <c r="R1017" s="53"/>
      <c r="S1017" s="53"/>
      <c r="T1017" s="53"/>
      <c r="U1017" s="53"/>
    </row>
    <row r="1018" spans="1:21" ht="16.8" x14ac:dyDescent="0.65">
      <c r="A1018" s="54"/>
      <c r="B1018" s="53"/>
      <c r="C1018" s="53"/>
      <c r="D1018" s="53"/>
      <c r="E1018" s="53"/>
      <c r="F1018" s="53"/>
      <c r="G1018" s="54"/>
      <c r="H1018" s="53"/>
      <c r="I1018" s="53"/>
      <c r="J1018" s="53"/>
      <c r="K1018" s="53"/>
      <c r="L1018" s="53"/>
      <c r="M1018" s="53"/>
      <c r="N1018" s="53"/>
      <c r="O1018" s="53"/>
      <c r="P1018" s="53"/>
      <c r="Q1018" s="53"/>
      <c r="R1018" s="53"/>
      <c r="S1018" s="53"/>
      <c r="T1018" s="53"/>
      <c r="U1018" s="53"/>
    </row>
    <row r="1019" spans="1:21" ht="16.8" x14ac:dyDescent="0.65">
      <c r="A1019" s="54"/>
      <c r="B1019" s="53"/>
      <c r="C1019" s="53"/>
      <c r="D1019" s="53"/>
      <c r="E1019" s="53"/>
      <c r="F1019" s="53"/>
      <c r="G1019" s="54"/>
      <c r="H1019" s="53"/>
      <c r="I1019" s="53"/>
      <c r="J1019" s="53"/>
      <c r="K1019" s="53"/>
      <c r="L1019" s="53"/>
      <c r="M1019" s="53"/>
      <c r="N1019" s="53"/>
      <c r="O1019" s="53"/>
      <c r="P1019" s="53"/>
      <c r="Q1019" s="53"/>
      <c r="R1019" s="53"/>
      <c r="S1019" s="53"/>
      <c r="T1019" s="53"/>
      <c r="U1019" s="53"/>
    </row>
    <row r="1020" spans="1:21" ht="16.8" x14ac:dyDescent="0.65">
      <c r="A1020" s="54"/>
      <c r="B1020" s="53"/>
      <c r="C1020" s="53"/>
      <c r="D1020" s="53"/>
      <c r="E1020" s="53"/>
      <c r="F1020" s="53"/>
      <c r="G1020" s="54"/>
      <c r="H1020" s="53"/>
      <c r="I1020" s="53"/>
      <c r="J1020" s="53"/>
      <c r="K1020" s="53"/>
      <c r="L1020" s="53"/>
      <c r="M1020" s="53"/>
      <c r="N1020" s="53"/>
      <c r="O1020" s="53"/>
      <c r="P1020" s="53"/>
      <c r="Q1020" s="53"/>
      <c r="R1020" s="53"/>
      <c r="S1020" s="53"/>
      <c r="T1020" s="53"/>
      <c r="U1020" s="53"/>
    </row>
    <row r="1021" spans="1:21" ht="16.8" x14ac:dyDescent="0.65">
      <c r="A1021" s="54"/>
      <c r="B1021" s="53"/>
      <c r="C1021" s="53"/>
      <c r="D1021" s="53"/>
      <c r="E1021" s="53"/>
      <c r="F1021" s="53"/>
      <c r="G1021" s="54"/>
      <c r="H1021" s="53"/>
      <c r="I1021" s="53"/>
      <c r="J1021" s="53"/>
      <c r="K1021" s="53"/>
      <c r="L1021" s="53"/>
      <c r="M1021" s="53"/>
      <c r="N1021" s="53"/>
      <c r="O1021" s="53"/>
      <c r="P1021" s="53"/>
      <c r="Q1021" s="53"/>
      <c r="R1021" s="53"/>
      <c r="S1021" s="53"/>
      <c r="T1021" s="53"/>
      <c r="U1021" s="53"/>
    </row>
    <row r="1022" spans="1:21" ht="16.8" x14ac:dyDescent="0.65">
      <c r="A1022" s="54"/>
      <c r="B1022" s="53"/>
      <c r="C1022" s="53"/>
      <c r="D1022" s="53"/>
      <c r="E1022" s="53"/>
      <c r="F1022" s="53"/>
      <c r="G1022" s="54"/>
      <c r="H1022" s="53"/>
      <c r="I1022" s="53"/>
      <c r="J1022" s="53"/>
      <c r="K1022" s="53"/>
      <c r="L1022" s="53"/>
      <c r="M1022" s="53"/>
      <c r="N1022" s="53"/>
      <c r="O1022" s="53"/>
      <c r="P1022" s="53"/>
      <c r="Q1022" s="53"/>
      <c r="R1022" s="53"/>
      <c r="S1022" s="53"/>
      <c r="T1022" s="53"/>
      <c r="U1022" s="53"/>
    </row>
    <row r="1023" spans="1:21" ht="16.8" x14ac:dyDescent="0.65">
      <c r="A1023" s="54"/>
      <c r="B1023" s="53"/>
      <c r="C1023" s="53"/>
      <c r="D1023" s="53"/>
      <c r="E1023" s="53"/>
      <c r="F1023" s="53"/>
      <c r="G1023" s="54"/>
      <c r="H1023" s="53"/>
      <c r="I1023" s="53"/>
      <c r="J1023" s="53"/>
      <c r="K1023" s="53"/>
      <c r="L1023" s="53"/>
      <c r="M1023" s="53"/>
      <c r="N1023" s="53"/>
      <c r="O1023" s="53"/>
      <c r="P1023" s="53"/>
      <c r="Q1023" s="53"/>
      <c r="R1023" s="53"/>
      <c r="S1023" s="53"/>
      <c r="T1023" s="53"/>
      <c r="U1023" s="53"/>
    </row>
    <row r="1024" spans="1:21" ht="16.8" x14ac:dyDescent="0.65">
      <c r="A1024" s="54"/>
      <c r="B1024" s="53"/>
      <c r="C1024" s="53"/>
      <c r="D1024" s="53"/>
      <c r="E1024" s="53"/>
      <c r="F1024" s="53"/>
      <c r="G1024" s="54"/>
      <c r="H1024" s="53"/>
      <c r="I1024" s="53"/>
      <c r="J1024" s="53"/>
      <c r="K1024" s="53"/>
      <c r="L1024" s="53"/>
      <c r="M1024" s="53"/>
      <c r="N1024" s="53"/>
      <c r="O1024" s="53"/>
      <c r="P1024" s="53"/>
      <c r="Q1024" s="53"/>
      <c r="R1024" s="53"/>
      <c r="S1024" s="53"/>
      <c r="T1024" s="53"/>
      <c r="U1024" s="53"/>
    </row>
    <row r="1025" spans="1:21" ht="16.8" x14ac:dyDescent="0.65">
      <c r="A1025" s="54"/>
      <c r="B1025" s="53"/>
      <c r="C1025" s="53"/>
      <c r="D1025" s="53"/>
      <c r="E1025" s="53"/>
      <c r="F1025" s="53"/>
      <c r="G1025" s="54"/>
      <c r="H1025" s="53"/>
      <c r="I1025" s="53"/>
      <c r="J1025" s="53"/>
      <c r="K1025" s="53"/>
      <c r="L1025" s="53"/>
      <c r="M1025" s="53"/>
      <c r="N1025" s="53"/>
      <c r="O1025" s="53"/>
      <c r="P1025" s="53"/>
      <c r="Q1025" s="53"/>
      <c r="R1025" s="53"/>
      <c r="S1025" s="53"/>
      <c r="T1025" s="53"/>
      <c r="U1025" s="53"/>
    </row>
    <row r="1026" spans="1:21" ht="16.8" x14ac:dyDescent="0.65">
      <c r="A1026" s="54"/>
      <c r="B1026" s="53"/>
      <c r="C1026" s="53"/>
      <c r="D1026" s="53"/>
      <c r="E1026" s="53"/>
      <c r="F1026" s="53"/>
      <c r="G1026" s="54"/>
      <c r="H1026" s="53"/>
      <c r="I1026" s="53"/>
      <c r="J1026" s="53"/>
      <c r="K1026" s="53"/>
      <c r="L1026" s="53"/>
      <c r="M1026" s="53"/>
      <c r="N1026" s="53"/>
      <c r="O1026" s="53"/>
      <c r="P1026" s="53"/>
      <c r="Q1026" s="53"/>
      <c r="R1026" s="53"/>
      <c r="S1026" s="53"/>
      <c r="T1026" s="53"/>
      <c r="U1026" s="53"/>
    </row>
    <row r="1027" spans="1:21" ht="16.8" x14ac:dyDescent="0.65">
      <c r="A1027" s="54"/>
      <c r="B1027" s="53"/>
      <c r="C1027" s="53"/>
      <c r="D1027" s="53"/>
      <c r="E1027" s="53"/>
      <c r="F1027" s="53"/>
      <c r="G1027" s="54"/>
      <c r="H1027" s="53"/>
      <c r="I1027" s="53"/>
      <c r="J1027" s="53"/>
      <c r="K1027" s="53"/>
      <c r="L1027" s="53"/>
      <c r="M1027" s="53"/>
      <c r="N1027" s="53"/>
      <c r="O1027" s="53"/>
      <c r="P1027" s="53"/>
      <c r="Q1027" s="53"/>
      <c r="R1027" s="53"/>
      <c r="S1027" s="53"/>
      <c r="T1027" s="53"/>
      <c r="U1027" s="53"/>
    </row>
    <row r="1028" spans="1:21" ht="16.8" x14ac:dyDescent="0.65">
      <c r="A1028" s="54"/>
      <c r="B1028" s="53"/>
      <c r="C1028" s="53"/>
      <c r="D1028" s="53"/>
      <c r="E1028" s="53"/>
      <c r="F1028" s="53"/>
      <c r="G1028" s="54"/>
      <c r="H1028" s="53"/>
      <c r="I1028" s="53"/>
      <c r="J1028" s="53"/>
      <c r="K1028" s="53"/>
      <c r="L1028" s="53"/>
      <c r="M1028" s="53"/>
      <c r="N1028" s="53"/>
      <c r="O1028" s="53"/>
      <c r="P1028" s="53"/>
      <c r="Q1028" s="53"/>
      <c r="R1028" s="53"/>
      <c r="S1028" s="53"/>
      <c r="T1028" s="53"/>
      <c r="U1028" s="53"/>
    </row>
    <row r="1029" spans="1:21" ht="16.8" x14ac:dyDescent="0.65">
      <c r="A1029" s="54"/>
      <c r="B1029" s="53"/>
      <c r="C1029" s="53"/>
      <c r="D1029" s="53"/>
      <c r="E1029" s="53"/>
      <c r="F1029" s="53"/>
      <c r="G1029" s="54"/>
      <c r="H1029" s="53"/>
      <c r="I1029" s="53"/>
      <c r="J1029" s="53"/>
      <c r="K1029" s="53"/>
      <c r="L1029" s="53"/>
      <c r="M1029" s="53"/>
      <c r="N1029" s="53"/>
      <c r="O1029" s="53"/>
      <c r="P1029" s="53"/>
      <c r="Q1029" s="53"/>
      <c r="R1029" s="53"/>
      <c r="S1029" s="53"/>
      <c r="T1029" s="53"/>
      <c r="U1029" s="53"/>
    </row>
    <row r="1030" spans="1:21" ht="16.8" x14ac:dyDescent="0.65">
      <c r="A1030" s="54"/>
      <c r="B1030" s="53"/>
      <c r="C1030" s="53"/>
      <c r="D1030" s="53"/>
      <c r="E1030" s="53"/>
      <c r="F1030" s="53"/>
      <c r="G1030" s="54"/>
      <c r="H1030" s="53"/>
      <c r="I1030" s="53"/>
      <c r="J1030" s="53"/>
      <c r="K1030" s="53"/>
      <c r="L1030" s="53"/>
      <c r="M1030" s="53"/>
      <c r="N1030" s="53"/>
      <c r="O1030" s="53"/>
      <c r="P1030" s="53"/>
      <c r="Q1030" s="53"/>
      <c r="R1030" s="53"/>
      <c r="S1030" s="53"/>
      <c r="T1030" s="53"/>
      <c r="U1030" s="53"/>
    </row>
    <row r="1031" spans="1:21" ht="16.8" x14ac:dyDescent="0.65">
      <c r="A1031" s="54"/>
      <c r="B1031" s="53"/>
      <c r="C1031" s="53"/>
      <c r="D1031" s="53"/>
      <c r="E1031" s="53"/>
      <c r="F1031" s="53"/>
      <c r="G1031" s="54"/>
      <c r="H1031" s="53"/>
      <c r="I1031" s="53"/>
      <c r="J1031" s="53"/>
      <c r="K1031" s="53"/>
      <c r="L1031" s="53"/>
      <c r="M1031" s="53"/>
      <c r="N1031" s="53"/>
      <c r="O1031" s="53"/>
      <c r="P1031" s="53"/>
      <c r="Q1031" s="53"/>
      <c r="R1031" s="53"/>
      <c r="S1031" s="53"/>
      <c r="T1031" s="53"/>
      <c r="U1031" s="53"/>
    </row>
    <row r="1032" spans="1:21" ht="16.8" x14ac:dyDescent="0.65">
      <c r="A1032" s="54"/>
      <c r="B1032" s="53"/>
      <c r="C1032" s="53"/>
      <c r="D1032" s="53"/>
      <c r="E1032" s="53"/>
      <c r="F1032" s="53"/>
      <c r="G1032" s="54"/>
      <c r="H1032" s="53"/>
      <c r="I1032" s="53"/>
      <c r="J1032" s="53"/>
      <c r="K1032" s="53"/>
      <c r="L1032" s="53"/>
      <c r="M1032" s="53"/>
      <c r="N1032" s="53"/>
      <c r="O1032" s="53"/>
      <c r="P1032" s="53"/>
      <c r="Q1032" s="53"/>
      <c r="R1032" s="53"/>
      <c r="S1032" s="53"/>
      <c r="T1032" s="53"/>
      <c r="U1032" s="53"/>
    </row>
  </sheetData>
  <mergeCells count="32">
    <mergeCell ref="A1:C1"/>
    <mergeCell ref="A2:J2"/>
    <mergeCell ref="A3:F3"/>
    <mergeCell ref="I5:I6"/>
    <mergeCell ref="A12:J12"/>
    <mergeCell ref="I13:I20"/>
    <mergeCell ref="J21:J28"/>
    <mergeCell ref="J47:J51"/>
    <mergeCell ref="J55:J57"/>
    <mergeCell ref="J60:J71"/>
    <mergeCell ref="I22:I28"/>
    <mergeCell ref="A30:J30"/>
    <mergeCell ref="J31:J34"/>
    <mergeCell ref="A36:J36"/>
    <mergeCell ref="I43:I46"/>
    <mergeCell ref="I48:I51"/>
    <mergeCell ref="A54:J54"/>
    <mergeCell ref="A59:J59"/>
    <mergeCell ref="A73:J73"/>
    <mergeCell ref="I74:I75"/>
    <mergeCell ref="J74:J75"/>
    <mergeCell ref="A77:J77"/>
    <mergeCell ref="G78:I78"/>
    <mergeCell ref="A110:F110"/>
    <mergeCell ref="A111:F111"/>
    <mergeCell ref="A122:F122"/>
    <mergeCell ref="A123:F123"/>
    <mergeCell ref="J79:J86"/>
    <mergeCell ref="G79:I86"/>
    <mergeCell ref="A108:F108"/>
    <mergeCell ref="A109:F109"/>
    <mergeCell ref="A105:H10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AS912"/>
  <sheetViews>
    <sheetView zoomScale="57" workbookViewId="0"/>
  </sheetViews>
  <sheetFormatPr defaultColWidth="14.41796875" defaultRowHeight="15" customHeight="1" x14ac:dyDescent="0.55000000000000004"/>
  <cols>
    <col min="1" max="1" width="46.47265625" style="1" bestFit="1" customWidth="1"/>
    <col min="2" max="2" width="12.89453125" style="1" bestFit="1" customWidth="1"/>
    <col min="3" max="3" width="12.7890625" style="1" bestFit="1" customWidth="1"/>
    <col min="4" max="4" width="20.3671875" style="1" bestFit="1" customWidth="1"/>
    <col min="5" max="5" width="14.734375" style="1" bestFit="1" customWidth="1"/>
    <col min="6" max="6" width="18.41796875" style="1" bestFit="1" customWidth="1"/>
    <col min="7" max="7" width="14.41796875" style="1"/>
    <col min="8" max="8" width="16.7890625" style="1" bestFit="1" customWidth="1"/>
    <col min="9" max="9" width="12.89453125" style="1" bestFit="1" customWidth="1"/>
    <col min="10" max="10" width="12.7890625" style="1" bestFit="1" customWidth="1"/>
    <col min="11" max="11" width="20.3671875" style="1" bestFit="1" customWidth="1"/>
    <col min="12" max="12" width="14.734375" style="1" bestFit="1" customWidth="1"/>
    <col min="13" max="13" width="18.41796875" style="1" bestFit="1" customWidth="1"/>
    <col min="14" max="14" width="14.41796875" style="1"/>
    <col min="15" max="15" width="16.7890625" style="1" bestFit="1" customWidth="1"/>
    <col min="16" max="16" width="12.89453125" style="1" bestFit="1" customWidth="1"/>
    <col min="17" max="17" width="12.7890625" style="1" bestFit="1" customWidth="1"/>
    <col min="18" max="18" width="20.3671875" style="1" bestFit="1" customWidth="1"/>
    <col min="19" max="19" width="14.734375" style="1" bestFit="1" customWidth="1"/>
    <col min="20" max="20" width="18.41796875" style="1" bestFit="1" customWidth="1"/>
    <col min="21" max="21" width="14.41796875" style="1"/>
    <col min="22" max="22" width="16.7890625" style="1" bestFit="1" customWidth="1"/>
    <col min="23" max="23" width="12.89453125" style="1" bestFit="1" customWidth="1"/>
    <col min="24" max="24" width="12.7890625" style="1" bestFit="1" customWidth="1"/>
    <col min="25" max="25" width="20.3671875" style="1" bestFit="1" customWidth="1"/>
    <col min="26" max="26" width="14.734375" style="1" bestFit="1" customWidth="1"/>
    <col min="27" max="27" width="18.41796875" style="1" bestFit="1" customWidth="1"/>
    <col min="28" max="28" width="14.41796875" style="1"/>
    <col min="29" max="29" width="16.7890625" style="1" bestFit="1" customWidth="1"/>
    <col min="30" max="30" width="12.89453125" style="1" bestFit="1" customWidth="1"/>
    <col min="31" max="31" width="12.7890625" style="1" bestFit="1" customWidth="1"/>
    <col min="32" max="32" width="20.3671875" style="1" bestFit="1" customWidth="1"/>
    <col min="33" max="33" width="14.734375" style="1" bestFit="1" customWidth="1"/>
    <col min="34" max="34" width="18.41796875" style="1" bestFit="1" customWidth="1"/>
    <col min="35" max="35" width="12.26171875" style="1" customWidth="1"/>
    <col min="36" max="37" width="33.9453125" style="1" bestFit="1" customWidth="1"/>
    <col min="38" max="38" width="11.9453125" style="1" bestFit="1" customWidth="1"/>
    <col min="39" max="39" width="34.83984375" style="1" customWidth="1"/>
    <col min="40" max="40" width="16.7890625" style="1" bestFit="1" customWidth="1"/>
    <col min="41" max="41" width="12.89453125" style="1" bestFit="1" customWidth="1"/>
    <col min="42" max="42" width="12.7890625" style="1" bestFit="1" customWidth="1"/>
    <col min="43" max="43" width="20.3671875" style="1" bestFit="1" customWidth="1"/>
    <col min="44" max="44" width="14.734375" style="1" bestFit="1" customWidth="1"/>
    <col min="45" max="45" width="18.41796875" style="1" bestFit="1" customWidth="1"/>
    <col min="46" max="16384" width="14.41796875" style="1"/>
  </cols>
  <sheetData>
    <row r="2" spans="1:45" x14ac:dyDescent="0.55000000000000004">
      <c r="A2" s="87" t="s">
        <v>396</v>
      </c>
      <c r="B2" s="87" t="s">
        <v>397</v>
      </c>
      <c r="C2" s="87" t="s">
        <v>398</v>
      </c>
      <c r="D2" s="87" t="s">
        <v>399</v>
      </c>
      <c r="E2" s="87" t="s">
        <v>400</v>
      </c>
      <c r="F2" s="87" t="s">
        <v>401</v>
      </c>
      <c r="H2" s="87" t="s">
        <v>396</v>
      </c>
      <c r="I2" s="87" t="s">
        <v>397</v>
      </c>
      <c r="J2" s="87" t="s">
        <v>398</v>
      </c>
      <c r="K2" s="87" t="s">
        <v>399</v>
      </c>
      <c r="L2" s="87" t="s">
        <v>400</v>
      </c>
      <c r="M2" s="87" t="s">
        <v>401</v>
      </c>
      <c r="O2" s="87" t="s">
        <v>396</v>
      </c>
      <c r="P2" s="87" t="s">
        <v>397</v>
      </c>
      <c r="Q2" s="87" t="s">
        <v>398</v>
      </c>
      <c r="R2" s="87" t="s">
        <v>399</v>
      </c>
      <c r="S2" s="87" t="s">
        <v>400</v>
      </c>
      <c r="T2" s="87" t="s">
        <v>401</v>
      </c>
      <c r="V2" s="87" t="s">
        <v>396</v>
      </c>
      <c r="W2" s="87" t="s">
        <v>397</v>
      </c>
      <c r="X2" s="87" t="s">
        <v>398</v>
      </c>
      <c r="Y2" s="87" t="s">
        <v>399</v>
      </c>
      <c r="Z2" s="87" t="s">
        <v>400</v>
      </c>
      <c r="AA2" s="87" t="s">
        <v>401</v>
      </c>
      <c r="AB2" s="88"/>
      <c r="AC2" s="87" t="s">
        <v>396</v>
      </c>
      <c r="AD2" s="87" t="s">
        <v>397</v>
      </c>
      <c r="AE2" s="87" t="s">
        <v>398</v>
      </c>
      <c r="AF2" s="87" t="s">
        <v>399</v>
      </c>
      <c r="AG2" s="87" t="s">
        <v>400</v>
      </c>
      <c r="AH2" s="87" t="s">
        <v>401</v>
      </c>
      <c r="AI2" s="88"/>
      <c r="AJ2" s="88" t="s">
        <v>402</v>
      </c>
      <c r="AK2" s="88" t="s">
        <v>402</v>
      </c>
      <c r="AL2" s="88"/>
      <c r="AM2" s="88"/>
      <c r="AN2" s="87" t="s">
        <v>396</v>
      </c>
      <c r="AO2" s="87" t="s">
        <v>397</v>
      </c>
      <c r="AP2" s="87" t="s">
        <v>398</v>
      </c>
      <c r="AQ2" s="87" t="s">
        <v>399</v>
      </c>
      <c r="AR2" s="87" t="s">
        <v>400</v>
      </c>
      <c r="AS2" s="87" t="s">
        <v>401</v>
      </c>
    </row>
    <row r="3" spans="1:45" x14ac:dyDescent="0.55000000000000004">
      <c r="A3" s="87" t="s">
        <v>403</v>
      </c>
      <c r="B3" s="87" t="s">
        <v>404</v>
      </c>
      <c r="C3" s="87" t="s">
        <v>404</v>
      </c>
      <c r="D3" s="87" t="s">
        <v>404</v>
      </c>
      <c r="E3" s="87" t="s">
        <v>404</v>
      </c>
      <c r="F3" s="87"/>
      <c r="H3" s="87" t="s">
        <v>403</v>
      </c>
      <c r="I3" s="87" t="s">
        <v>405</v>
      </c>
      <c r="J3" s="87" t="s">
        <v>405</v>
      </c>
      <c r="K3" s="87" t="s">
        <v>405</v>
      </c>
      <c r="L3" s="87" t="s">
        <v>405</v>
      </c>
      <c r="M3" s="87"/>
      <c r="O3" s="87" t="s">
        <v>403</v>
      </c>
      <c r="P3" s="87" t="s">
        <v>406</v>
      </c>
      <c r="Q3" s="87" t="s">
        <v>406</v>
      </c>
      <c r="R3" s="87" t="s">
        <v>406</v>
      </c>
      <c r="S3" s="87" t="s">
        <v>406</v>
      </c>
      <c r="T3" s="87"/>
      <c r="V3" s="87" t="s">
        <v>403</v>
      </c>
      <c r="W3" s="87" t="s">
        <v>407</v>
      </c>
      <c r="X3" s="87" t="s">
        <v>407</v>
      </c>
      <c r="Y3" s="87" t="s">
        <v>407</v>
      </c>
      <c r="Z3" s="87" t="s">
        <v>407</v>
      </c>
      <c r="AA3" s="87"/>
      <c r="AB3" s="88"/>
      <c r="AC3" s="87" t="s">
        <v>403</v>
      </c>
      <c r="AD3" s="87" t="s">
        <v>408</v>
      </c>
      <c r="AE3" s="87" t="s">
        <v>408</v>
      </c>
      <c r="AF3" s="87" t="s">
        <v>408</v>
      </c>
      <c r="AG3" s="87" t="s">
        <v>408</v>
      </c>
      <c r="AH3" s="87"/>
      <c r="AI3" s="88"/>
      <c r="AJ3" s="88" t="s">
        <v>409</v>
      </c>
      <c r="AK3" s="88" t="s">
        <v>410</v>
      </c>
      <c r="AL3" s="88" t="s">
        <v>411</v>
      </c>
      <c r="AM3" s="88"/>
      <c r="AN3" s="87" t="s">
        <v>403</v>
      </c>
      <c r="AO3" s="87" t="s">
        <v>412</v>
      </c>
      <c r="AP3" s="87" t="s">
        <v>412</v>
      </c>
      <c r="AQ3" s="87" t="s">
        <v>412</v>
      </c>
      <c r="AR3" s="87" t="s">
        <v>412</v>
      </c>
      <c r="AS3" s="87"/>
    </row>
    <row r="4" spans="1:45" x14ac:dyDescent="0.55000000000000004">
      <c r="A4" s="87" t="s">
        <v>413</v>
      </c>
      <c r="B4" s="89"/>
      <c r="C4" s="89"/>
      <c r="D4" s="89"/>
      <c r="E4" s="89"/>
      <c r="F4" s="89"/>
      <c r="H4" s="87" t="s">
        <v>413</v>
      </c>
      <c r="I4" s="89"/>
      <c r="J4" s="89"/>
      <c r="K4" s="89"/>
      <c r="L4" s="89"/>
      <c r="M4" s="89"/>
      <c r="O4" s="87" t="s">
        <v>413</v>
      </c>
      <c r="P4" s="89"/>
      <c r="Q4" s="89"/>
      <c r="R4" s="89"/>
      <c r="S4" s="89"/>
      <c r="T4" s="89"/>
      <c r="V4" s="87" t="s">
        <v>413</v>
      </c>
      <c r="W4" s="89"/>
      <c r="X4" s="89"/>
      <c r="Y4" s="89"/>
      <c r="Z4" s="89"/>
      <c r="AA4" s="89"/>
      <c r="AB4" s="89"/>
      <c r="AC4" s="87" t="s">
        <v>413</v>
      </c>
      <c r="AD4" s="89"/>
      <c r="AE4" s="89"/>
      <c r="AF4" s="89"/>
      <c r="AG4" s="89"/>
      <c r="AH4" s="89"/>
      <c r="AI4" s="89"/>
      <c r="AJ4" s="89"/>
      <c r="AK4" s="89"/>
      <c r="AL4" s="89"/>
      <c r="AM4" s="89"/>
      <c r="AN4" s="87" t="s">
        <v>413</v>
      </c>
      <c r="AO4" s="89"/>
      <c r="AP4" s="89"/>
      <c r="AQ4" s="89"/>
      <c r="AR4" s="89"/>
      <c r="AS4" s="89"/>
    </row>
    <row r="5" spans="1:45" x14ac:dyDescent="0.55000000000000004">
      <c r="A5" s="90">
        <v>44652</v>
      </c>
      <c r="B5" s="91">
        <v>8884</v>
      </c>
      <c r="C5" s="91">
        <v>8912.7998050000006</v>
      </c>
      <c r="D5" s="91">
        <v>8616.2431639999995</v>
      </c>
      <c r="E5" s="91">
        <v>1414522</v>
      </c>
      <c r="F5" s="89"/>
      <c r="H5" s="90">
        <v>44652</v>
      </c>
      <c r="I5" s="91">
        <v>1216.5135499999999</v>
      </c>
      <c r="J5" s="91">
        <v>1225.6743160000001</v>
      </c>
      <c r="K5" s="91">
        <v>1208.4436040000001</v>
      </c>
      <c r="L5" s="91">
        <v>7922880</v>
      </c>
      <c r="M5" s="89"/>
      <c r="O5" s="90">
        <v>44652</v>
      </c>
      <c r="P5" s="91">
        <v>738.20001219999995</v>
      </c>
      <c r="Q5" s="91">
        <v>753</v>
      </c>
      <c r="R5" s="91">
        <v>716.31011960000001</v>
      </c>
      <c r="S5" s="91">
        <v>14568556</v>
      </c>
      <c r="T5" s="89"/>
      <c r="V5" s="90">
        <v>44652</v>
      </c>
      <c r="W5" s="91">
        <v>1886.849976</v>
      </c>
      <c r="X5" s="91">
        <v>1903.5500489999999</v>
      </c>
      <c r="Y5" s="91">
        <v>1708.8278809999999</v>
      </c>
      <c r="Z5" s="91">
        <v>6171518</v>
      </c>
      <c r="AA5" s="89"/>
      <c r="AB5" s="89"/>
      <c r="AC5" s="90">
        <v>44652</v>
      </c>
      <c r="AD5" s="91">
        <v>1281</v>
      </c>
      <c r="AE5" s="91">
        <v>1268.4499510000001</v>
      </c>
      <c r="AF5" s="91">
        <v>1263.2818600000001</v>
      </c>
      <c r="AG5" s="91">
        <v>491523</v>
      </c>
      <c r="AH5" s="89"/>
      <c r="AI5" s="89"/>
      <c r="AJ5" s="89"/>
      <c r="AK5" s="89"/>
      <c r="AL5" s="89"/>
      <c r="AM5" s="89"/>
      <c r="AN5" s="90">
        <v>44652</v>
      </c>
      <c r="AO5" s="91">
        <v>17436.900389999999</v>
      </c>
      <c r="AP5" s="91">
        <v>17670.449219999999</v>
      </c>
      <c r="AQ5" s="91">
        <v>17670.449219999999</v>
      </c>
      <c r="AR5" s="91">
        <v>291800</v>
      </c>
      <c r="AS5" s="89"/>
    </row>
    <row r="6" spans="1:45" x14ac:dyDescent="0.55000000000000004">
      <c r="A6" s="90">
        <v>44655</v>
      </c>
      <c r="B6" s="91">
        <v>8988</v>
      </c>
      <c r="C6" s="91">
        <v>9009.7001949999994</v>
      </c>
      <c r="D6" s="91">
        <v>8709.9199219999991</v>
      </c>
      <c r="E6" s="91">
        <v>511585</v>
      </c>
      <c r="F6" s="91">
        <v>1.09E-2</v>
      </c>
      <c r="H6" s="90">
        <v>44655</v>
      </c>
      <c r="I6" s="91">
        <v>1225.489746</v>
      </c>
      <c r="J6" s="91">
        <v>1229.2971190000001</v>
      </c>
      <c r="K6" s="91">
        <v>1212.015625</v>
      </c>
      <c r="L6" s="91">
        <v>7929162</v>
      </c>
      <c r="M6" s="91">
        <v>3.0000000000000001E-3</v>
      </c>
      <c r="O6" s="90">
        <v>44655</v>
      </c>
      <c r="P6" s="91">
        <v>790</v>
      </c>
      <c r="Q6" s="91">
        <v>828.40002440000001</v>
      </c>
      <c r="R6" s="91">
        <v>788.03631589999998</v>
      </c>
      <c r="S6" s="91">
        <v>97450970</v>
      </c>
      <c r="T6" s="91">
        <v>0.10009999999999999</v>
      </c>
      <c r="V6" s="90">
        <v>44655</v>
      </c>
      <c r="W6" s="91">
        <v>1889.75</v>
      </c>
      <c r="X6" s="91">
        <v>1882.9499510000001</v>
      </c>
      <c r="Y6" s="91">
        <v>1690.334961</v>
      </c>
      <c r="Z6" s="91">
        <v>7364074</v>
      </c>
      <c r="AA6" s="91">
        <v>-1.0800000000000001E-2</v>
      </c>
      <c r="AB6" s="91"/>
      <c r="AC6" s="90">
        <v>44655</v>
      </c>
      <c r="AD6" s="91">
        <v>1256.349976</v>
      </c>
      <c r="AE6" s="91">
        <v>1294.650024</v>
      </c>
      <c r="AF6" s="91">
        <v>1289.3751219999999</v>
      </c>
      <c r="AG6" s="91">
        <v>762394</v>
      </c>
      <c r="AH6" s="91">
        <v>2.07E-2</v>
      </c>
      <c r="AI6" s="91"/>
      <c r="AJ6" s="91">
        <f>(F6*'Part 3 Portfolio Analysis'!$B$8+M6*'Part 3 Portfolio Analysis'!$C$8+T6*'Part 3 Portfolio Analysis'!$D$8+AA6*'Part 3 Portfolio Analysis'!$E$8+AH6*'Part 3 Portfolio Analysis'!$F$8)/100</f>
        <v>1.9519622610967499E-2</v>
      </c>
      <c r="AK6" s="91">
        <f>'Part 3 Portfolio Analysis'!$B$107*F6+M6*'Part 3 Portfolio Analysis'!$C$107+T6*'Part 3 Portfolio Analysis'!$D$107+AA6*'Part 3 Portfolio Analysis'!$E$107+AH6*'Part 3 Portfolio Analysis'!$F$107</f>
        <v>2.2552899999999997E-2</v>
      </c>
      <c r="AL6" s="91">
        <f>F6*'Part 3 Portfolio Analysis'!$B$121+M6*'Part 3 Portfolio Analysis'!$C$121+'Part 3 Portfolio Analysis'!$D$121*T6+AA6*'Part 3 Portfolio Analysis'!$E$121+'Part 3 Portfolio Analysis'!$F$121*AH6</f>
        <v>2.7764320000000002E-2</v>
      </c>
      <c r="AM6" s="91"/>
      <c r="AN6" s="90">
        <v>44655</v>
      </c>
      <c r="AO6" s="91">
        <v>17809.099610000001</v>
      </c>
      <c r="AP6" s="91">
        <v>18053.400389999999</v>
      </c>
      <c r="AQ6" s="91">
        <v>18053.400389999999</v>
      </c>
      <c r="AR6" s="91">
        <v>345500</v>
      </c>
      <c r="AS6" s="91">
        <v>2.1700000000000001E-2</v>
      </c>
    </row>
    <row r="7" spans="1:45" x14ac:dyDescent="0.55000000000000004">
      <c r="A7" s="90">
        <v>44656</v>
      </c>
      <c r="B7" s="91">
        <v>9090</v>
      </c>
      <c r="C7" s="91">
        <v>8878.3496090000008</v>
      </c>
      <c r="D7" s="91">
        <v>8582.9414059999999</v>
      </c>
      <c r="E7" s="91">
        <v>617070</v>
      </c>
      <c r="F7" s="91">
        <v>-1.46E-2</v>
      </c>
      <c r="H7" s="90">
        <v>44656</v>
      </c>
      <c r="I7" s="91">
        <v>1223.482178</v>
      </c>
      <c r="J7" s="91">
        <v>1211.9216309999999</v>
      </c>
      <c r="K7" s="91">
        <v>1194.8842770000001</v>
      </c>
      <c r="L7" s="91">
        <v>13149870</v>
      </c>
      <c r="M7" s="91">
        <v>-1.41E-2</v>
      </c>
      <c r="O7" s="90">
        <v>44656</v>
      </c>
      <c r="P7" s="91">
        <v>833.34997559999999</v>
      </c>
      <c r="Q7" s="91">
        <v>804.125</v>
      </c>
      <c r="R7" s="91">
        <v>764.94396970000003</v>
      </c>
      <c r="S7" s="91">
        <v>30922582</v>
      </c>
      <c r="T7" s="91">
        <v>-2.93E-2</v>
      </c>
      <c r="V7" s="90">
        <v>44656</v>
      </c>
      <c r="W7" s="91">
        <v>1883.8000489999999</v>
      </c>
      <c r="X7" s="91">
        <v>1861.099976</v>
      </c>
      <c r="Y7" s="91">
        <v>1670.720337</v>
      </c>
      <c r="Z7" s="91">
        <v>5472024</v>
      </c>
      <c r="AA7" s="91">
        <v>-1.1599999999999999E-2</v>
      </c>
      <c r="AB7" s="91"/>
      <c r="AC7" s="90">
        <v>44656</v>
      </c>
      <c r="AD7" s="91">
        <v>1310</v>
      </c>
      <c r="AE7" s="91">
        <v>1319.1999510000001</v>
      </c>
      <c r="AF7" s="91">
        <v>1313.825073</v>
      </c>
      <c r="AG7" s="91">
        <v>1337792</v>
      </c>
      <c r="AH7" s="91">
        <v>1.9E-2</v>
      </c>
      <c r="AI7" s="91"/>
      <c r="AJ7" s="91">
        <f>(F7*'Part 3 Portfolio Analysis'!$B$8+M7*'Part 3 Portfolio Analysis'!$C$8+T7*'Part 3 Portfolio Analysis'!$D$8+AA7*'Part 3 Portfolio Analysis'!$E$8+AH7*'Part 3 Portfolio Analysis'!$F$8)/100</f>
        <v>-1.6059713067624534E-2</v>
      </c>
      <c r="AK7" s="91">
        <f>'Part 3 Portfolio Analysis'!$B$107*F7+M7*'Part 3 Portfolio Analysis'!$C$107+T7*'Part 3 Portfolio Analysis'!$D$107+AA7*'Part 3 Portfolio Analysis'!$E$107+AH7*'Part 3 Portfolio Analysis'!$F$107</f>
        <v>-7.9548000000000015E-3</v>
      </c>
      <c r="AL7" s="91">
        <f>F7*'Part 3 Portfolio Analysis'!$B$121+M7*'Part 3 Portfolio Analysis'!$C$121+'Part 3 Portfolio Analysis'!$D$121*T7+AA7*'Part 3 Portfolio Analysis'!$E$121+'Part 3 Portfolio Analysis'!$F$121*AH7</f>
        <v>-1.6908280000000001E-2</v>
      </c>
      <c r="AM7" s="91"/>
      <c r="AN7" s="90">
        <v>44656</v>
      </c>
      <c r="AO7" s="91">
        <v>18080.599610000001</v>
      </c>
      <c r="AP7" s="91">
        <v>17957.400389999999</v>
      </c>
      <c r="AQ7" s="91">
        <v>17957.400389999999</v>
      </c>
      <c r="AR7" s="91">
        <v>283500</v>
      </c>
      <c r="AS7" s="91">
        <v>-5.3E-3</v>
      </c>
    </row>
    <row r="8" spans="1:45" x14ac:dyDescent="0.55000000000000004">
      <c r="A8" s="90">
        <v>44657</v>
      </c>
      <c r="B8" s="91">
        <v>8875</v>
      </c>
      <c r="C8" s="91">
        <v>8893.6503909999992</v>
      </c>
      <c r="D8" s="91">
        <v>8597.7324219999991</v>
      </c>
      <c r="E8" s="91">
        <v>372750</v>
      </c>
      <c r="F8" s="91">
        <v>1.6999999999999999E-3</v>
      </c>
      <c r="H8" s="90">
        <v>44657</v>
      </c>
      <c r="I8" s="91">
        <v>1193.946289</v>
      </c>
      <c r="J8" s="91">
        <v>1208.6911620000001</v>
      </c>
      <c r="K8" s="91">
        <v>1191.699341</v>
      </c>
      <c r="L8" s="91">
        <v>12257215</v>
      </c>
      <c r="M8" s="91">
        <v>-2.7000000000000001E-3</v>
      </c>
      <c r="O8" s="90">
        <v>44657</v>
      </c>
      <c r="P8" s="91">
        <v>793.84997559999999</v>
      </c>
      <c r="Q8" s="91">
        <v>775.42498780000005</v>
      </c>
      <c r="R8" s="91">
        <v>737.64239499999996</v>
      </c>
      <c r="S8" s="91">
        <v>27027860</v>
      </c>
      <c r="T8" s="91">
        <v>-3.5700000000000003E-2</v>
      </c>
      <c r="V8" s="90">
        <v>44657</v>
      </c>
      <c r="W8" s="91">
        <v>1855</v>
      </c>
      <c r="X8" s="91">
        <v>1828.849976</v>
      </c>
      <c r="Y8" s="91">
        <v>1641.769043</v>
      </c>
      <c r="Z8" s="91">
        <v>5407453</v>
      </c>
      <c r="AA8" s="91">
        <v>-1.7299999999999999E-2</v>
      </c>
      <c r="AB8" s="91"/>
      <c r="AC8" s="90">
        <v>44657</v>
      </c>
      <c r="AD8" s="91">
        <v>1323.5500489999999</v>
      </c>
      <c r="AE8" s="91">
        <v>1328.3000489999999</v>
      </c>
      <c r="AF8" s="91">
        <v>1322.8881839999999</v>
      </c>
      <c r="AG8" s="91">
        <v>907711</v>
      </c>
      <c r="AH8" s="91">
        <v>6.8999999999999999E-3</v>
      </c>
      <c r="AI8" s="91"/>
      <c r="AJ8" s="91">
        <f>(F8*'Part 3 Portfolio Analysis'!$B$8+M8*'Part 3 Portfolio Analysis'!$C$8+T8*'Part 3 Portfolio Analysis'!$D$8+AA8*'Part 3 Portfolio Analysis'!$E$8+AH8*'Part 3 Portfolio Analysis'!$F$8)/100</f>
        <v>-9.1406227054171996E-3</v>
      </c>
      <c r="AK8" s="91">
        <f>'Part 3 Portfolio Analysis'!$B$107*F8+M8*'Part 3 Portfolio Analysis'!$C$107+T8*'Part 3 Portfolio Analysis'!$D$107+AA8*'Part 3 Portfolio Analysis'!$E$107+AH8*'Part 3 Portfolio Analysis'!$F$107</f>
        <v>-6.0637999999999994E-3</v>
      </c>
      <c r="AL8" s="91">
        <f>F8*'Part 3 Portfolio Analysis'!$B$121+M8*'Part 3 Portfolio Analysis'!$C$121+'Part 3 Portfolio Analysis'!$D$121*T8+AA8*'Part 3 Portfolio Analysis'!$E$121+'Part 3 Portfolio Analysis'!$F$121*AH8</f>
        <v>-1.39828E-2</v>
      </c>
      <c r="AM8" s="91"/>
      <c r="AN8" s="90">
        <v>44657</v>
      </c>
      <c r="AO8" s="91">
        <v>17842.75</v>
      </c>
      <c r="AP8" s="91">
        <v>17807.650389999999</v>
      </c>
      <c r="AQ8" s="91">
        <v>17807.650389999999</v>
      </c>
      <c r="AR8" s="91">
        <v>328800</v>
      </c>
      <c r="AS8" s="91">
        <v>-8.3000000000000001E-3</v>
      </c>
    </row>
    <row r="9" spans="1:45" x14ac:dyDescent="0.55000000000000004">
      <c r="A9" s="90">
        <v>44658</v>
      </c>
      <c r="B9" s="91">
        <v>8907</v>
      </c>
      <c r="C9" s="91">
        <v>8747.7998050000006</v>
      </c>
      <c r="D9" s="91">
        <v>8456.7333980000003</v>
      </c>
      <c r="E9" s="91">
        <v>343816</v>
      </c>
      <c r="F9" s="91">
        <v>-1.6400000000000001E-2</v>
      </c>
      <c r="H9" s="90">
        <v>44658</v>
      </c>
      <c r="I9" s="91">
        <v>1197.6381839999999</v>
      </c>
      <c r="J9" s="91">
        <v>1187.3698730000001</v>
      </c>
      <c r="K9" s="91">
        <v>1170.677612</v>
      </c>
      <c r="L9" s="91">
        <v>15496499</v>
      </c>
      <c r="M9" s="91">
        <v>-1.7600000000000001E-2</v>
      </c>
      <c r="O9" s="90">
        <v>44658</v>
      </c>
      <c r="P9" s="91">
        <v>770.65002440000001</v>
      </c>
      <c r="Q9" s="91">
        <v>758.375</v>
      </c>
      <c r="R9" s="91">
        <v>721.42321779999997</v>
      </c>
      <c r="S9" s="91">
        <v>40781732</v>
      </c>
      <c r="T9" s="91">
        <v>-2.1999999999999999E-2</v>
      </c>
      <c r="V9" s="90">
        <v>44658</v>
      </c>
      <c r="W9" s="91">
        <v>1821.0500489999999</v>
      </c>
      <c r="X9" s="91">
        <v>1811</v>
      </c>
      <c r="Y9" s="91">
        <v>1625.7451169999999</v>
      </c>
      <c r="Z9" s="91">
        <v>5797544</v>
      </c>
      <c r="AA9" s="91">
        <v>-9.7999999999999997E-3</v>
      </c>
      <c r="AB9" s="91"/>
      <c r="AC9" s="90">
        <v>44658</v>
      </c>
      <c r="AD9" s="91">
        <v>1336</v>
      </c>
      <c r="AE9" s="91">
        <v>1307.75</v>
      </c>
      <c r="AF9" s="91">
        <v>1302.421875</v>
      </c>
      <c r="AG9" s="91">
        <v>1038577</v>
      </c>
      <c r="AH9" s="91">
        <v>-1.55E-2</v>
      </c>
      <c r="AI9" s="91"/>
      <c r="AJ9" s="91">
        <f>(F9*'Part 3 Portfolio Analysis'!$B$8+M9*'Part 3 Portfolio Analysis'!$C$8+T9*'Part 3 Portfolio Analysis'!$D$8+AA9*'Part 3 Portfolio Analysis'!$E$8+AH9*'Part 3 Portfolio Analysis'!$F$8)/100</f>
        <v>-1.669816948344733E-2</v>
      </c>
      <c r="AK9" s="91">
        <f>'Part 3 Portfolio Analysis'!$B$107*F9+M9*'Part 3 Portfolio Analysis'!$C$107+T9*'Part 3 Portfolio Analysis'!$D$107+AA9*'Part 3 Portfolio Analysis'!$E$107+AH9*'Part 3 Portfolio Analysis'!$F$107</f>
        <v>-1.6756800000000002E-2</v>
      </c>
      <c r="AL9" s="91">
        <f>F9*'Part 3 Portfolio Analysis'!$B$121+M9*'Part 3 Portfolio Analysis'!$C$121+'Part 3 Portfolio Analysis'!$D$121*T9+AA9*'Part 3 Portfolio Analysis'!$E$121+'Part 3 Portfolio Analysis'!$F$121*AH9</f>
        <v>-1.708314E-2</v>
      </c>
      <c r="AM9" s="91"/>
      <c r="AN9" s="90">
        <v>44658</v>
      </c>
      <c r="AO9" s="91">
        <v>17723.300780000001</v>
      </c>
      <c r="AP9" s="91">
        <v>17639.550780000001</v>
      </c>
      <c r="AQ9" s="91">
        <v>17639.550780000001</v>
      </c>
      <c r="AR9" s="91">
        <v>308800</v>
      </c>
      <c r="AS9" s="91">
        <v>-9.4000000000000004E-3</v>
      </c>
    </row>
    <row r="10" spans="1:45" x14ac:dyDescent="0.55000000000000004">
      <c r="A10" s="90">
        <v>44659</v>
      </c>
      <c r="B10" s="91">
        <v>8791.5498050000006</v>
      </c>
      <c r="C10" s="91">
        <v>8685.2001949999994</v>
      </c>
      <c r="D10" s="91">
        <v>8396.2167969999991</v>
      </c>
      <c r="E10" s="91">
        <v>778818</v>
      </c>
      <c r="F10" s="91">
        <v>-7.1999999999999998E-3</v>
      </c>
      <c r="H10" s="90">
        <v>44659</v>
      </c>
      <c r="I10" s="91">
        <v>1181.4395750000001</v>
      </c>
      <c r="J10" s="91">
        <v>1207.1220699999999</v>
      </c>
      <c r="K10" s="91">
        <v>1190.1523440000001</v>
      </c>
      <c r="L10" s="91">
        <v>15152495</v>
      </c>
      <c r="M10" s="91">
        <v>1.66E-2</v>
      </c>
      <c r="O10" s="90">
        <v>44659</v>
      </c>
      <c r="P10" s="91">
        <v>756.04998780000005</v>
      </c>
      <c r="Q10" s="91">
        <v>757.32501219999995</v>
      </c>
      <c r="R10" s="91">
        <v>720.42437740000003</v>
      </c>
      <c r="S10" s="91">
        <v>41256322</v>
      </c>
      <c r="T10" s="91">
        <v>-1.4E-3</v>
      </c>
      <c r="V10" s="90">
        <v>44659</v>
      </c>
      <c r="W10" s="91">
        <v>1823</v>
      </c>
      <c r="X10" s="91">
        <v>1814.599976</v>
      </c>
      <c r="Y10" s="91">
        <v>1628.976807</v>
      </c>
      <c r="Z10" s="91">
        <v>5131446</v>
      </c>
      <c r="AA10" s="91">
        <v>2E-3</v>
      </c>
      <c r="AB10" s="91"/>
      <c r="AC10" s="90">
        <v>44659</v>
      </c>
      <c r="AD10" s="91">
        <v>1308.1999510000001</v>
      </c>
      <c r="AE10" s="91">
        <v>1269.650024</v>
      </c>
      <c r="AF10" s="91">
        <v>1264.4770510000001</v>
      </c>
      <c r="AG10" s="91">
        <v>874307</v>
      </c>
      <c r="AH10" s="91">
        <v>-2.9100000000000001E-2</v>
      </c>
      <c r="AI10" s="91"/>
      <c r="AJ10" s="91">
        <f>(F10*'Part 3 Portfolio Analysis'!$B$8+M10*'Part 3 Portfolio Analysis'!$C$8+T10*'Part 3 Portfolio Analysis'!$D$8+AA10*'Part 3 Portfolio Analysis'!$E$8+AH10*'Part 3 Portfolio Analysis'!$F$8)/100</f>
        <v>3.6610878977967067E-3</v>
      </c>
      <c r="AK10" s="91">
        <f>'Part 3 Portfolio Analysis'!$B$107*F10+M10*'Part 3 Portfolio Analysis'!$C$107+T10*'Part 3 Portfolio Analysis'!$D$107+AA10*'Part 3 Portfolio Analysis'!$E$107+AH10*'Part 3 Portfolio Analysis'!$F$107</f>
        <v>-3.4504000000000002E-3</v>
      </c>
      <c r="AL10" s="91">
        <f>F10*'Part 3 Portfolio Analysis'!$B$121+M10*'Part 3 Portfolio Analysis'!$C$121+'Part 3 Portfolio Analysis'!$D$121*T10+AA10*'Part 3 Portfolio Analysis'!$E$121+'Part 3 Portfolio Analysis'!$F$121*AH10</f>
        <v>5.6303000000000004E-3</v>
      </c>
      <c r="AM10" s="91"/>
      <c r="AN10" s="90">
        <v>44659</v>
      </c>
      <c r="AO10" s="91">
        <v>17698.150389999999</v>
      </c>
      <c r="AP10" s="91">
        <v>17784.349610000001</v>
      </c>
      <c r="AQ10" s="91">
        <v>17784.349610000001</v>
      </c>
      <c r="AR10" s="91">
        <v>274400</v>
      </c>
      <c r="AS10" s="91">
        <v>8.2000000000000007E-3</v>
      </c>
    </row>
    <row r="11" spans="1:45" x14ac:dyDescent="0.55000000000000004">
      <c r="A11" s="90">
        <v>44662</v>
      </c>
      <c r="B11" s="91">
        <v>8723</v>
      </c>
      <c r="C11" s="91">
        <v>8711.1503909999992</v>
      </c>
      <c r="D11" s="91">
        <v>8421.3037110000005</v>
      </c>
      <c r="E11" s="91">
        <v>420571</v>
      </c>
      <c r="F11" s="91">
        <v>3.0000000000000001E-3</v>
      </c>
      <c r="H11" s="90">
        <v>44662</v>
      </c>
      <c r="I11" s="91">
        <v>1199.8995359999999</v>
      </c>
      <c r="J11" s="91">
        <v>1204.6069339999999</v>
      </c>
      <c r="K11" s="91">
        <v>1187.672607</v>
      </c>
      <c r="L11" s="91">
        <v>9254209</v>
      </c>
      <c r="M11" s="91">
        <v>-2.0999999999999999E-3</v>
      </c>
      <c r="O11" s="90">
        <v>44662</v>
      </c>
      <c r="P11" s="91">
        <v>753</v>
      </c>
      <c r="Q11" s="91">
        <v>748.07501219999995</v>
      </c>
      <c r="R11" s="91">
        <v>711.6251221</v>
      </c>
      <c r="S11" s="91">
        <v>20799066</v>
      </c>
      <c r="T11" s="91">
        <v>-1.2200000000000001E-2</v>
      </c>
      <c r="V11" s="90">
        <v>44662</v>
      </c>
      <c r="W11" s="91">
        <v>1814</v>
      </c>
      <c r="X11" s="91">
        <v>1766.5500489999999</v>
      </c>
      <c r="Y11" s="91">
        <v>1585.8420410000001</v>
      </c>
      <c r="Z11" s="91">
        <v>8248407</v>
      </c>
      <c r="AA11" s="91">
        <v>-2.6499999999999999E-2</v>
      </c>
      <c r="AB11" s="91"/>
      <c r="AC11" s="90">
        <v>44662</v>
      </c>
      <c r="AD11" s="91">
        <v>1279.25</v>
      </c>
      <c r="AE11" s="91">
        <v>1280.900024</v>
      </c>
      <c r="AF11" s="91">
        <v>1275.681274</v>
      </c>
      <c r="AG11" s="91">
        <v>509264</v>
      </c>
      <c r="AH11" s="91">
        <v>8.8999999999999999E-3</v>
      </c>
      <c r="AI11" s="91"/>
      <c r="AJ11" s="91">
        <f>(F11*'Part 3 Portfolio Analysis'!$B$8+M11*'Part 3 Portfolio Analysis'!$C$8+T11*'Part 3 Portfolio Analysis'!$D$8+AA11*'Part 3 Portfolio Analysis'!$E$8+AH11*'Part 3 Portfolio Analysis'!$F$8)/100</f>
        <v>-6.0740778149279929E-3</v>
      </c>
      <c r="AK11" s="91">
        <f>'Part 3 Portfolio Analysis'!$B$107*F11+M11*'Part 3 Portfolio Analysis'!$C$107+T11*'Part 3 Portfolio Analysis'!$D$107+AA11*'Part 3 Portfolio Analysis'!$E$107+AH11*'Part 3 Portfolio Analysis'!$F$107</f>
        <v>-2.4155000000000005E-3</v>
      </c>
      <c r="AL11" s="91">
        <f>F11*'Part 3 Portfolio Analysis'!$B$121+M11*'Part 3 Portfolio Analysis'!$C$121+'Part 3 Portfolio Analysis'!$D$121*T11+AA11*'Part 3 Portfolio Analysis'!$E$121+'Part 3 Portfolio Analysis'!$F$121*AH11</f>
        <v>-9.0197800000000015E-3</v>
      </c>
      <c r="AM11" s="91"/>
      <c r="AN11" s="90">
        <v>44662</v>
      </c>
      <c r="AO11" s="91">
        <v>17740.900389999999</v>
      </c>
      <c r="AP11" s="91">
        <v>17674.949219999999</v>
      </c>
      <c r="AQ11" s="91">
        <v>17674.949219999999</v>
      </c>
      <c r="AR11" s="91">
        <v>251700</v>
      </c>
      <c r="AS11" s="91">
        <v>-6.1999999999999998E-3</v>
      </c>
    </row>
    <row r="12" spans="1:45" x14ac:dyDescent="0.55000000000000004">
      <c r="A12" s="90">
        <v>44663</v>
      </c>
      <c r="B12" s="91">
        <v>8740</v>
      </c>
      <c r="C12" s="91">
        <v>8409.25</v>
      </c>
      <c r="D12" s="91">
        <v>8129.4487300000001</v>
      </c>
      <c r="E12" s="91">
        <v>599014</v>
      </c>
      <c r="F12" s="91">
        <v>-3.4700000000000002E-2</v>
      </c>
      <c r="H12" s="90">
        <v>44663</v>
      </c>
      <c r="I12" s="91">
        <v>1193.900024</v>
      </c>
      <c r="J12" s="91">
        <v>1181.9241939999999</v>
      </c>
      <c r="K12" s="91">
        <v>1165.3084719999999</v>
      </c>
      <c r="L12" s="91">
        <v>13217742</v>
      </c>
      <c r="M12" s="91">
        <v>-1.8800000000000001E-2</v>
      </c>
      <c r="O12" s="90">
        <v>44663</v>
      </c>
      <c r="P12" s="91">
        <v>742</v>
      </c>
      <c r="Q12" s="91">
        <v>746.75</v>
      </c>
      <c r="R12" s="91">
        <v>710.36462400000005</v>
      </c>
      <c r="S12" s="91">
        <v>27435402</v>
      </c>
      <c r="T12" s="91">
        <v>-1.8E-3</v>
      </c>
      <c r="V12" s="90">
        <v>44663</v>
      </c>
      <c r="W12" s="91">
        <v>1757.5</v>
      </c>
      <c r="X12" s="91">
        <v>1742.4499510000001</v>
      </c>
      <c r="Y12" s="91">
        <v>1564.2073969999999</v>
      </c>
      <c r="Z12" s="91">
        <v>6456184</v>
      </c>
      <c r="AA12" s="91">
        <v>-1.3599999999999999E-2</v>
      </c>
      <c r="AB12" s="91"/>
      <c r="AC12" s="90">
        <v>44663</v>
      </c>
      <c r="AD12" s="91">
        <v>1275</v>
      </c>
      <c r="AE12" s="91">
        <v>1250.5</v>
      </c>
      <c r="AF12" s="91">
        <v>1245.405029</v>
      </c>
      <c r="AG12" s="91">
        <v>845636</v>
      </c>
      <c r="AH12" s="91">
        <v>-2.3699999999999999E-2</v>
      </c>
      <c r="AI12" s="91"/>
      <c r="AJ12" s="91">
        <f>(F12*'Part 3 Portfolio Analysis'!$B$8+M12*'Part 3 Portfolio Analysis'!$C$8+T12*'Part 3 Portfolio Analysis'!$D$8+AA12*'Part 3 Portfolio Analysis'!$E$8+AH12*'Part 3 Portfolio Analysis'!$F$8)/100</f>
        <v>-1.9945220153531621E-2</v>
      </c>
      <c r="AK12" s="91">
        <f>'Part 3 Portfolio Analysis'!$B$107*F12+M12*'Part 3 Portfolio Analysis'!$C$107+T12*'Part 3 Portfolio Analysis'!$D$107+AA12*'Part 3 Portfolio Analysis'!$E$107+AH12*'Part 3 Portfolio Analysis'!$F$107</f>
        <v>-1.97418E-2</v>
      </c>
      <c r="AL12" s="91">
        <f>F12*'Part 3 Portfolio Analysis'!$B$121+M12*'Part 3 Portfolio Analysis'!$C$121+'Part 3 Portfolio Analysis'!$D$121*T12+AA12*'Part 3 Portfolio Analysis'!$E$121+'Part 3 Portfolio Analysis'!$F$121*AH12</f>
        <v>-1.457136E-2</v>
      </c>
      <c r="AM12" s="91"/>
      <c r="AN12" s="90">
        <v>44663</v>
      </c>
      <c r="AO12" s="91">
        <v>17584.849610000001</v>
      </c>
      <c r="AP12" s="91">
        <v>17530.300780000001</v>
      </c>
      <c r="AQ12" s="91">
        <v>17530.300780000001</v>
      </c>
      <c r="AR12" s="91">
        <v>266000</v>
      </c>
      <c r="AS12" s="91">
        <v>-8.2000000000000007E-3</v>
      </c>
    </row>
    <row r="13" spans="1:45" x14ac:dyDescent="0.55000000000000004">
      <c r="A13" s="90">
        <v>44664</v>
      </c>
      <c r="B13" s="91">
        <v>8470</v>
      </c>
      <c r="C13" s="91">
        <v>8383.7998050000006</v>
      </c>
      <c r="D13" s="91">
        <v>8104.8461909999996</v>
      </c>
      <c r="E13" s="91">
        <v>397311</v>
      </c>
      <c r="F13" s="91">
        <v>-3.0000000000000001E-3</v>
      </c>
      <c r="H13" s="90">
        <v>44664</v>
      </c>
      <c r="I13" s="91">
        <v>1188.1313479999999</v>
      </c>
      <c r="J13" s="91">
        <v>1177.5860600000001</v>
      </c>
      <c r="K13" s="91">
        <v>1161.0313719999999</v>
      </c>
      <c r="L13" s="91">
        <v>10354235</v>
      </c>
      <c r="M13" s="91">
        <v>-3.7000000000000002E-3</v>
      </c>
      <c r="O13" s="90">
        <v>44664</v>
      </c>
      <c r="P13" s="91">
        <v>745</v>
      </c>
      <c r="Q13" s="91">
        <v>732.47497559999999</v>
      </c>
      <c r="R13" s="91">
        <v>696.7850952</v>
      </c>
      <c r="S13" s="91">
        <v>28892520</v>
      </c>
      <c r="T13" s="91">
        <v>-1.9099999999999999E-2</v>
      </c>
      <c r="V13" s="90">
        <v>44664</v>
      </c>
      <c r="W13" s="91">
        <v>1754.9499510000001</v>
      </c>
      <c r="X13" s="91">
        <v>1748.5500489999999</v>
      </c>
      <c r="Y13" s="91">
        <v>1569.68335</v>
      </c>
      <c r="Z13" s="91">
        <v>6257693</v>
      </c>
      <c r="AA13" s="91">
        <v>3.5000000000000001E-3</v>
      </c>
      <c r="AB13" s="91"/>
      <c r="AC13" s="90">
        <v>44664</v>
      </c>
      <c r="AD13" s="91">
        <v>1260</v>
      </c>
      <c r="AE13" s="91">
        <v>1232.8000489999999</v>
      </c>
      <c r="AF13" s="91">
        <v>1227.7771</v>
      </c>
      <c r="AG13" s="91">
        <v>742352</v>
      </c>
      <c r="AH13" s="91">
        <v>-1.4200000000000001E-2</v>
      </c>
      <c r="AI13" s="91"/>
      <c r="AJ13" s="91">
        <f>(F13*'Part 3 Portfolio Analysis'!$B$8+M13*'Part 3 Portfolio Analysis'!$C$8+T13*'Part 3 Portfolio Analysis'!$D$8+AA13*'Part 3 Portfolio Analysis'!$E$8+AH13*'Part 3 Portfolio Analysis'!$F$8)/100</f>
        <v>-5.0028166498836809E-3</v>
      </c>
      <c r="AK13" s="91">
        <f>'Part 3 Portfolio Analysis'!$B$107*F13+M13*'Part 3 Portfolio Analysis'!$C$107+T13*'Part 3 Portfolio Analysis'!$D$107+AA13*'Part 3 Portfolio Analysis'!$E$107+AH13*'Part 3 Portfolio Analysis'!$F$107</f>
        <v>-7.8870000000000016E-3</v>
      </c>
      <c r="AL13" s="91">
        <f>F13*'Part 3 Portfolio Analysis'!$B$121+M13*'Part 3 Portfolio Analysis'!$C$121+'Part 3 Portfolio Analysis'!$D$121*T13+AA13*'Part 3 Portfolio Analysis'!$E$121+'Part 3 Portfolio Analysis'!$F$121*AH13</f>
        <v>-6.6663599999999996E-3</v>
      </c>
      <c r="AM13" s="91"/>
      <c r="AN13" s="90">
        <v>44664</v>
      </c>
      <c r="AO13" s="91">
        <v>17599.900389999999</v>
      </c>
      <c r="AP13" s="91">
        <v>17475.650389999999</v>
      </c>
      <c r="AQ13" s="91">
        <v>17475.650389999999</v>
      </c>
      <c r="AR13" s="91">
        <v>245100</v>
      </c>
      <c r="AS13" s="91">
        <v>-3.0999999999999999E-3</v>
      </c>
    </row>
    <row r="14" spans="1:45" x14ac:dyDescent="0.55000000000000004">
      <c r="A14" s="90">
        <v>44669</v>
      </c>
      <c r="B14" s="91">
        <v>8319</v>
      </c>
      <c r="C14" s="91">
        <v>7815.9501950000003</v>
      </c>
      <c r="D14" s="91">
        <v>7555.8901370000003</v>
      </c>
      <c r="E14" s="91">
        <v>685016</v>
      </c>
      <c r="F14" s="91">
        <v>-6.7699999999999996E-2</v>
      </c>
      <c r="H14" s="90">
        <v>44669</v>
      </c>
      <c r="I14" s="91">
        <v>1168.979126</v>
      </c>
      <c r="J14" s="91">
        <v>1173.986328</v>
      </c>
      <c r="K14" s="91">
        <v>1157.4822999999999</v>
      </c>
      <c r="L14" s="91">
        <v>9974224</v>
      </c>
      <c r="M14" s="91">
        <v>-3.0999999999999999E-3</v>
      </c>
      <c r="O14" s="90">
        <v>44669</v>
      </c>
      <c r="P14" s="91">
        <v>709.42498780000005</v>
      </c>
      <c r="Q14" s="91">
        <v>697.72497559999999</v>
      </c>
      <c r="R14" s="91">
        <v>663.72833249999996</v>
      </c>
      <c r="S14" s="91">
        <v>45620376</v>
      </c>
      <c r="T14" s="91">
        <v>-4.7399999999999998E-2</v>
      </c>
      <c r="V14" s="90">
        <v>44669</v>
      </c>
      <c r="W14" s="91">
        <v>1605.5</v>
      </c>
      <c r="X14" s="91">
        <v>1621.400024</v>
      </c>
      <c r="Y14" s="91">
        <v>1455.540283</v>
      </c>
      <c r="Z14" s="91">
        <v>30523965</v>
      </c>
      <c r="AA14" s="91">
        <v>-7.2700000000000001E-2</v>
      </c>
      <c r="AB14" s="91"/>
      <c r="AC14" s="90">
        <v>44669</v>
      </c>
      <c r="AD14" s="91">
        <v>1230</v>
      </c>
      <c r="AE14" s="91">
        <v>1223.5</v>
      </c>
      <c r="AF14" s="91">
        <v>1218.5150149999999</v>
      </c>
      <c r="AG14" s="91">
        <v>395195</v>
      </c>
      <c r="AH14" s="91">
        <v>-7.4999999999999997E-3</v>
      </c>
      <c r="AI14" s="91"/>
      <c r="AJ14" s="91">
        <f>(F14*'Part 3 Portfolio Analysis'!$B$8+M14*'Part 3 Portfolio Analysis'!$C$8+T14*'Part 3 Portfolio Analysis'!$D$8+AA14*'Part 3 Portfolio Analysis'!$E$8+AH14*'Part 3 Portfolio Analysis'!$F$8)/100</f>
        <v>-4.1113782919716291E-2</v>
      </c>
      <c r="AK14" s="91">
        <f>'Part 3 Portfolio Analysis'!$B$107*F14+M14*'Part 3 Portfolio Analysis'!$C$107+T14*'Part 3 Portfolio Analysis'!$D$107+AA14*'Part 3 Portfolio Analysis'!$E$107+AH14*'Part 3 Portfolio Analysis'!$F$107</f>
        <v>-2.96633E-2</v>
      </c>
      <c r="AL14" s="91">
        <f>F14*'Part 3 Portfolio Analysis'!$B$121+M14*'Part 3 Portfolio Analysis'!$C$121+'Part 3 Portfolio Analysis'!$D$121*T14+AA14*'Part 3 Portfolio Analysis'!$E$121+'Part 3 Portfolio Analysis'!$F$121*AH14</f>
        <v>-3.4494999999999998E-2</v>
      </c>
      <c r="AM14" s="91"/>
      <c r="AN14" s="90">
        <v>44669</v>
      </c>
      <c r="AO14" s="91">
        <v>17183.449219999999</v>
      </c>
      <c r="AP14" s="91">
        <v>17173.650389999999</v>
      </c>
      <c r="AQ14" s="91">
        <v>17173.650389999999</v>
      </c>
      <c r="AR14" s="91">
        <v>376100</v>
      </c>
      <c r="AS14" s="91">
        <v>-1.7299999999999999E-2</v>
      </c>
    </row>
    <row r="15" spans="1:45" x14ac:dyDescent="0.55000000000000004">
      <c r="A15" s="90">
        <v>44670</v>
      </c>
      <c r="B15" s="91">
        <v>7944</v>
      </c>
      <c r="C15" s="91">
        <v>7693.1499020000001</v>
      </c>
      <c r="D15" s="91">
        <v>7437.1757809999999</v>
      </c>
      <c r="E15" s="91">
        <v>831426</v>
      </c>
      <c r="F15" s="91">
        <v>-1.5699999999999999E-2</v>
      </c>
      <c r="H15" s="90">
        <v>44670</v>
      </c>
      <c r="I15" s="91">
        <v>1180.5166019999999</v>
      </c>
      <c r="J15" s="91">
        <v>1218.72876</v>
      </c>
      <c r="K15" s="91">
        <v>1201.595703</v>
      </c>
      <c r="L15" s="91">
        <v>26141820</v>
      </c>
      <c r="M15" s="91">
        <v>3.8100000000000002E-2</v>
      </c>
      <c r="O15" s="90">
        <v>44670</v>
      </c>
      <c r="P15" s="91">
        <v>690.45001219999995</v>
      </c>
      <c r="Q15" s="91">
        <v>671.09997559999999</v>
      </c>
      <c r="R15" s="91">
        <v>638.40063480000003</v>
      </c>
      <c r="S15" s="91">
        <v>74096022</v>
      </c>
      <c r="T15" s="91">
        <v>-3.8199999999999998E-2</v>
      </c>
      <c r="V15" s="90">
        <v>44670</v>
      </c>
      <c r="W15" s="91">
        <v>1636.650024</v>
      </c>
      <c r="X15" s="91">
        <v>1562</v>
      </c>
      <c r="Y15" s="91">
        <v>1402.2163089999999</v>
      </c>
      <c r="Z15" s="91">
        <v>17044923</v>
      </c>
      <c r="AA15" s="91">
        <v>-3.6600000000000001E-2</v>
      </c>
      <c r="AB15" s="91"/>
      <c r="AC15" s="90">
        <v>44670</v>
      </c>
      <c r="AD15" s="91">
        <v>1244.6999510000001</v>
      </c>
      <c r="AE15" s="91">
        <v>1248.4499510000001</v>
      </c>
      <c r="AF15" s="91">
        <v>1243.3634030000001</v>
      </c>
      <c r="AG15" s="91">
        <v>1575212</v>
      </c>
      <c r="AH15" s="91">
        <v>2.0400000000000001E-2</v>
      </c>
      <c r="AI15" s="91"/>
      <c r="AJ15" s="91">
        <f>(F15*'Part 3 Portfolio Analysis'!$B$8+M15*'Part 3 Portfolio Analysis'!$C$8+T15*'Part 3 Portfolio Analysis'!$D$8+AA15*'Part 3 Portfolio Analysis'!$E$8+AH15*'Part 3 Portfolio Analysis'!$F$8)/100</f>
        <v>-2.9625393775328844E-3</v>
      </c>
      <c r="AK15" s="91">
        <f>'Part 3 Portfolio Analysis'!$B$107*F15+M15*'Part 3 Portfolio Analysis'!$C$107+T15*'Part 3 Portfolio Analysis'!$D$107+AA15*'Part 3 Portfolio Analysis'!$E$107+AH15*'Part 3 Portfolio Analysis'!$F$107</f>
        <v>4.6591000000000011E-3</v>
      </c>
      <c r="AL15" s="91">
        <f>F15*'Part 3 Portfolio Analysis'!$B$121+M15*'Part 3 Portfolio Analysis'!$C$121+'Part 3 Portfolio Analysis'!$D$121*T15+AA15*'Part 3 Portfolio Analysis'!$E$121+'Part 3 Portfolio Analysis'!$F$121*AH15</f>
        <v>-2.4797000000000018E-3</v>
      </c>
      <c r="AM15" s="91"/>
      <c r="AN15" s="90">
        <v>44670</v>
      </c>
      <c r="AO15" s="91">
        <v>17258.949219999999</v>
      </c>
      <c r="AP15" s="91">
        <v>16958.650389999999</v>
      </c>
      <c r="AQ15" s="91">
        <v>16958.650389999999</v>
      </c>
      <c r="AR15" s="91">
        <v>401400</v>
      </c>
      <c r="AS15" s="91">
        <v>-1.2500000000000001E-2</v>
      </c>
    </row>
    <row r="16" spans="1:45" x14ac:dyDescent="0.55000000000000004">
      <c r="A16" s="90">
        <v>44671</v>
      </c>
      <c r="B16" s="91">
        <v>7777.9501950000003</v>
      </c>
      <c r="C16" s="91">
        <v>7807.7001950000003</v>
      </c>
      <c r="D16" s="91">
        <v>7547.9145509999998</v>
      </c>
      <c r="E16" s="91">
        <v>676897</v>
      </c>
      <c r="F16" s="91">
        <v>1.49E-2</v>
      </c>
      <c r="H16" s="90">
        <v>44671</v>
      </c>
      <c r="I16" s="91">
        <v>1226.251221</v>
      </c>
      <c r="J16" s="91">
        <v>1254.5642089999999</v>
      </c>
      <c r="K16" s="91">
        <v>1236.9273679999999</v>
      </c>
      <c r="L16" s="91">
        <v>25072240</v>
      </c>
      <c r="M16" s="91">
        <v>2.9399999999999999E-2</v>
      </c>
      <c r="O16" s="90">
        <v>44671</v>
      </c>
      <c r="P16" s="91">
        <v>677.22497559999999</v>
      </c>
      <c r="Q16" s="91">
        <v>677.15002440000001</v>
      </c>
      <c r="R16" s="91">
        <v>644.15594480000004</v>
      </c>
      <c r="S16" s="91">
        <v>49325736</v>
      </c>
      <c r="T16" s="91">
        <v>8.9999999999999993E-3</v>
      </c>
      <c r="V16" s="90">
        <v>44671</v>
      </c>
      <c r="W16" s="91">
        <v>1575</v>
      </c>
      <c r="X16" s="91">
        <v>1587.6999510000001</v>
      </c>
      <c r="Y16" s="91">
        <v>1425.2873540000001</v>
      </c>
      <c r="Z16" s="91">
        <v>10678747</v>
      </c>
      <c r="AA16" s="91">
        <v>1.6500000000000001E-2</v>
      </c>
      <c r="AB16" s="91"/>
      <c r="AC16" s="90">
        <v>44671</v>
      </c>
      <c r="AD16" s="91">
        <v>1251</v>
      </c>
      <c r="AE16" s="91">
        <v>1265.900024</v>
      </c>
      <c r="AF16" s="91">
        <v>1260.7423100000001</v>
      </c>
      <c r="AG16" s="91">
        <v>743805</v>
      </c>
      <c r="AH16" s="91">
        <v>1.4E-2</v>
      </c>
      <c r="AI16" s="91"/>
      <c r="AJ16" s="91">
        <f>(F16*'Part 3 Portfolio Analysis'!$B$8+M16*'Part 3 Portfolio Analysis'!$C$8+T16*'Part 3 Portfolio Analysis'!$D$8+AA16*'Part 3 Portfolio Analysis'!$E$8+AH16*'Part 3 Portfolio Analysis'!$F$8)/100</f>
        <v>1.9420464468749499E-2</v>
      </c>
      <c r="AK16" s="91">
        <f>'Part 3 Portfolio Analysis'!$B$107*F16+M16*'Part 3 Portfolio Analysis'!$C$107+T16*'Part 3 Portfolio Analysis'!$D$107+AA16*'Part 3 Portfolio Analysis'!$E$107+AH16*'Part 3 Portfolio Analysis'!$F$107</f>
        <v>1.84572E-2</v>
      </c>
      <c r="AL16" s="91">
        <f>F16*'Part 3 Portfolio Analysis'!$B$121+M16*'Part 3 Portfolio Analysis'!$C$121+'Part 3 Portfolio Analysis'!$D$121*T16+AA16*'Part 3 Portfolio Analysis'!$E$121+'Part 3 Portfolio Analysis'!$F$121*AH16</f>
        <v>1.967582E-2</v>
      </c>
      <c r="AM16" s="91"/>
      <c r="AN16" s="90">
        <v>44671</v>
      </c>
      <c r="AO16" s="91">
        <v>17045.25</v>
      </c>
      <c r="AP16" s="91">
        <v>17136.550780000001</v>
      </c>
      <c r="AQ16" s="91">
        <v>17136.550780000001</v>
      </c>
      <c r="AR16" s="91">
        <v>286100</v>
      </c>
      <c r="AS16" s="91">
        <v>1.0500000000000001E-2</v>
      </c>
    </row>
    <row r="17" spans="1:45" x14ac:dyDescent="0.55000000000000004">
      <c r="A17" s="90">
        <v>44672</v>
      </c>
      <c r="B17" s="91">
        <v>7940</v>
      </c>
      <c r="C17" s="91">
        <v>7903.8500979999999</v>
      </c>
      <c r="D17" s="91">
        <v>7640.8647460000002</v>
      </c>
      <c r="E17" s="91">
        <v>1376486</v>
      </c>
      <c r="F17" s="91">
        <v>1.23E-2</v>
      </c>
      <c r="H17" s="90">
        <v>44672</v>
      </c>
      <c r="I17" s="91">
        <v>1269.5399170000001</v>
      </c>
      <c r="J17" s="91">
        <v>1283.938721</v>
      </c>
      <c r="K17" s="91">
        <v>1265.8889160000001</v>
      </c>
      <c r="L17" s="91">
        <v>21708633</v>
      </c>
      <c r="M17" s="91">
        <v>2.3400000000000001E-2</v>
      </c>
      <c r="O17" s="90">
        <v>44672</v>
      </c>
      <c r="P17" s="91">
        <v>682.5</v>
      </c>
      <c r="Q17" s="91">
        <v>687.17498780000005</v>
      </c>
      <c r="R17" s="91">
        <v>653.69238280000002</v>
      </c>
      <c r="S17" s="91">
        <v>52446270</v>
      </c>
      <c r="T17" s="91">
        <v>1.4800000000000001E-2</v>
      </c>
      <c r="V17" s="90">
        <v>44672</v>
      </c>
      <c r="W17" s="91">
        <v>1595</v>
      </c>
      <c r="X17" s="91">
        <v>1618.8000489999999</v>
      </c>
      <c r="Y17" s="91">
        <v>1453.206177</v>
      </c>
      <c r="Z17" s="91">
        <v>7766514</v>
      </c>
      <c r="AA17" s="91">
        <v>1.9599999999999999E-2</v>
      </c>
      <c r="AB17" s="91"/>
      <c r="AC17" s="90">
        <v>44672</v>
      </c>
      <c r="AD17" s="91">
        <v>1279.849976</v>
      </c>
      <c r="AE17" s="91">
        <v>1285.8000489999999</v>
      </c>
      <c r="AF17" s="91">
        <v>1280.561279</v>
      </c>
      <c r="AG17" s="91">
        <v>516906</v>
      </c>
      <c r="AH17" s="91">
        <v>1.5699999999999999E-2</v>
      </c>
      <c r="AI17" s="91"/>
      <c r="AJ17" s="91">
        <f>(F17*'Part 3 Portfolio Analysis'!$B$8+M17*'Part 3 Portfolio Analysis'!$C$8+T17*'Part 3 Portfolio Analysis'!$D$8+AA17*'Part 3 Portfolio Analysis'!$E$8+AH17*'Part 3 Portfolio Analysis'!$F$8)/100</f>
        <v>1.7948606515285591E-2</v>
      </c>
      <c r="AK17" s="91">
        <f>'Part 3 Portfolio Analysis'!$B$107*F17+M17*'Part 3 Portfolio Analysis'!$C$107+T17*'Part 3 Portfolio Analysis'!$D$107+AA17*'Part 3 Portfolio Analysis'!$E$107+AH17*'Part 3 Portfolio Analysis'!$F$107</f>
        <v>1.77486E-2</v>
      </c>
      <c r="AL17" s="91">
        <f>F17*'Part 3 Portfolio Analysis'!$B$121+M17*'Part 3 Portfolio Analysis'!$C$121+'Part 3 Portfolio Analysis'!$D$121*T17+AA17*'Part 3 Portfolio Analysis'!$E$121+'Part 3 Portfolio Analysis'!$F$121*AH17</f>
        <v>1.9186640000000001E-2</v>
      </c>
      <c r="AM17" s="91"/>
      <c r="AN17" s="90">
        <v>44672</v>
      </c>
      <c r="AO17" s="91">
        <v>17234.599610000001</v>
      </c>
      <c r="AP17" s="91">
        <v>17392.599610000001</v>
      </c>
      <c r="AQ17" s="91">
        <v>17392.599610000001</v>
      </c>
      <c r="AR17" s="91">
        <v>285200</v>
      </c>
      <c r="AS17" s="91">
        <v>1.49E-2</v>
      </c>
    </row>
    <row r="18" spans="1:45" x14ac:dyDescent="0.55000000000000004">
      <c r="A18" s="90">
        <v>44673</v>
      </c>
      <c r="B18" s="91">
        <v>7876</v>
      </c>
      <c r="C18" s="91">
        <v>8358</v>
      </c>
      <c r="D18" s="91">
        <v>8079.904297</v>
      </c>
      <c r="E18" s="91">
        <v>1546038</v>
      </c>
      <c r="F18" s="91">
        <v>5.7500000000000002E-2</v>
      </c>
      <c r="H18" s="90">
        <v>44673</v>
      </c>
      <c r="I18" s="91">
        <v>1273.2319339999999</v>
      </c>
      <c r="J18" s="91">
        <v>1273.1857910000001</v>
      </c>
      <c r="K18" s="91">
        <v>1255.287231</v>
      </c>
      <c r="L18" s="91">
        <v>15054154</v>
      </c>
      <c r="M18" s="91">
        <v>-8.3999999999999995E-3</v>
      </c>
      <c r="O18" s="90">
        <v>44673</v>
      </c>
      <c r="P18" s="91">
        <v>680</v>
      </c>
      <c r="Q18" s="91">
        <v>677.79998780000005</v>
      </c>
      <c r="R18" s="91">
        <v>644.77423099999999</v>
      </c>
      <c r="S18" s="91">
        <v>20659148</v>
      </c>
      <c r="T18" s="91">
        <v>-1.3599999999999999E-2</v>
      </c>
      <c r="V18" s="90">
        <v>44673</v>
      </c>
      <c r="W18" s="91">
        <v>1604.349976</v>
      </c>
      <c r="X18" s="91">
        <v>1585.4499510000001</v>
      </c>
      <c r="Y18" s="91">
        <v>1423.267456</v>
      </c>
      <c r="Z18" s="91">
        <v>8134245</v>
      </c>
      <c r="AA18" s="91">
        <v>-2.06E-2</v>
      </c>
      <c r="AB18" s="91"/>
      <c r="AC18" s="90">
        <v>44673</v>
      </c>
      <c r="AD18" s="91">
        <v>1283</v>
      </c>
      <c r="AE18" s="91">
        <v>1286.599976</v>
      </c>
      <c r="AF18" s="91">
        <v>1281.3579099999999</v>
      </c>
      <c r="AG18" s="91">
        <v>481960</v>
      </c>
      <c r="AH18" s="91">
        <v>5.9999999999999995E-4</v>
      </c>
      <c r="AI18" s="91"/>
      <c r="AJ18" s="91">
        <f>(F18*'Part 3 Portfolio Analysis'!$B$8+M18*'Part 3 Portfolio Analysis'!$C$8+T18*'Part 3 Portfolio Analysis'!$D$8+AA18*'Part 3 Portfolio Analysis'!$E$8+AH18*'Part 3 Portfolio Analysis'!$F$8)/100</f>
        <v>8.6271467762864436E-3</v>
      </c>
      <c r="AK18" s="91">
        <f>'Part 3 Portfolio Analysis'!$B$107*F18+M18*'Part 3 Portfolio Analysis'!$C$107+T18*'Part 3 Portfolio Analysis'!$D$107+AA18*'Part 3 Portfolio Analysis'!$E$107+AH18*'Part 3 Portfolio Analysis'!$F$107</f>
        <v>3.703999999999999E-3</v>
      </c>
      <c r="AL18" s="91">
        <f>F18*'Part 3 Portfolio Analysis'!$B$121+M18*'Part 3 Portfolio Analysis'!$C$121+'Part 3 Portfolio Analysis'!$D$121*T18+AA18*'Part 3 Portfolio Analysis'!$E$121+'Part 3 Portfolio Analysis'!$F$121*AH18</f>
        <v>-6.6016199999999999E-3</v>
      </c>
      <c r="AM18" s="91"/>
      <c r="AN18" s="90">
        <v>44673</v>
      </c>
      <c r="AO18" s="91">
        <v>17242.75</v>
      </c>
      <c r="AP18" s="91">
        <v>17171.949219999999</v>
      </c>
      <c r="AQ18" s="91">
        <v>17171.949219999999</v>
      </c>
      <c r="AR18" s="91">
        <v>262700</v>
      </c>
      <c r="AS18" s="91">
        <v>-1.2699999999999999E-2</v>
      </c>
    </row>
    <row r="19" spans="1:45" x14ac:dyDescent="0.55000000000000004">
      <c r="A19" s="90">
        <v>44676</v>
      </c>
      <c r="B19" s="91">
        <v>8319</v>
      </c>
      <c r="C19" s="91">
        <v>8009.3999020000001</v>
      </c>
      <c r="D19" s="91">
        <v>7742.9028319999998</v>
      </c>
      <c r="E19" s="91">
        <v>642502</v>
      </c>
      <c r="F19" s="91">
        <v>-4.1700000000000001E-2</v>
      </c>
      <c r="H19" s="90">
        <v>44676</v>
      </c>
      <c r="I19" s="91">
        <v>1265.6171879999999</v>
      </c>
      <c r="J19" s="91">
        <v>1243.7420649999999</v>
      </c>
      <c r="K19" s="91">
        <v>1226.257568</v>
      </c>
      <c r="L19" s="91">
        <v>17063215</v>
      </c>
      <c r="M19" s="91">
        <v>-2.3099999999999999E-2</v>
      </c>
      <c r="O19" s="90">
        <v>44676</v>
      </c>
      <c r="P19" s="91">
        <v>675</v>
      </c>
      <c r="Q19" s="91">
        <v>682.875</v>
      </c>
      <c r="R19" s="91">
        <v>649.60192870000003</v>
      </c>
      <c r="S19" s="91">
        <v>20935488</v>
      </c>
      <c r="T19" s="91">
        <v>7.4999999999999997E-3</v>
      </c>
      <c r="V19" s="90">
        <v>44676</v>
      </c>
      <c r="W19" s="91">
        <v>1572.8000489999999</v>
      </c>
      <c r="X19" s="91">
        <v>1561.099976</v>
      </c>
      <c r="Y19" s="91">
        <v>1401.4085689999999</v>
      </c>
      <c r="Z19" s="91">
        <v>7000570</v>
      </c>
      <c r="AA19" s="91">
        <v>-1.54E-2</v>
      </c>
      <c r="AB19" s="91"/>
      <c r="AC19" s="90">
        <v>44676</v>
      </c>
      <c r="AD19" s="91">
        <v>1255.3000489999999</v>
      </c>
      <c r="AE19" s="91">
        <v>1237.4499510000001</v>
      </c>
      <c r="AF19" s="91">
        <v>1232.408081</v>
      </c>
      <c r="AG19" s="91">
        <v>403163</v>
      </c>
      <c r="AH19" s="91">
        <v>-3.8199999999999998E-2</v>
      </c>
      <c r="AI19" s="91"/>
      <c r="AJ19" s="91">
        <f>(F19*'Part 3 Portfolio Analysis'!$B$8+M19*'Part 3 Portfolio Analysis'!$C$8+T19*'Part 3 Portfolio Analysis'!$D$8+AA19*'Part 3 Portfolio Analysis'!$E$8+AH19*'Part 3 Portfolio Analysis'!$F$8)/100</f>
        <v>-2.2483924190311786E-2</v>
      </c>
      <c r="AK19" s="91">
        <f>'Part 3 Portfolio Analysis'!$B$107*F19+M19*'Part 3 Portfolio Analysis'!$C$107+T19*'Part 3 Portfolio Analysis'!$D$107+AA19*'Part 3 Portfolio Analysis'!$E$107+AH19*'Part 3 Portfolio Analysis'!$F$107</f>
        <v>-2.4740199999999997E-2</v>
      </c>
      <c r="AL19" s="91">
        <f>F19*'Part 3 Portfolio Analysis'!$B$121+M19*'Part 3 Portfolio Analysis'!$C$121+'Part 3 Portfolio Analysis'!$D$121*T19+AA19*'Part 3 Portfolio Analysis'!$E$121+'Part 3 Portfolio Analysis'!$F$121*AH19</f>
        <v>-1.5161339999999999E-2</v>
      </c>
      <c r="AM19" s="91"/>
      <c r="AN19" s="90">
        <v>44676</v>
      </c>
      <c r="AO19" s="91">
        <v>17009.050780000001</v>
      </c>
      <c r="AP19" s="91">
        <v>16953.949219999999</v>
      </c>
      <c r="AQ19" s="91">
        <v>16953.949219999999</v>
      </c>
      <c r="AR19" s="91">
        <v>275700</v>
      </c>
      <c r="AS19" s="91">
        <v>-1.2699999999999999E-2</v>
      </c>
    </row>
    <row r="20" spans="1:45" x14ac:dyDescent="0.55000000000000004">
      <c r="A20" s="90">
        <v>44677</v>
      </c>
      <c r="B20" s="91">
        <v>8167</v>
      </c>
      <c r="C20" s="91">
        <v>7842.3500979999999</v>
      </c>
      <c r="D20" s="91">
        <v>7581.4111329999996</v>
      </c>
      <c r="E20" s="91">
        <v>636737</v>
      </c>
      <c r="F20" s="91">
        <v>-2.0899999999999998E-2</v>
      </c>
      <c r="H20" s="90">
        <v>44677</v>
      </c>
      <c r="I20" s="91">
        <v>1250.6645510000001</v>
      </c>
      <c r="J20" s="91">
        <v>1280.9620359999999</v>
      </c>
      <c r="K20" s="91">
        <v>1262.9541019999999</v>
      </c>
      <c r="L20" s="91">
        <v>12227666</v>
      </c>
      <c r="M20" s="91">
        <v>2.9899999999999999E-2</v>
      </c>
      <c r="O20" s="90">
        <v>44677</v>
      </c>
      <c r="P20" s="91">
        <v>686</v>
      </c>
      <c r="Q20" s="91">
        <v>686.02502440000001</v>
      </c>
      <c r="R20" s="91">
        <v>652.59844969999995</v>
      </c>
      <c r="S20" s="91">
        <v>17016842</v>
      </c>
      <c r="T20" s="91">
        <v>4.5999999999999999E-3</v>
      </c>
      <c r="V20" s="90">
        <v>44677</v>
      </c>
      <c r="W20" s="91">
        <v>1577.1999510000001</v>
      </c>
      <c r="X20" s="91">
        <v>1581</v>
      </c>
      <c r="Y20" s="91">
        <v>1419.272827</v>
      </c>
      <c r="Z20" s="91">
        <v>5345435</v>
      </c>
      <c r="AA20" s="91">
        <v>1.2699999999999999E-2</v>
      </c>
      <c r="AB20" s="91"/>
      <c r="AC20" s="90">
        <v>44677</v>
      </c>
      <c r="AD20" s="91">
        <v>1248.8000489999999</v>
      </c>
      <c r="AE20" s="91">
        <v>1279.849976</v>
      </c>
      <c r="AF20" s="91">
        <v>1274.635376</v>
      </c>
      <c r="AG20" s="91">
        <v>640781</v>
      </c>
      <c r="AH20" s="91">
        <v>3.4299999999999997E-2</v>
      </c>
      <c r="AI20" s="91"/>
      <c r="AJ20" s="91">
        <f>(F20*'Part 3 Portfolio Analysis'!$B$8+M20*'Part 3 Portfolio Analysis'!$C$8+T20*'Part 3 Portfolio Analysis'!$D$8+AA20*'Part 3 Portfolio Analysis'!$E$8+AH20*'Part 3 Portfolio Analysis'!$F$8)/100</f>
        <v>7.7145851028121316E-3</v>
      </c>
      <c r="AK20" s="91">
        <f>'Part 3 Portfolio Analysis'!$B$107*F20+M20*'Part 3 Portfolio Analysis'!$C$107+T20*'Part 3 Portfolio Analysis'!$D$107+AA20*'Part 3 Portfolio Analysis'!$E$107+AH20*'Part 3 Portfolio Analysis'!$F$107</f>
        <v>1.62233E-2</v>
      </c>
      <c r="AL20" s="91">
        <f>F20*'Part 3 Portfolio Analysis'!$B$121+M20*'Part 3 Portfolio Analysis'!$C$121+'Part 3 Portfolio Analysis'!$D$121*T20+AA20*'Part 3 Portfolio Analysis'!$E$121+'Part 3 Portfolio Analysis'!$F$121*AH20</f>
        <v>1.5517920000000001E-2</v>
      </c>
      <c r="AM20" s="91"/>
      <c r="AN20" s="90">
        <v>44677</v>
      </c>
      <c r="AO20" s="91">
        <v>17121.300780000001</v>
      </c>
      <c r="AP20" s="91">
        <v>17200.800780000001</v>
      </c>
      <c r="AQ20" s="91">
        <v>17200.800780000001</v>
      </c>
      <c r="AR20" s="91">
        <v>261100</v>
      </c>
      <c r="AS20" s="91">
        <v>1.46E-2</v>
      </c>
    </row>
    <row r="21" spans="1:45" x14ac:dyDescent="0.55000000000000004">
      <c r="A21" s="90">
        <v>44678</v>
      </c>
      <c r="B21" s="91">
        <v>7842.3500979999999</v>
      </c>
      <c r="C21" s="91">
        <v>7980.8500979999999</v>
      </c>
      <c r="D21" s="91">
        <v>7715.3032229999999</v>
      </c>
      <c r="E21" s="91">
        <v>1383493</v>
      </c>
      <c r="F21" s="91">
        <v>1.77E-2</v>
      </c>
      <c r="H21" s="90">
        <v>44678</v>
      </c>
      <c r="I21" s="91">
        <v>1271.824341</v>
      </c>
      <c r="J21" s="91">
        <v>1282.20813</v>
      </c>
      <c r="K21" s="91">
        <v>1264.1827390000001</v>
      </c>
      <c r="L21" s="91">
        <v>19338945</v>
      </c>
      <c r="M21" s="91">
        <v>1E-3</v>
      </c>
      <c r="O21" s="90">
        <v>44678</v>
      </c>
      <c r="P21" s="91">
        <v>680</v>
      </c>
      <c r="Q21" s="91">
        <v>686.27502440000001</v>
      </c>
      <c r="R21" s="91">
        <v>652.83636469999999</v>
      </c>
      <c r="S21" s="91">
        <v>18054334</v>
      </c>
      <c r="T21" s="91">
        <v>4.0000000000000002E-4</v>
      </c>
      <c r="V21" s="90">
        <v>44678</v>
      </c>
      <c r="W21" s="91">
        <v>1572.75</v>
      </c>
      <c r="X21" s="91">
        <v>1552.8000489999999</v>
      </c>
      <c r="Y21" s="91">
        <v>1393.9575199999999</v>
      </c>
      <c r="Z21" s="91">
        <v>8819356</v>
      </c>
      <c r="AA21" s="91">
        <v>-1.78E-2</v>
      </c>
      <c r="AB21" s="91"/>
      <c r="AC21" s="90">
        <v>44678</v>
      </c>
      <c r="AD21" s="91">
        <v>1240</v>
      </c>
      <c r="AE21" s="91">
        <v>1225</v>
      </c>
      <c r="AF21" s="91">
        <v>1220.0089109999999</v>
      </c>
      <c r="AG21" s="91">
        <v>705547</v>
      </c>
      <c r="AH21" s="91">
        <v>-4.2900000000000001E-2</v>
      </c>
      <c r="AI21" s="91"/>
      <c r="AJ21" s="91">
        <f>(F21*'Part 3 Portfolio Analysis'!$B$8+M21*'Part 3 Portfolio Analysis'!$C$8+T21*'Part 3 Portfolio Analysis'!$D$8+AA21*'Part 3 Portfolio Analysis'!$E$8+AH21*'Part 3 Portfolio Analysis'!$F$8)/100</f>
        <v>2.4553003660289134E-3</v>
      </c>
      <c r="AK21" s="91">
        <f>'Part 3 Portfolio Analysis'!$B$107*F21+M21*'Part 3 Portfolio Analysis'!$C$107+T21*'Part 3 Portfolio Analysis'!$D$107+AA21*'Part 3 Portfolio Analysis'!$E$107+AH21*'Part 3 Portfolio Analysis'!$F$107</f>
        <v>-9.029800000000001E-3</v>
      </c>
      <c r="AL21" s="91">
        <f>F21*'Part 3 Portfolio Analysis'!$B$121+M21*'Part 3 Portfolio Analysis'!$C$121+'Part 3 Portfolio Analysis'!$D$121*T21+AA21*'Part 3 Portfolio Analysis'!$E$121+'Part 3 Portfolio Analysis'!$F$121*AH21</f>
        <v>-2.7006400000000002E-3</v>
      </c>
      <c r="AM21" s="91"/>
      <c r="AN21" s="90">
        <v>44678</v>
      </c>
      <c r="AO21" s="91">
        <v>17073.349610000001</v>
      </c>
      <c r="AP21" s="91">
        <v>17038.400389999999</v>
      </c>
      <c r="AQ21" s="91">
        <v>17038.400389999999</v>
      </c>
      <c r="AR21" s="91">
        <v>265100</v>
      </c>
      <c r="AS21" s="91">
        <v>-9.4000000000000004E-3</v>
      </c>
    </row>
    <row r="22" spans="1:45" x14ac:dyDescent="0.55000000000000004">
      <c r="A22" s="90">
        <v>44679</v>
      </c>
      <c r="B22" s="91">
        <v>8052.7001950000003</v>
      </c>
      <c r="C22" s="91">
        <v>7843.5</v>
      </c>
      <c r="D22" s="91">
        <v>7582.5229490000002</v>
      </c>
      <c r="E22" s="91">
        <v>648047</v>
      </c>
      <c r="F22" s="91">
        <v>-1.72E-2</v>
      </c>
      <c r="H22" s="90">
        <v>44679</v>
      </c>
      <c r="I22" s="91">
        <v>1296.791504</v>
      </c>
      <c r="J22" s="91">
        <v>1301.3603519999999</v>
      </c>
      <c r="K22" s="91">
        <v>1283.0656739999999</v>
      </c>
      <c r="L22" s="91">
        <v>25614076</v>
      </c>
      <c r="M22" s="91">
        <v>1.49E-2</v>
      </c>
      <c r="O22" s="90">
        <v>44679</v>
      </c>
      <c r="P22" s="91">
        <v>686</v>
      </c>
      <c r="Q22" s="91">
        <v>685.67498780000005</v>
      </c>
      <c r="R22" s="91">
        <v>652.2655029</v>
      </c>
      <c r="S22" s="91">
        <v>20773722</v>
      </c>
      <c r="T22" s="91">
        <v>-8.9999999999999998E-4</v>
      </c>
      <c r="V22" s="90">
        <v>44679</v>
      </c>
      <c r="W22" s="91">
        <v>1570</v>
      </c>
      <c r="X22" s="91">
        <v>1582.599976</v>
      </c>
      <c r="Y22" s="91">
        <v>1420.709106</v>
      </c>
      <c r="Z22" s="91">
        <v>9245177</v>
      </c>
      <c r="AA22" s="91">
        <v>1.9199999999999998E-2</v>
      </c>
      <c r="AB22" s="91"/>
      <c r="AC22" s="90">
        <v>44679</v>
      </c>
      <c r="AD22" s="91">
        <v>1196</v>
      </c>
      <c r="AE22" s="91">
        <v>1225.75</v>
      </c>
      <c r="AF22" s="91">
        <v>1220.755737</v>
      </c>
      <c r="AG22" s="91">
        <v>1076903</v>
      </c>
      <c r="AH22" s="91">
        <v>5.9999999999999995E-4</v>
      </c>
      <c r="AI22" s="91"/>
      <c r="AJ22" s="91">
        <f>(F22*'Part 3 Portfolio Analysis'!$B$8+M22*'Part 3 Portfolio Analysis'!$C$8+T22*'Part 3 Portfolio Analysis'!$D$8+AA22*'Part 3 Portfolio Analysis'!$E$8+AH22*'Part 3 Portfolio Analysis'!$F$8)/100</f>
        <v>3.186611249395158E-3</v>
      </c>
      <c r="AK22" s="91">
        <f>'Part 3 Portfolio Analysis'!$B$107*F22+M22*'Part 3 Portfolio Analysis'!$C$107+T22*'Part 3 Portfolio Analysis'!$D$107+AA22*'Part 3 Portfolio Analysis'!$E$107+AH22*'Part 3 Portfolio Analysis'!$F$107</f>
        <v>3.4993999999999997E-3</v>
      </c>
      <c r="AL22" s="91">
        <f>F22*'Part 3 Portfolio Analysis'!$B$121+M22*'Part 3 Portfolio Analysis'!$C$121+'Part 3 Portfolio Analysis'!$D$121*T22+AA22*'Part 3 Portfolio Analysis'!$E$121+'Part 3 Portfolio Analysis'!$F$121*AH22</f>
        <v>8.4491199999999992E-3</v>
      </c>
      <c r="AM22" s="91"/>
      <c r="AN22" s="90">
        <v>44679</v>
      </c>
      <c r="AO22" s="91">
        <v>17189.5</v>
      </c>
      <c r="AP22" s="91">
        <v>17245.050780000001</v>
      </c>
      <c r="AQ22" s="91">
        <v>17245.050780000001</v>
      </c>
      <c r="AR22" s="91">
        <v>312900</v>
      </c>
      <c r="AS22" s="91">
        <v>1.21E-2</v>
      </c>
    </row>
    <row r="23" spans="1:45" x14ac:dyDescent="0.55000000000000004">
      <c r="A23" s="90">
        <v>44680</v>
      </c>
      <c r="B23" s="91">
        <v>7974</v>
      </c>
      <c r="C23" s="91">
        <v>7746</v>
      </c>
      <c r="D23" s="91">
        <v>7488.2670900000003</v>
      </c>
      <c r="E23" s="91">
        <v>468423</v>
      </c>
      <c r="F23" s="91">
        <v>-1.24E-2</v>
      </c>
      <c r="H23" s="90">
        <v>44680</v>
      </c>
      <c r="I23" s="91">
        <v>1318.112793</v>
      </c>
      <c r="J23" s="91">
        <v>1287.6999510000001</v>
      </c>
      <c r="K23" s="91">
        <v>1269.5972899999999</v>
      </c>
      <c r="L23" s="91">
        <v>18214862</v>
      </c>
      <c r="M23" s="91">
        <v>-1.0500000000000001E-2</v>
      </c>
      <c r="O23" s="90">
        <v>44680</v>
      </c>
      <c r="P23" s="91">
        <v>690.17498780000005</v>
      </c>
      <c r="Q23" s="91">
        <v>692.29998780000005</v>
      </c>
      <c r="R23" s="91">
        <v>658.56768799999998</v>
      </c>
      <c r="S23" s="91">
        <v>28401476</v>
      </c>
      <c r="T23" s="91">
        <v>9.7000000000000003E-3</v>
      </c>
      <c r="V23" s="90">
        <v>44680</v>
      </c>
      <c r="W23" s="91">
        <v>1590</v>
      </c>
      <c r="X23" s="91">
        <v>1567.5500489999999</v>
      </c>
      <c r="Y23" s="91">
        <v>1407.1986079999999</v>
      </c>
      <c r="Z23" s="91">
        <v>9831395</v>
      </c>
      <c r="AA23" s="91">
        <v>-9.4999999999999998E-3</v>
      </c>
      <c r="AB23" s="91"/>
      <c r="AC23" s="90">
        <v>44680</v>
      </c>
      <c r="AD23" s="91">
        <v>1240</v>
      </c>
      <c r="AE23" s="91">
        <v>1228.400024</v>
      </c>
      <c r="AF23" s="91">
        <v>1223.3950199999999</v>
      </c>
      <c r="AG23" s="91">
        <v>439063</v>
      </c>
      <c r="AH23" s="91">
        <v>2.2000000000000001E-3</v>
      </c>
      <c r="AI23" s="91"/>
      <c r="AJ23" s="91">
        <f>(F23*'Part 3 Portfolio Analysis'!$B$8+M23*'Part 3 Portfolio Analysis'!$C$8+T23*'Part 3 Portfolio Analysis'!$D$8+AA23*'Part 3 Portfolio Analysis'!$E$8+AH23*'Part 3 Portfolio Analysis'!$F$8)/100</f>
        <v>-7.4153252019407223E-3</v>
      </c>
      <c r="AK23" s="91">
        <f>'Part 3 Portfolio Analysis'!$B$107*F23+M23*'Part 3 Portfolio Analysis'!$C$107+T23*'Part 3 Portfolio Analysis'!$D$107+AA23*'Part 3 Portfolio Analysis'!$E$107+AH23*'Part 3 Portfolio Analysis'!$F$107</f>
        <v>-4.4106000000000015E-3</v>
      </c>
      <c r="AL23" s="91">
        <f>F23*'Part 3 Portfolio Analysis'!$B$121+M23*'Part 3 Portfolio Analysis'!$C$121+'Part 3 Portfolio Analysis'!$D$121*T23+AA23*'Part 3 Portfolio Analysis'!$E$121+'Part 3 Portfolio Analysis'!$F$121*AH23</f>
        <v>-4.6290399999999992E-3</v>
      </c>
      <c r="AM23" s="91"/>
      <c r="AN23" s="90">
        <v>44680</v>
      </c>
      <c r="AO23" s="91">
        <v>17329.25</v>
      </c>
      <c r="AP23" s="91">
        <v>17102.550780000001</v>
      </c>
      <c r="AQ23" s="91">
        <v>17102.550780000001</v>
      </c>
      <c r="AR23" s="91">
        <v>336200</v>
      </c>
      <c r="AS23" s="91">
        <v>-8.3000000000000001E-3</v>
      </c>
    </row>
    <row r="24" spans="1:45" x14ac:dyDescent="0.55000000000000004">
      <c r="A24" s="90">
        <v>44683</v>
      </c>
      <c r="B24" s="91">
        <v>7690</v>
      </c>
      <c r="C24" s="91">
        <v>7672.25</v>
      </c>
      <c r="D24" s="91">
        <v>7416.9711909999996</v>
      </c>
      <c r="E24" s="91">
        <v>417790</v>
      </c>
      <c r="F24" s="91">
        <v>-9.4999999999999998E-3</v>
      </c>
      <c r="H24" s="90">
        <v>44683</v>
      </c>
      <c r="I24" s="91">
        <v>1274.6625979999999</v>
      </c>
      <c r="J24" s="91">
        <v>1283.177246</v>
      </c>
      <c r="K24" s="91">
        <v>1265.1381839999999</v>
      </c>
      <c r="L24" s="91">
        <v>9467006</v>
      </c>
      <c r="M24" s="91">
        <v>-3.5000000000000001E-3</v>
      </c>
      <c r="O24" s="90">
        <v>44683</v>
      </c>
      <c r="P24" s="91">
        <v>681.02502440000001</v>
      </c>
      <c r="Q24" s="91">
        <v>701.84997559999999</v>
      </c>
      <c r="R24" s="91">
        <v>667.65234380000004</v>
      </c>
      <c r="S24" s="91">
        <v>19494316</v>
      </c>
      <c r="T24" s="91">
        <v>1.38E-2</v>
      </c>
      <c r="V24" s="90">
        <v>44683</v>
      </c>
      <c r="W24" s="91">
        <v>1550.900024</v>
      </c>
      <c r="X24" s="91">
        <v>1541</v>
      </c>
      <c r="Y24" s="91">
        <v>1383.3645019999999</v>
      </c>
      <c r="Z24" s="91">
        <v>7072627</v>
      </c>
      <c r="AA24" s="91">
        <v>-1.6899999999999998E-2</v>
      </c>
      <c r="AB24" s="91"/>
      <c r="AC24" s="90">
        <v>44683</v>
      </c>
      <c r="AD24" s="91">
        <v>1220</v>
      </c>
      <c r="AE24" s="91">
        <v>1220.1999510000001</v>
      </c>
      <c r="AF24" s="91">
        <v>1215.2285159999999</v>
      </c>
      <c r="AG24" s="91">
        <v>488409</v>
      </c>
      <c r="AH24" s="91">
        <v>-6.7000000000000002E-3</v>
      </c>
      <c r="AI24" s="91"/>
      <c r="AJ24" s="91">
        <f>(F24*'Part 3 Portfolio Analysis'!$B$8+M24*'Part 3 Portfolio Analysis'!$C$8+T24*'Part 3 Portfolio Analysis'!$D$8+AA24*'Part 3 Portfolio Analysis'!$E$8+AH24*'Part 3 Portfolio Analysis'!$F$8)/100</f>
        <v>-4.6019256288533658E-3</v>
      </c>
      <c r="AK24" s="91">
        <f>'Part 3 Portfolio Analysis'!$B$107*F24+M24*'Part 3 Portfolio Analysis'!$C$107+T24*'Part 3 Portfolio Analysis'!$D$107+AA24*'Part 3 Portfolio Analysis'!$E$107+AH24*'Part 3 Portfolio Analysis'!$F$107</f>
        <v>-4.0449000000000006E-3</v>
      </c>
      <c r="AL24" s="91">
        <f>F24*'Part 3 Portfolio Analysis'!$B$121+M24*'Part 3 Portfolio Analysis'!$C$121+'Part 3 Portfolio Analysis'!$D$121*T24+AA24*'Part 3 Portfolio Analysis'!$E$121+'Part 3 Portfolio Analysis'!$F$121*AH24</f>
        <v>-2.0514399999999994E-3</v>
      </c>
      <c r="AM24" s="91"/>
      <c r="AN24" s="90">
        <v>44683</v>
      </c>
      <c r="AO24" s="91">
        <v>16924.449219999999</v>
      </c>
      <c r="AP24" s="91">
        <v>17069.099610000001</v>
      </c>
      <c r="AQ24" s="91">
        <v>17069.099610000001</v>
      </c>
      <c r="AR24" s="91">
        <v>278200</v>
      </c>
      <c r="AS24" s="91">
        <v>-2E-3</v>
      </c>
    </row>
    <row r="25" spans="1:45" x14ac:dyDescent="0.55000000000000004">
      <c r="A25" s="90">
        <v>44685</v>
      </c>
      <c r="B25" s="91">
        <v>7748</v>
      </c>
      <c r="C25" s="91">
        <v>7776.5</v>
      </c>
      <c r="D25" s="91">
        <v>7517.7524409999996</v>
      </c>
      <c r="E25" s="91">
        <v>495595</v>
      </c>
      <c r="F25" s="91">
        <v>1.3599999999999999E-2</v>
      </c>
      <c r="H25" s="90">
        <v>44685</v>
      </c>
      <c r="I25" s="91">
        <v>1285.2771</v>
      </c>
      <c r="J25" s="91">
        <v>1243.119019</v>
      </c>
      <c r="K25" s="91">
        <v>1225.6430660000001</v>
      </c>
      <c r="L25" s="91">
        <v>19247660</v>
      </c>
      <c r="M25" s="91">
        <v>-3.1199999999999999E-2</v>
      </c>
      <c r="O25" s="90">
        <v>44685</v>
      </c>
      <c r="P25" s="91">
        <v>700</v>
      </c>
      <c r="Q25" s="91">
        <v>678</v>
      </c>
      <c r="R25" s="91">
        <v>644.96447750000004</v>
      </c>
      <c r="S25" s="91">
        <v>29055916</v>
      </c>
      <c r="T25" s="91">
        <v>-3.4000000000000002E-2</v>
      </c>
      <c r="V25" s="90">
        <v>44685</v>
      </c>
      <c r="W25" s="91">
        <v>1547.25</v>
      </c>
      <c r="X25" s="91">
        <v>1535.5500489999999</v>
      </c>
      <c r="Y25" s="91">
        <v>1378.4722899999999</v>
      </c>
      <c r="Z25" s="91">
        <v>6220959</v>
      </c>
      <c r="AA25" s="91">
        <v>-3.5000000000000001E-3</v>
      </c>
      <c r="AB25" s="91"/>
      <c r="AC25" s="90">
        <v>44685</v>
      </c>
      <c r="AD25" s="91">
        <v>1223.599976</v>
      </c>
      <c r="AE25" s="91">
        <v>1213.25</v>
      </c>
      <c r="AF25" s="91">
        <v>1208.306885</v>
      </c>
      <c r="AG25" s="91">
        <v>489438</v>
      </c>
      <c r="AH25" s="91">
        <v>-5.7000000000000002E-3</v>
      </c>
      <c r="AI25" s="91"/>
      <c r="AJ25" s="91">
        <f>(F25*'Part 3 Portfolio Analysis'!$B$8+M25*'Part 3 Portfolio Analysis'!$C$8+T25*'Part 3 Portfolio Analysis'!$D$8+AA25*'Part 3 Portfolio Analysis'!$E$8+AH25*'Part 3 Portfolio Analysis'!$F$8)/100</f>
        <v>-1.3519988956650495E-2</v>
      </c>
      <c r="AK25" s="91">
        <f>'Part 3 Portfolio Analysis'!$B$107*F25+M25*'Part 3 Portfolio Analysis'!$C$107+T25*'Part 3 Portfolio Analysis'!$D$107+AA25*'Part 3 Portfolio Analysis'!$E$107+AH25*'Part 3 Portfolio Analysis'!$F$107</f>
        <v>-1.4374000000000001E-2</v>
      </c>
      <c r="AL25" s="91">
        <f>F25*'Part 3 Portfolio Analysis'!$B$121+M25*'Part 3 Portfolio Analysis'!$C$121+'Part 3 Portfolio Analysis'!$D$121*T25+AA25*'Part 3 Portfolio Analysis'!$E$121+'Part 3 Portfolio Analysis'!$F$121*AH25</f>
        <v>-2.2070940000000001E-2</v>
      </c>
      <c r="AM25" s="91"/>
      <c r="AN25" s="90">
        <v>44685</v>
      </c>
      <c r="AO25" s="91">
        <v>17096.599610000001</v>
      </c>
      <c r="AP25" s="91">
        <v>16677.599610000001</v>
      </c>
      <c r="AQ25" s="91">
        <v>16677.599610000001</v>
      </c>
      <c r="AR25" s="91">
        <v>310600</v>
      </c>
      <c r="AS25" s="91">
        <v>-2.29E-2</v>
      </c>
    </row>
    <row r="26" spans="1:45" x14ac:dyDescent="0.55000000000000004">
      <c r="A26" s="90">
        <v>44686</v>
      </c>
      <c r="B26" s="91">
        <v>7815</v>
      </c>
      <c r="C26" s="91">
        <v>7826.2001950000003</v>
      </c>
      <c r="D26" s="91">
        <v>7565.798828</v>
      </c>
      <c r="E26" s="91">
        <v>244579</v>
      </c>
      <c r="F26" s="91">
        <v>6.4000000000000003E-3</v>
      </c>
      <c r="H26" s="90">
        <v>44686</v>
      </c>
      <c r="I26" s="91">
        <v>1256.894775</v>
      </c>
      <c r="J26" s="91">
        <v>1218.7749020000001</v>
      </c>
      <c r="K26" s="91">
        <v>1201.6412350000001</v>
      </c>
      <c r="L26" s="91">
        <v>17210669</v>
      </c>
      <c r="M26" s="91">
        <v>-1.9599999999999999E-2</v>
      </c>
      <c r="O26" s="90">
        <v>44686</v>
      </c>
      <c r="P26" s="91">
        <v>687.5</v>
      </c>
      <c r="Q26" s="91">
        <v>676.47497559999999</v>
      </c>
      <c r="R26" s="91">
        <v>643.5137939</v>
      </c>
      <c r="S26" s="91">
        <v>17862912</v>
      </c>
      <c r="T26" s="91">
        <v>-2.2000000000000001E-3</v>
      </c>
      <c r="V26" s="90">
        <v>44686</v>
      </c>
      <c r="W26" s="91">
        <v>1560.0500489999999</v>
      </c>
      <c r="X26" s="91">
        <v>1585.150024</v>
      </c>
      <c r="Y26" s="91">
        <v>1422.9982910000001</v>
      </c>
      <c r="Z26" s="91">
        <v>6144870</v>
      </c>
      <c r="AA26" s="91">
        <v>3.2300000000000002E-2</v>
      </c>
      <c r="AB26" s="91"/>
      <c r="AC26" s="90">
        <v>44686</v>
      </c>
      <c r="AD26" s="91">
        <v>1234</v>
      </c>
      <c r="AE26" s="91">
        <v>1212.349976</v>
      </c>
      <c r="AF26" s="91">
        <v>1207.4105219999999</v>
      </c>
      <c r="AG26" s="91">
        <v>464980</v>
      </c>
      <c r="AH26" s="91">
        <v>-6.9999999999999999E-4</v>
      </c>
      <c r="AI26" s="91"/>
      <c r="AJ26" s="91">
        <f>(F26*'Part 3 Portfolio Analysis'!$B$8+M26*'Part 3 Portfolio Analysis'!$C$8+T26*'Part 3 Portfolio Analysis'!$D$8+AA26*'Part 3 Portfolio Analysis'!$E$8+AH26*'Part 3 Portfolio Analysis'!$F$8)/100</f>
        <v>-3.6028575538690126E-4</v>
      </c>
      <c r="AK26" s="91">
        <f>'Part 3 Portfolio Analysis'!$B$107*F26+M26*'Part 3 Portfolio Analysis'!$C$107+T26*'Part 3 Portfolio Analysis'!$D$107+AA26*'Part 3 Portfolio Analysis'!$E$107+AH26*'Part 3 Portfolio Analysis'!$F$107</f>
        <v>-2.2702E-3</v>
      </c>
      <c r="AL26" s="91">
        <f>F26*'Part 3 Portfolio Analysis'!$B$121+M26*'Part 3 Portfolio Analysis'!$C$121+'Part 3 Portfolio Analysis'!$D$121*T26+AA26*'Part 3 Portfolio Analysis'!$E$121+'Part 3 Portfolio Analysis'!$F$121*AH26</f>
        <v>-1.8548199999999996E-3</v>
      </c>
      <c r="AM26" s="91"/>
      <c r="AN26" s="90">
        <v>44686</v>
      </c>
      <c r="AO26" s="91">
        <v>16854.75</v>
      </c>
      <c r="AP26" s="91">
        <v>16682.650389999999</v>
      </c>
      <c r="AQ26" s="91">
        <v>16682.650389999999</v>
      </c>
      <c r="AR26" s="91">
        <v>265800</v>
      </c>
      <c r="AS26" s="91">
        <v>2.9999999999999997E-4</v>
      </c>
    </row>
    <row r="27" spans="1:45" x14ac:dyDescent="0.55000000000000004">
      <c r="A27" s="90">
        <v>44687</v>
      </c>
      <c r="B27" s="91">
        <v>7575</v>
      </c>
      <c r="C27" s="91">
        <v>7508</v>
      </c>
      <c r="D27" s="91">
        <v>7258.1860349999997</v>
      </c>
      <c r="E27" s="91">
        <v>499986</v>
      </c>
      <c r="F27" s="91">
        <v>-4.07E-2</v>
      </c>
      <c r="H27" s="90">
        <v>44687</v>
      </c>
      <c r="I27" s="91">
        <v>1205.5299070000001</v>
      </c>
      <c r="J27" s="91">
        <v>1209.4295649999999</v>
      </c>
      <c r="K27" s="91">
        <v>1192.427246</v>
      </c>
      <c r="L27" s="91">
        <v>19649948</v>
      </c>
      <c r="M27" s="91">
        <v>-7.7000000000000002E-3</v>
      </c>
      <c r="O27" s="90">
        <v>44687</v>
      </c>
      <c r="P27" s="91">
        <v>665</v>
      </c>
      <c r="Q27" s="91">
        <v>658.79998780000005</v>
      </c>
      <c r="R27" s="91">
        <v>626.69995119999999</v>
      </c>
      <c r="S27" s="91">
        <v>26731268</v>
      </c>
      <c r="T27" s="91">
        <v>-2.6100000000000002E-2</v>
      </c>
      <c r="V27" s="90">
        <v>44687</v>
      </c>
      <c r="W27" s="91">
        <v>1550</v>
      </c>
      <c r="X27" s="91">
        <v>1542.849976</v>
      </c>
      <c r="Y27" s="91">
        <v>1385.025269</v>
      </c>
      <c r="Z27" s="91">
        <v>6171472</v>
      </c>
      <c r="AA27" s="91">
        <v>-2.6700000000000002E-2</v>
      </c>
      <c r="AB27" s="91"/>
      <c r="AC27" s="90">
        <v>44687</v>
      </c>
      <c r="AD27" s="91">
        <v>1192</v>
      </c>
      <c r="AE27" s="91">
        <v>1146.75</v>
      </c>
      <c r="AF27" s="91">
        <v>1142.077759</v>
      </c>
      <c r="AG27" s="91">
        <v>840078</v>
      </c>
      <c r="AH27" s="91">
        <v>-5.4100000000000002E-2</v>
      </c>
      <c r="AI27" s="91"/>
      <c r="AJ27" s="91">
        <f>(F27*'Part 3 Portfolio Analysis'!$B$8+M27*'Part 3 Portfolio Analysis'!$C$8+T27*'Part 3 Portfolio Analysis'!$D$8+AA27*'Part 3 Portfolio Analysis'!$E$8+AH27*'Part 3 Portfolio Analysis'!$F$8)/100</f>
        <v>-2.4180586407671057E-2</v>
      </c>
      <c r="AK27" s="91">
        <f>'Part 3 Portfolio Analysis'!$B$107*F27+M27*'Part 3 Portfolio Analysis'!$C$107+T27*'Part 3 Portfolio Analysis'!$D$107+AA27*'Part 3 Portfolio Analysis'!$E$107+AH27*'Part 3 Portfolio Analysis'!$F$107</f>
        <v>-3.0084800000000002E-2</v>
      </c>
      <c r="AL27" s="91">
        <f>F27*'Part 3 Portfolio Analysis'!$B$121+M27*'Part 3 Portfolio Analysis'!$C$121+'Part 3 Portfolio Analysis'!$D$121*T27+AA27*'Part 3 Portfolio Analysis'!$E$121+'Part 3 Portfolio Analysis'!$F$121*AH27</f>
        <v>-2.0433079999999999E-2</v>
      </c>
      <c r="AM27" s="91"/>
      <c r="AN27" s="90">
        <v>44687</v>
      </c>
      <c r="AO27" s="91">
        <v>16415.550780000001</v>
      </c>
      <c r="AP27" s="91">
        <v>16411.25</v>
      </c>
      <c r="AQ27" s="91">
        <v>16411.25</v>
      </c>
      <c r="AR27" s="91">
        <v>300500</v>
      </c>
      <c r="AS27" s="91">
        <v>-1.6299999999999999E-2</v>
      </c>
    </row>
    <row r="28" spans="1:45" x14ac:dyDescent="0.55000000000000004">
      <c r="A28" s="90">
        <v>44690</v>
      </c>
      <c r="B28" s="91">
        <v>7468</v>
      </c>
      <c r="C28" s="91">
        <v>7227.2998049999997</v>
      </c>
      <c r="D28" s="91">
        <v>6986.826172</v>
      </c>
      <c r="E28" s="91">
        <v>540875</v>
      </c>
      <c r="F28" s="91">
        <v>-3.7400000000000003E-2</v>
      </c>
      <c r="H28" s="90">
        <v>44690</v>
      </c>
      <c r="I28" s="91">
        <v>1188.3389890000001</v>
      </c>
      <c r="J28" s="91">
        <v>1162.195068</v>
      </c>
      <c r="K28" s="91">
        <v>1145.856812</v>
      </c>
      <c r="L28" s="91">
        <v>18083752</v>
      </c>
      <c r="M28" s="91">
        <v>-3.9100000000000003E-2</v>
      </c>
      <c r="O28" s="90">
        <v>44690</v>
      </c>
      <c r="P28" s="91">
        <v>650</v>
      </c>
      <c r="Q28" s="91">
        <v>659.92498780000005</v>
      </c>
      <c r="R28" s="91">
        <v>627.77014159999999</v>
      </c>
      <c r="S28" s="91">
        <v>32762434</v>
      </c>
      <c r="T28" s="91">
        <v>1.6999999999999999E-3</v>
      </c>
      <c r="V28" s="90">
        <v>44690</v>
      </c>
      <c r="W28" s="91">
        <v>1540</v>
      </c>
      <c r="X28" s="91">
        <v>1570.349976</v>
      </c>
      <c r="Y28" s="91">
        <v>1409.71228</v>
      </c>
      <c r="Z28" s="91">
        <v>6832202</v>
      </c>
      <c r="AA28" s="91">
        <v>1.78E-2</v>
      </c>
      <c r="AB28" s="91"/>
      <c r="AC28" s="90">
        <v>44690</v>
      </c>
      <c r="AD28" s="91">
        <v>1135.8000489999999</v>
      </c>
      <c r="AE28" s="91">
        <v>1103.849976</v>
      </c>
      <c r="AF28" s="91">
        <v>1099.352539</v>
      </c>
      <c r="AG28" s="91">
        <v>873730</v>
      </c>
      <c r="AH28" s="91">
        <v>-3.7400000000000003E-2</v>
      </c>
      <c r="AI28" s="91"/>
      <c r="AJ28" s="91">
        <f>(F28*'Part 3 Portfolio Analysis'!$B$8+M28*'Part 3 Portfolio Analysis'!$C$8+T28*'Part 3 Portfolio Analysis'!$D$8+AA28*'Part 3 Portfolio Analysis'!$E$8+AH28*'Part 3 Portfolio Analysis'!$F$8)/100</f>
        <v>-2.261030658081916E-2</v>
      </c>
      <c r="AK28" s="91">
        <f>'Part 3 Portfolio Analysis'!$B$107*F28+M28*'Part 3 Portfolio Analysis'!$C$107+T28*'Part 3 Portfolio Analysis'!$D$107+AA28*'Part 3 Portfolio Analysis'!$E$107+AH28*'Part 3 Portfolio Analysis'!$F$107</f>
        <v>-2.6351600000000003E-2</v>
      </c>
      <c r="AL28" s="91">
        <f>F28*'Part 3 Portfolio Analysis'!$B$121+M28*'Part 3 Portfolio Analysis'!$C$121+'Part 3 Portfolio Analysis'!$D$121*T28+AA28*'Part 3 Portfolio Analysis'!$E$121+'Part 3 Portfolio Analysis'!$F$121*AH28</f>
        <v>-1.6438119999999997E-2</v>
      </c>
      <c r="AM28" s="91"/>
      <c r="AN28" s="90">
        <v>44690</v>
      </c>
      <c r="AO28" s="91">
        <v>16227.700199999999</v>
      </c>
      <c r="AP28" s="91">
        <v>16301.849609999999</v>
      </c>
      <c r="AQ28" s="91">
        <v>16301.849609999999</v>
      </c>
      <c r="AR28" s="91">
        <v>288400</v>
      </c>
      <c r="AS28" s="91">
        <v>-6.7000000000000002E-3</v>
      </c>
    </row>
    <row r="29" spans="1:45" x14ac:dyDescent="0.55000000000000004">
      <c r="A29" s="90">
        <v>44691</v>
      </c>
      <c r="B29" s="91">
        <v>7168</v>
      </c>
      <c r="C29" s="91">
        <v>6815.7001950000003</v>
      </c>
      <c r="D29" s="91">
        <v>6588.9213870000003</v>
      </c>
      <c r="E29" s="91">
        <v>602605</v>
      </c>
      <c r="F29" s="91">
        <v>-5.7000000000000002E-2</v>
      </c>
      <c r="H29" s="90">
        <v>44691</v>
      </c>
      <c r="I29" s="91">
        <v>1151.442139</v>
      </c>
      <c r="J29" s="91">
        <v>1142.0505370000001</v>
      </c>
      <c r="K29" s="91">
        <v>1125.9954829999999</v>
      </c>
      <c r="L29" s="91">
        <v>19511677</v>
      </c>
      <c r="M29" s="91">
        <v>-1.7299999999999999E-2</v>
      </c>
      <c r="O29" s="90">
        <v>44691</v>
      </c>
      <c r="P29" s="91">
        <v>657.52502440000001</v>
      </c>
      <c r="Q29" s="91">
        <v>670.52502440000001</v>
      </c>
      <c r="R29" s="91">
        <v>637.8536987</v>
      </c>
      <c r="S29" s="91">
        <v>20113812</v>
      </c>
      <c r="T29" s="91">
        <v>1.61E-2</v>
      </c>
      <c r="V29" s="90">
        <v>44691</v>
      </c>
      <c r="W29" s="91">
        <v>1558</v>
      </c>
      <c r="X29" s="91">
        <v>1553</v>
      </c>
      <c r="Y29" s="91">
        <v>1394.1370850000001</v>
      </c>
      <c r="Z29" s="91">
        <v>6212545</v>
      </c>
      <c r="AA29" s="91">
        <v>-1.0999999999999999E-2</v>
      </c>
      <c r="AB29" s="91"/>
      <c r="AC29" s="90">
        <v>44691</v>
      </c>
      <c r="AD29" s="91">
        <v>1100</v>
      </c>
      <c r="AE29" s="91">
        <v>1060.150024</v>
      </c>
      <c r="AF29" s="91">
        <v>1055.830688</v>
      </c>
      <c r="AG29" s="91">
        <v>663951</v>
      </c>
      <c r="AH29" s="91">
        <v>-3.9600000000000003E-2</v>
      </c>
      <c r="AI29" s="91"/>
      <c r="AJ29" s="91">
        <f>(F29*'Part 3 Portfolio Analysis'!$B$8+M29*'Part 3 Portfolio Analysis'!$C$8+T29*'Part 3 Portfolio Analysis'!$D$8+AA29*'Part 3 Portfolio Analysis'!$E$8+AH29*'Part 3 Portfolio Analysis'!$F$8)/100</f>
        <v>-2.2842525523941545E-2</v>
      </c>
      <c r="AK29" s="91">
        <f>'Part 3 Portfolio Analysis'!$B$107*F29+M29*'Part 3 Portfolio Analysis'!$C$107+T29*'Part 3 Portfolio Analysis'!$D$107+AA29*'Part 3 Portfolio Analysis'!$E$107+AH29*'Part 3 Portfolio Analysis'!$F$107</f>
        <v>-2.4258599999999998E-2</v>
      </c>
      <c r="AL29" s="91">
        <f>F29*'Part 3 Portfolio Analysis'!$B$121+M29*'Part 3 Portfolio Analysis'!$C$121+'Part 3 Portfolio Analysis'!$D$121*T29+AA29*'Part 3 Portfolio Analysis'!$E$121+'Part 3 Portfolio Analysis'!$F$121*AH29</f>
        <v>-1.08028E-2</v>
      </c>
      <c r="AM29" s="91"/>
      <c r="AN29" s="90">
        <v>44691</v>
      </c>
      <c r="AO29" s="91">
        <v>16248.900390000001</v>
      </c>
      <c r="AP29" s="91">
        <v>16240.049800000001</v>
      </c>
      <c r="AQ29" s="91">
        <v>16240.049800000001</v>
      </c>
      <c r="AR29" s="91">
        <v>283100</v>
      </c>
      <c r="AS29" s="91">
        <v>-3.8E-3</v>
      </c>
    </row>
    <row r="30" spans="1:45" x14ac:dyDescent="0.55000000000000004">
      <c r="A30" s="90">
        <v>44692</v>
      </c>
      <c r="B30" s="91">
        <v>6801</v>
      </c>
      <c r="C30" s="91">
        <v>6872.5</v>
      </c>
      <c r="D30" s="91">
        <v>6643.8315430000002</v>
      </c>
      <c r="E30" s="91">
        <v>1162695</v>
      </c>
      <c r="F30" s="91">
        <v>8.3000000000000001E-3</v>
      </c>
      <c r="H30" s="90">
        <v>44692</v>
      </c>
      <c r="I30" s="91">
        <v>1141.127563</v>
      </c>
      <c r="J30" s="91">
        <v>1130.3515629999999</v>
      </c>
      <c r="K30" s="91">
        <v>1114.4609379999999</v>
      </c>
      <c r="L30" s="91">
        <v>16643899</v>
      </c>
      <c r="M30" s="91">
        <v>-1.0200000000000001E-2</v>
      </c>
      <c r="O30" s="90">
        <v>44692</v>
      </c>
      <c r="P30" s="91">
        <v>676.5</v>
      </c>
      <c r="Q30" s="91">
        <v>674.29998780000005</v>
      </c>
      <c r="R30" s="91">
        <v>641.44476320000001</v>
      </c>
      <c r="S30" s="91">
        <v>17102924</v>
      </c>
      <c r="T30" s="91">
        <v>5.5999999999999999E-3</v>
      </c>
      <c r="V30" s="90">
        <v>44692</v>
      </c>
      <c r="W30" s="91">
        <v>1549.9499510000001</v>
      </c>
      <c r="X30" s="91">
        <v>1526.75</v>
      </c>
      <c r="Y30" s="91">
        <v>1370.5722659999999</v>
      </c>
      <c r="Z30" s="91">
        <v>7846080</v>
      </c>
      <c r="AA30" s="91">
        <v>-1.6899999999999998E-2</v>
      </c>
      <c r="AB30" s="91"/>
      <c r="AC30" s="90">
        <v>44692</v>
      </c>
      <c r="AD30" s="91">
        <v>1073</v>
      </c>
      <c r="AE30" s="91">
        <v>1045.900024</v>
      </c>
      <c r="AF30" s="91">
        <v>1041.638672</v>
      </c>
      <c r="AG30" s="91">
        <v>805254</v>
      </c>
      <c r="AH30" s="91">
        <v>-1.34E-2</v>
      </c>
      <c r="AI30" s="91"/>
      <c r="AJ30" s="91">
        <f>(F30*'Part 3 Portfolio Analysis'!$B$8+M30*'Part 3 Portfolio Analysis'!$C$8+T30*'Part 3 Portfolio Analysis'!$D$8+AA30*'Part 3 Portfolio Analysis'!$E$8+AH30*'Part 3 Portfolio Analysis'!$F$8)/100</f>
        <v>-3.1238897612166278E-3</v>
      </c>
      <c r="AK30" s="91">
        <f>'Part 3 Portfolio Analysis'!$B$107*F30+M30*'Part 3 Portfolio Analysis'!$C$107+T30*'Part 3 Portfolio Analysis'!$D$107+AA30*'Part 3 Portfolio Analysis'!$E$107+AH30*'Part 3 Portfolio Analysis'!$F$107</f>
        <v>-5.8974000000000006E-3</v>
      </c>
      <c r="AL30" s="91">
        <f>F30*'Part 3 Portfolio Analysis'!$B$121+M30*'Part 3 Portfolio Analysis'!$C$121+'Part 3 Portfolio Analysis'!$D$121*T30+AA30*'Part 3 Portfolio Analysis'!$E$121+'Part 3 Portfolio Analysis'!$F$121*AH30</f>
        <v>-5.8055399999999997E-3</v>
      </c>
      <c r="AM30" s="91"/>
      <c r="AN30" s="90">
        <v>44692</v>
      </c>
      <c r="AO30" s="91">
        <v>16270.049800000001</v>
      </c>
      <c r="AP30" s="91">
        <v>16167.099609999999</v>
      </c>
      <c r="AQ30" s="91">
        <v>16167.099609999999</v>
      </c>
      <c r="AR30" s="91">
        <v>284300</v>
      </c>
      <c r="AS30" s="91">
        <v>-4.4999999999999997E-3</v>
      </c>
    </row>
    <row r="31" spans="1:45" x14ac:dyDescent="0.55000000000000004">
      <c r="A31" s="90">
        <v>44693</v>
      </c>
      <c r="B31" s="91">
        <v>6805.2998049999997</v>
      </c>
      <c r="C31" s="91">
        <v>6884.5</v>
      </c>
      <c r="D31" s="91">
        <v>6655.4316410000001</v>
      </c>
      <c r="E31" s="91">
        <v>890703</v>
      </c>
      <c r="F31" s="91">
        <v>1.6999999999999999E-3</v>
      </c>
      <c r="H31" s="90">
        <v>44693</v>
      </c>
      <c r="I31" s="91">
        <v>1120.290894</v>
      </c>
      <c r="J31" s="91">
        <v>1107.322754</v>
      </c>
      <c r="K31" s="91">
        <v>1091.7558590000001</v>
      </c>
      <c r="L31" s="91">
        <v>20490321</v>
      </c>
      <c r="M31" s="91">
        <v>-2.0400000000000001E-2</v>
      </c>
      <c r="O31" s="90">
        <v>44693</v>
      </c>
      <c r="P31" s="91">
        <v>660.54998780000005</v>
      </c>
      <c r="Q31" s="91">
        <v>651.52502440000001</v>
      </c>
      <c r="R31" s="91">
        <v>626.98559569999998</v>
      </c>
      <c r="S31" s="91">
        <v>22382290</v>
      </c>
      <c r="T31" s="91">
        <v>-2.2499999999999999E-2</v>
      </c>
      <c r="V31" s="90">
        <v>44693</v>
      </c>
      <c r="W31" s="91">
        <v>1514</v>
      </c>
      <c r="X31" s="91">
        <v>1508.8000489999999</v>
      </c>
      <c r="Y31" s="91">
        <v>1354.458496</v>
      </c>
      <c r="Z31" s="91">
        <v>7034979</v>
      </c>
      <c r="AA31" s="91">
        <v>-1.18E-2</v>
      </c>
      <c r="AB31" s="91"/>
      <c r="AC31" s="90">
        <v>44693</v>
      </c>
      <c r="AD31" s="91">
        <v>1045</v>
      </c>
      <c r="AE31" s="91">
        <v>1010.849976</v>
      </c>
      <c r="AF31" s="91">
        <v>1006.731384</v>
      </c>
      <c r="AG31" s="91">
        <v>1433291</v>
      </c>
      <c r="AH31" s="91">
        <v>-3.3500000000000002E-2</v>
      </c>
      <c r="AI31" s="91"/>
      <c r="AJ31" s="91">
        <f>(F31*'Part 3 Portfolio Analysis'!$B$8+M31*'Part 3 Portfolio Analysis'!$C$8+T31*'Part 3 Portfolio Analysis'!$D$8+AA31*'Part 3 Portfolio Analysis'!$E$8+AH31*'Part 3 Portfolio Analysis'!$F$8)/100</f>
        <v>-1.2864312087963186E-2</v>
      </c>
      <c r="AK31" s="91">
        <f>'Part 3 Portfolio Analysis'!$B$107*F31+M31*'Part 3 Portfolio Analysis'!$C$107+T31*'Part 3 Portfolio Analysis'!$D$107+AA31*'Part 3 Portfolio Analysis'!$E$107+AH31*'Part 3 Portfolio Analysis'!$F$107</f>
        <v>-1.9188700000000003E-2</v>
      </c>
      <c r="AL31" s="91">
        <f>F31*'Part 3 Portfolio Analysis'!$B$121+M31*'Part 3 Portfolio Analysis'!$C$121+'Part 3 Portfolio Analysis'!$D$121*T31+AA31*'Part 3 Portfolio Analysis'!$E$121+'Part 3 Portfolio Analysis'!$F$121*AH31</f>
        <v>-1.77778E-2</v>
      </c>
      <c r="AM31" s="91"/>
      <c r="AN31" s="90">
        <v>44693</v>
      </c>
      <c r="AO31" s="91">
        <v>16021.099609999999</v>
      </c>
      <c r="AP31" s="91">
        <v>15808</v>
      </c>
      <c r="AQ31" s="91">
        <v>15808</v>
      </c>
      <c r="AR31" s="91">
        <v>314900</v>
      </c>
      <c r="AS31" s="91">
        <v>-2.2200000000000001E-2</v>
      </c>
    </row>
    <row r="32" spans="1:45" x14ac:dyDescent="0.55000000000000004">
      <c r="A32" s="90">
        <v>44694</v>
      </c>
      <c r="B32" s="91">
        <v>7180</v>
      </c>
      <c r="C32" s="91">
        <v>7886.6499020000001</v>
      </c>
      <c r="D32" s="91">
        <v>7624.2368159999996</v>
      </c>
      <c r="E32" s="91">
        <v>2734940</v>
      </c>
      <c r="F32" s="91">
        <v>0.14560000000000001</v>
      </c>
      <c r="H32" s="90">
        <v>44694</v>
      </c>
      <c r="I32" s="91">
        <v>1119.5986330000001</v>
      </c>
      <c r="J32" s="91">
        <v>1119.8754879999999</v>
      </c>
      <c r="K32" s="91">
        <v>1104.1320800000001</v>
      </c>
      <c r="L32" s="91">
        <v>19308778</v>
      </c>
      <c r="M32" s="91">
        <v>1.1299999999999999E-2</v>
      </c>
      <c r="O32" s="90">
        <v>44694</v>
      </c>
      <c r="P32" s="91">
        <v>655.02502440000001</v>
      </c>
      <c r="Q32" s="91">
        <v>645.67498780000005</v>
      </c>
      <c r="R32" s="91">
        <v>621.35595699999999</v>
      </c>
      <c r="S32" s="91">
        <v>16768238</v>
      </c>
      <c r="T32" s="91">
        <v>-8.9999999999999993E-3</v>
      </c>
      <c r="V32" s="90">
        <v>44694</v>
      </c>
      <c r="W32" s="91">
        <v>1519.3000489999999</v>
      </c>
      <c r="X32" s="91">
        <v>1504.400024</v>
      </c>
      <c r="Y32" s="91">
        <v>1350.5086670000001</v>
      </c>
      <c r="Z32" s="91">
        <v>6723761</v>
      </c>
      <c r="AA32" s="91">
        <v>-2.8999999999999998E-3</v>
      </c>
      <c r="AB32" s="91"/>
      <c r="AC32" s="90">
        <v>44694</v>
      </c>
      <c r="AD32" s="91">
        <v>1034.6999510000001</v>
      </c>
      <c r="AE32" s="91">
        <v>1032</v>
      </c>
      <c r="AF32" s="91">
        <v>1027.795288</v>
      </c>
      <c r="AG32" s="91">
        <v>467140</v>
      </c>
      <c r="AH32" s="91">
        <v>2.0899999999999998E-2</v>
      </c>
      <c r="AI32" s="91"/>
      <c r="AJ32" s="91">
        <f>(F32*'Part 3 Portfolio Analysis'!$B$8+M32*'Part 3 Portfolio Analysis'!$C$8+T32*'Part 3 Portfolio Analysis'!$D$8+AA32*'Part 3 Portfolio Analysis'!$E$8+AH32*'Part 3 Portfolio Analysis'!$F$8)/100</f>
        <v>4.6012272018041346E-2</v>
      </c>
      <c r="AK32" s="91">
        <f>'Part 3 Portfolio Analysis'!$B$107*F32+M32*'Part 3 Portfolio Analysis'!$C$107+T32*'Part 3 Portfolio Analysis'!$D$107+AA32*'Part 3 Portfolio Analysis'!$E$107+AH32*'Part 3 Portfolio Analysis'!$F$107</f>
        <v>3.3326700000000001E-2</v>
      </c>
      <c r="AL32" s="91">
        <f>F32*'Part 3 Portfolio Analysis'!$B$121+M32*'Part 3 Portfolio Analysis'!$C$121+'Part 3 Portfolio Analysis'!$D$121*T32+AA32*'Part 3 Portfolio Analysis'!$E$121+'Part 3 Portfolio Analysis'!$F$121*AH32</f>
        <v>1.4229379999999996E-2</v>
      </c>
      <c r="AM32" s="91"/>
      <c r="AN32" s="90">
        <v>44694</v>
      </c>
      <c r="AO32" s="91">
        <v>15977</v>
      </c>
      <c r="AP32" s="91">
        <v>15782.150390000001</v>
      </c>
      <c r="AQ32" s="91">
        <v>15782.150390000001</v>
      </c>
      <c r="AR32" s="91">
        <v>369100</v>
      </c>
      <c r="AS32" s="91">
        <v>-1.6000000000000001E-3</v>
      </c>
    </row>
    <row r="33" spans="1:45" x14ac:dyDescent="0.55000000000000004">
      <c r="A33" s="90">
        <v>44697</v>
      </c>
      <c r="B33" s="91">
        <v>7960</v>
      </c>
      <c r="C33" s="91">
        <v>8121.1499020000001</v>
      </c>
      <c r="D33" s="91">
        <v>7850.9345700000003</v>
      </c>
      <c r="E33" s="91">
        <v>1483361</v>
      </c>
      <c r="F33" s="91">
        <v>2.9700000000000001E-2</v>
      </c>
      <c r="H33" s="90">
        <v>44697</v>
      </c>
      <c r="I33" s="91">
        <v>1123.4982910000001</v>
      </c>
      <c r="J33" s="91">
        <v>1120.152466</v>
      </c>
      <c r="K33" s="91">
        <v>1104.4052730000001</v>
      </c>
      <c r="L33" s="91">
        <v>13437911</v>
      </c>
      <c r="M33" s="91">
        <v>2.0000000000000001E-4</v>
      </c>
      <c r="O33" s="90">
        <v>44697</v>
      </c>
      <c r="P33" s="91">
        <v>649.5</v>
      </c>
      <c r="Q33" s="91">
        <v>652.54998780000005</v>
      </c>
      <c r="R33" s="91">
        <v>627.97198490000005</v>
      </c>
      <c r="S33" s="91">
        <v>9804356</v>
      </c>
      <c r="T33" s="91">
        <v>1.06E-2</v>
      </c>
      <c r="V33" s="90">
        <v>44697</v>
      </c>
      <c r="W33" s="91">
        <v>1510</v>
      </c>
      <c r="X33" s="91">
        <v>1489.099976</v>
      </c>
      <c r="Y33" s="91">
        <v>1336.7735600000001</v>
      </c>
      <c r="Z33" s="91">
        <v>6145331</v>
      </c>
      <c r="AA33" s="91">
        <v>-1.0200000000000001E-2</v>
      </c>
      <c r="AB33" s="91"/>
      <c r="AC33" s="90">
        <v>44697</v>
      </c>
      <c r="AD33" s="91">
        <v>1024</v>
      </c>
      <c r="AE33" s="91">
        <v>1039.150024</v>
      </c>
      <c r="AF33" s="91">
        <v>1034.916138</v>
      </c>
      <c r="AG33" s="91">
        <v>536424</v>
      </c>
      <c r="AH33" s="91">
        <v>6.8999999999999999E-3</v>
      </c>
      <c r="AI33" s="91"/>
      <c r="AJ33" s="91">
        <f>(F33*'Part 3 Portfolio Analysis'!$B$8+M33*'Part 3 Portfolio Analysis'!$C$8+T33*'Part 3 Portfolio Analysis'!$D$8+AA33*'Part 3 Portfolio Analysis'!$E$8+AH33*'Part 3 Portfolio Analysis'!$F$8)/100</f>
        <v>9.1766260562019305E-3</v>
      </c>
      <c r="AK33" s="91">
        <f>'Part 3 Portfolio Analysis'!$B$107*F33+M33*'Part 3 Portfolio Analysis'!$C$107+T33*'Part 3 Portfolio Analysis'!$D$107+AA33*'Part 3 Portfolio Analysis'!$E$107+AH33*'Part 3 Portfolio Analysis'!$F$107</f>
        <v>7.7704000000000002E-3</v>
      </c>
      <c r="AL33" s="91">
        <f>F33*'Part 3 Portfolio Analysis'!$B$121+M33*'Part 3 Portfolio Analysis'!$C$121+'Part 3 Portfolio Analysis'!$D$121*T33+AA33*'Part 3 Portfolio Analysis'!$E$121+'Part 3 Portfolio Analysis'!$F$121*AH33</f>
        <v>3.5492400000000004E-3</v>
      </c>
      <c r="AM33" s="91"/>
      <c r="AN33" s="90">
        <v>44697</v>
      </c>
      <c r="AO33" s="91">
        <v>15845.099609999999</v>
      </c>
      <c r="AP33" s="91">
        <v>15842.299800000001</v>
      </c>
      <c r="AQ33" s="91">
        <v>15842.299800000001</v>
      </c>
      <c r="AR33" s="91">
        <v>217600</v>
      </c>
      <c r="AS33" s="91">
        <v>3.8E-3</v>
      </c>
    </row>
    <row r="34" spans="1:45" x14ac:dyDescent="0.55000000000000004">
      <c r="A34" s="90">
        <v>44698</v>
      </c>
      <c r="B34" s="91">
        <v>8139.9501950000003</v>
      </c>
      <c r="C34" s="91">
        <v>8197.5498050000006</v>
      </c>
      <c r="D34" s="91">
        <v>7924.7929690000001</v>
      </c>
      <c r="E34" s="91">
        <v>739730</v>
      </c>
      <c r="F34" s="91">
        <v>9.4000000000000004E-3</v>
      </c>
      <c r="H34" s="90">
        <v>44698</v>
      </c>
      <c r="I34" s="91">
        <v>1123.7982179999999</v>
      </c>
      <c r="J34" s="91">
        <v>1167.2022710000001</v>
      </c>
      <c r="K34" s="91">
        <v>1150.7937010000001</v>
      </c>
      <c r="L34" s="91">
        <v>16551828</v>
      </c>
      <c r="M34" s="91">
        <v>4.2000000000000003E-2</v>
      </c>
      <c r="O34" s="90">
        <v>44698</v>
      </c>
      <c r="P34" s="91">
        <v>656.29998780000005</v>
      </c>
      <c r="Q34" s="91">
        <v>657</v>
      </c>
      <c r="R34" s="91">
        <v>632.25445560000003</v>
      </c>
      <c r="S34" s="91">
        <v>16641444</v>
      </c>
      <c r="T34" s="91">
        <v>6.7999999999999996E-3</v>
      </c>
      <c r="V34" s="90">
        <v>44698</v>
      </c>
      <c r="W34" s="91">
        <v>1494.900024</v>
      </c>
      <c r="X34" s="91">
        <v>1518.4499510000001</v>
      </c>
      <c r="Y34" s="91">
        <v>1363.1213379999999</v>
      </c>
      <c r="Z34" s="91">
        <v>6516378</v>
      </c>
      <c r="AA34" s="91">
        <v>1.9699999999999999E-2</v>
      </c>
      <c r="AB34" s="91"/>
      <c r="AC34" s="90">
        <v>44698</v>
      </c>
      <c r="AD34" s="91">
        <v>1036.3000489999999</v>
      </c>
      <c r="AE34" s="91">
        <v>1075.599976</v>
      </c>
      <c r="AF34" s="91">
        <v>1071.2177730000001</v>
      </c>
      <c r="AG34" s="91">
        <v>438660</v>
      </c>
      <c r="AH34" s="91">
        <v>3.5099999999999999E-2</v>
      </c>
      <c r="AI34" s="91"/>
      <c r="AJ34" s="91">
        <f>(F34*'Part 3 Portfolio Analysis'!$B$8+M34*'Part 3 Portfolio Analysis'!$C$8+T34*'Part 3 Portfolio Analysis'!$D$8+AA34*'Part 3 Portfolio Analysis'!$E$8+AH34*'Part 3 Portfolio Analysis'!$F$8)/100</f>
        <v>2.2691936518177205E-2</v>
      </c>
      <c r="AK34" s="91">
        <f>'Part 3 Portfolio Analysis'!$B$107*F34+M34*'Part 3 Portfolio Analysis'!$C$107+T34*'Part 3 Portfolio Analysis'!$D$107+AA34*'Part 3 Portfolio Analysis'!$E$107+AH34*'Part 3 Portfolio Analysis'!$F$107</f>
        <v>2.67072E-2</v>
      </c>
      <c r="AL34" s="91">
        <f>F34*'Part 3 Portfolio Analysis'!$B$121+M34*'Part 3 Portfolio Analysis'!$C$121+'Part 3 Portfolio Analysis'!$D$121*T34+AA34*'Part 3 Portfolio Analysis'!$E$121+'Part 3 Portfolio Analysis'!$F$121*AH34</f>
        <v>2.5105099999999998E-2</v>
      </c>
      <c r="AM34" s="91"/>
      <c r="AN34" s="90">
        <v>44698</v>
      </c>
      <c r="AO34" s="91">
        <v>15912.599609999999</v>
      </c>
      <c r="AP34" s="91">
        <v>16259.299800000001</v>
      </c>
      <c r="AQ34" s="91">
        <v>16259.299800000001</v>
      </c>
      <c r="AR34" s="91">
        <v>295700</v>
      </c>
      <c r="AS34" s="91">
        <v>2.63E-2</v>
      </c>
    </row>
    <row r="35" spans="1:45" x14ac:dyDescent="0.55000000000000004">
      <c r="A35" s="90">
        <v>44699</v>
      </c>
      <c r="B35" s="91">
        <v>8258.0996090000008</v>
      </c>
      <c r="C35" s="91">
        <v>8437.7001949999994</v>
      </c>
      <c r="D35" s="91">
        <v>8156.9521480000003</v>
      </c>
      <c r="E35" s="91">
        <v>997190</v>
      </c>
      <c r="F35" s="91">
        <v>2.93E-2</v>
      </c>
      <c r="H35" s="90">
        <v>44699</v>
      </c>
      <c r="I35" s="91">
        <v>1172.048096</v>
      </c>
      <c r="J35" s="91">
        <v>1171.44812</v>
      </c>
      <c r="K35" s="91">
        <v>1154.979736</v>
      </c>
      <c r="L35" s="91">
        <v>17276788</v>
      </c>
      <c r="M35" s="91">
        <v>3.5999999999999999E-3</v>
      </c>
      <c r="O35" s="90">
        <v>44699</v>
      </c>
      <c r="P35" s="91">
        <v>662.02502440000001</v>
      </c>
      <c r="Q35" s="91">
        <v>656.95001219999995</v>
      </c>
      <c r="R35" s="91">
        <v>632.20635990000005</v>
      </c>
      <c r="S35" s="91">
        <v>15732384</v>
      </c>
      <c r="T35" s="91">
        <v>-1E-4</v>
      </c>
      <c r="V35" s="90">
        <v>44699</v>
      </c>
      <c r="W35" s="91">
        <v>1522</v>
      </c>
      <c r="X35" s="91">
        <v>1509.1999510000001</v>
      </c>
      <c r="Y35" s="91">
        <v>1354.8176269999999</v>
      </c>
      <c r="Z35" s="91">
        <v>6594126</v>
      </c>
      <c r="AA35" s="91">
        <v>-6.1000000000000004E-3</v>
      </c>
      <c r="AB35" s="91"/>
      <c r="AC35" s="90">
        <v>44699</v>
      </c>
      <c r="AD35" s="91">
        <v>1085</v>
      </c>
      <c r="AE35" s="91">
        <v>1085.0500489999999</v>
      </c>
      <c r="AF35" s="91">
        <v>1080.6292719999999</v>
      </c>
      <c r="AG35" s="91">
        <v>623123</v>
      </c>
      <c r="AH35" s="91">
        <v>8.8000000000000005E-3</v>
      </c>
      <c r="AI35" s="91"/>
      <c r="AJ35" s="91">
        <f>(F35*'Part 3 Portfolio Analysis'!$B$8+M35*'Part 3 Portfolio Analysis'!$C$8+T35*'Part 3 Portfolio Analysis'!$D$8+AA35*'Part 3 Portfolio Analysis'!$E$8+AH35*'Part 3 Portfolio Analysis'!$F$8)/100</f>
        <v>9.1825600838132109E-3</v>
      </c>
      <c r="AK35" s="91">
        <f>'Part 3 Portfolio Analysis'!$B$107*F35+M35*'Part 3 Portfolio Analysis'!$C$107+T35*'Part 3 Portfolio Analysis'!$D$107+AA35*'Part 3 Portfolio Analysis'!$E$107+AH35*'Part 3 Portfolio Analysis'!$F$107</f>
        <v>7.9929000000000007E-3</v>
      </c>
      <c r="AL35" s="91">
        <f>F35*'Part 3 Portfolio Analysis'!$B$121+M35*'Part 3 Portfolio Analysis'!$C$121+'Part 3 Portfolio Analysis'!$D$121*T35+AA35*'Part 3 Portfolio Analysis'!$E$121+'Part 3 Portfolio Analysis'!$F$121*AH35</f>
        <v>2.9023799999999995E-3</v>
      </c>
      <c r="AM35" s="91"/>
      <c r="AN35" s="90">
        <v>44699</v>
      </c>
      <c r="AO35" s="91">
        <v>16318.150390000001</v>
      </c>
      <c r="AP35" s="91">
        <v>16240.299800000001</v>
      </c>
      <c r="AQ35" s="91">
        <v>16240.299800000001</v>
      </c>
      <c r="AR35" s="91">
        <v>290400</v>
      </c>
      <c r="AS35" s="91">
        <v>-1.1999999999999999E-3</v>
      </c>
    </row>
    <row r="36" spans="1:45" x14ac:dyDescent="0.55000000000000004">
      <c r="A36" s="90">
        <v>44700</v>
      </c>
      <c r="B36" s="91">
        <v>8075</v>
      </c>
      <c r="C36" s="91">
        <v>8261.5</v>
      </c>
      <c r="D36" s="91">
        <v>7986.6147460000002</v>
      </c>
      <c r="E36" s="91">
        <v>719905</v>
      </c>
      <c r="F36" s="91">
        <v>-2.0899999999999998E-2</v>
      </c>
      <c r="H36" s="90">
        <v>44700</v>
      </c>
      <c r="I36" s="91">
        <v>1146.365601</v>
      </c>
      <c r="J36" s="91">
        <v>1144.450317</v>
      </c>
      <c r="K36" s="91">
        <v>1128.361572</v>
      </c>
      <c r="L36" s="91">
        <v>14699118</v>
      </c>
      <c r="M36" s="91">
        <v>-2.3E-2</v>
      </c>
      <c r="O36" s="90">
        <v>44700</v>
      </c>
      <c r="P36" s="91">
        <v>643.09997559999999</v>
      </c>
      <c r="Q36" s="91">
        <v>643.52502440000001</v>
      </c>
      <c r="R36" s="91">
        <v>619.28698729999996</v>
      </c>
      <c r="S36" s="91">
        <v>20537506</v>
      </c>
      <c r="T36" s="91">
        <v>-2.0400000000000001E-2</v>
      </c>
      <c r="V36" s="90">
        <v>44700</v>
      </c>
      <c r="W36" s="91">
        <v>1481</v>
      </c>
      <c r="X36" s="91">
        <v>1427.150024</v>
      </c>
      <c r="Y36" s="91">
        <v>1281.160889</v>
      </c>
      <c r="Z36" s="91">
        <v>16561140</v>
      </c>
      <c r="AA36" s="91">
        <v>-5.4399999999999997E-2</v>
      </c>
      <c r="AB36" s="91"/>
      <c r="AC36" s="90">
        <v>44700</v>
      </c>
      <c r="AD36" s="91">
        <v>1062.150024</v>
      </c>
      <c r="AE36" s="91">
        <v>1036.650024</v>
      </c>
      <c r="AF36" s="91">
        <v>1032.4262699999999</v>
      </c>
      <c r="AG36" s="91">
        <v>1247443</v>
      </c>
      <c r="AH36" s="91">
        <v>-4.4600000000000001E-2</v>
      </c>
      <c r="AI36" s="91"/>
      <c r="AJ36" s="91">
        <f>(F36*'Part 3 Portfolio Analysis'!$B$8+M36*'Part 3 Portfolio Analysis'!$C$8+T36*'Part 3 Portfolio Analysis'!$D$8+AA36*'Part 3 Portfolio Analysis'!$E$8+AH36*'Part 3 Portfolio Analysis'!$F$8)/100</f>
        <v>-2.7200710764504935E-2</v>
      </c>
      <c r="AK36" s="91">
        <f>'Part 3 Portfolio Analysis'!$B$107*F36+M36*'Part 3 Portfolio Analysis'!$C$107+T36*'Part 3 Portfolio Analysis'!$D$107+AA36*'Part 3 Portfolio Analysis'!$E$107+AH36*'Part 3 Portfolio Analysis'!$F$107</f>
        <v>-3.0802199999999995E-2</v>
      </c>
      <c r="AL36" s="91">
        <f>F36*'Part 3 Portfolio Analysis'!$B$121+M36*'Part 3 Portfolio Analysis'!$C$121+'Part 3 Portfolio Analysis'!$D$121*T36+AA36*'Part 3 Portfolio Analysis'!$E$121+'Part 3 Portfolio Analysis'!$F$121*AH36</f>
        <v>-2.8966099999999998E-2</v>
      </c>
      <c r="AM36" s="91"/>
      <c r="AN36" s="90">
        <v>44700</v>
      </c>
      <c r="AO36" s="91">
        <v>15917.400390000001</v>
      </c>
      <c r="AP36" s="91">
        <v>15809.400390000001</v>
      </c>
      <c r="AQ36" s="91">
        <v>15809.400390000001</v>
      </c>
      <c r="AR36" s="91">
        <v>313900</v>
      </c>
      <c r="AS36" s="91">
        <v>-2.6499999999999999E-2</v>
      </c>
    </row>
    <row r="37" spans="1:45" x14ac:dyDescent="0.55000000000000004">
      <c r="A37" s="90">
        <v>44701</v>
      </c>
      <c r="B37" s="91">
        <v>8510</v>
      </c>
      <c r="C37" s="91">
        <v>8412.4003909999992</v>
      </c>
      <c r="D37" s="91">
        <v>8132.4951170000004</v>
      </c>
      <c r="E37" s="91">
        <v>750432</v>
      </c>
      <c r="F37" s="91">
        <v>1.83E-2</v>
      </c>
      <c r="H37" s="90">
        <v>44701</v>
      </c>
      <c r="I37" s="91">
        <v>1159.518311</v>
      </c>
      <c r="J37" s="91">
        <v>1211.1832280000001</v>
      </c>
      <c r="K37" s="91">
        <v>1194.15625</v>
      </c>
      <c r="L37" s="91">
        <v>21793091</v>
      </c>
      <c r="M37" s="91">
        <v>5.8299999999999998E-2</v>
      </c>
      <c r="O37" s="90">
        <v>44701</v>
      </c>
      <c r="P37" s="91">
        <v>651.5</v>
      </c>
      <c r="Q37" s="91">
        <v>660.47497559999999</v>
      </c>
      <c r="R37" s="91">
        <v>635.59844969999995</v>
      </c>
      <c r="S37" s="91">
        <v>13919350</v>
      </c>
      <c r="T37" s="91">
        <v>2.63E-2</v>
      </c>
      <c r="V37" s="90">
        <v>44701</v>
      </c>
      <c r="W37" s="91">
        <v>1453</v>
      </c>
      <c r="X37" s="91">
        <v>1455.150024</v>
      </c>
      <c r="Y37" s="91">
        <v>1306.296509</v>
      </c>
      <c r="Z37" s="91">
        <v>10488908</v>
      </c>
      <c r="AA37" s="91">
        <v>1.9599999999999999E-2</v>
      </c>
      <c r="AB37" s="91"/>
      <c r="AC37" s="90">
        <v>44701</v>
      </c>
      <c r="AD37" s="91">
        <v>1044.599976</v>
      </c>
      <c r="AE37" s="91">
        <v>1086.9499510000001</v>
      </c>
      <c r="AF37" s="91">
        <v>1083.671143</v>
      </c>
      <c r="AG37" s="91">
        <v>629720</v>
      </c>
      <c r="AH37" s="91">
        <v>4.9599999999999998E-2</v>
      </c>
      <c r="AI37" s="91"/>
      <c r="AJ37" s="91">
        <f>(F37*'Part 3 Portfolio Analysis'!$B$8+M37*'Part 3 Portfolio Analysis'!$C$8+T37*'Part 3 Portfolio Analysis'!$D$8+AA37*'Part 3 Portfolio Analysis'!$E$8+AH37*'Part 3 Portfolio Analysis'!$F$8)/100</f>
        <v>3.4648834139061925E-2</v>
      </c>
      <c r="AK37" s="91">
        <f>'Part 3 Portfolio Analysis'!$B$107*F37+M37*'Part 3 Portfolio Analysis'!$C$107+T37*'Part 3 Portfolio Analysis'!$D$107+AA37*'Part 3 Portfolio Analysis'!$E$107+AH37*'Part 3 Portfolio Analysis'!$F$107</f>
        <v>4.0077600000000005E-2</v>
      </c>
      <c r="AL37" s="91">
        <f>F37*'Part 3 Portfolio Analysis'!$B$121+M37*'Part 3 Portfolio Analysis'!$C$121+'Part 3 Portfolio Analysis'!$D$121*T37+AA37*'Part 3 Portfolio Analysis'!$E$121+'Part 3 Portfolio Analysis'!$F$121*AH37</f>
        <v>3.8340059999999995E-2</v>
      </c>
      <c r="AM37" s="91"/>
      <c r="AN37" s="90">
        <v>44701</v>
      </c>
      <c r="AO37" s="91">
        <v>16043.799800000001</v>
      </c>
      <c r="AP37" s="91">
        <v>16266.150390000001</v>
      </c>
      <c r="AQ37" s="91">
        <v>16266.150390000001</v>
      </c>
      <c r="AR37" s="91">
        <v>252400</v>
      </c>
      <c r="AS37" s="91">
        <v>2.8899999999999999E-2</v>
      </c>
    </row>
    <row r="38" spans="1:45" x14ac:dyDescent="0.55000000000000004">
      <c r="A38" s="90">
        <v>44704</v>
      </c>
      <c r="B38" s="91">
        <v>8419.9501949999994</v>
      </c>
      <c r="C38" s="91">
        <v>8541.75</v>
      </c>
      <c r="D38" s="91">
        <v>8257.5400389999995</v>
      </c>
      <c r="E38" s="91">
        <v>546351</v>
      </c>
      <c r="F38" s="91">
        <v>1.54E-2</v>
      </c>
      <c r="H38" s="90">
        <v>44704</v>
      </c>
      <c r="I38" s="91">
        <v>1214.436768</v>
      </c>
      <c r="J38" s="91">
        <v>1203.0839840000001</v>
      </c>
      <c r="K38" s="91">
        <v>1186.1708980000001</v>
      </c>
      <c r="L38" s="91">
        <v>15252755</v>
      </c>
      <c r="M38" s="91">
        <v>-6.7000000000000002E-3</v>
      </c>
      <c r="O38" s="90">
        <v>44704</v>
      </c>
      <c r="P38" s="91">
        <v>657</v>
      </c>
      <c r="Q38" s="91">
        <v>652</v>
      </c>
      <c r="R38" s="91">
        <v>627.44274900000005</v>
      </c>
      <c r="S38" s="91">
        <v>19486320</v>
      </c>
      <c r="T38" s="91">
        <v>-1.2800000000000001E-2</v>
      </c>
      <c r="V38" s="90">
        <v>44704</v>
      </c>
      <c r="W38" s="91">
        <v>1455.099976</v>
      </c>
      <c r="X38" s="91">
        <v>1468.400024</v>
      </c>
      <c r="Y38" s="91">
        <v>1318.1911620000001</v>
      </c>
      <c r="Z38" s="91">
        <v>5887569</v>
      </c>
      <c r="AA38" s="91">
        <v>9.1000000000000004E-3</v>
      </c>
      <c r="AB38" s="91"/>
      <c r="AC38" s="90">
        <v>44704</v>
      </c>
      <c r="AD38" s="91">
        <v>1092</v>
      </c>
      <c r="AE38" s="91">
        <v>1065.3000489999999</v>
      </c>
      <c r="AF38" s="91">
        <v>1062.086548</v>
      </c>
      <c r="AG38" s="91">
        <v>302084</v>
      </c>
      <c r="AH38" s="91">
        <v>-1.9900000000000001E-2</v>
      </c>
      <c r="AI38" s="91"/>
      <c r="AJ38" s="91">
        <f>(F38*'Part 3 Portfolio Analysis'!$B$8+M38*'Part 3 Portfolio Analysis'!$C$8+T38*'Part 3 Portfolio Analysis'!$D$8+AA38*'Part 3 Portfolio Analysis'!$E$8+AH38*'Part 3 Portfolio Analysis'!$F$8)/100</f>
        <v>1.3261814538569625E-3</v>
      </c>
      <c r="AK38" s="91">
        <f>'Part 3 Portfolio Analysis'!$B$107*F38+M38*'Part 3 Portfolio Analysis'!$C$107+T38*'Part 3 Portfolio Analysis'!$D$107+AA38*'Part 3 Portfolio Analysis'!$E$107+AH38*'Part 3 Portfolio Analysis'!$F$107</f>
        <v>-5.413900000000001E-3</v>
      </c>
      <c r="AL38" s="91">
        <f>F38*'Part 3 Portfolio Analysis'!$B$121+M38*'Part 3 Portfolio Analysis'!$C$121+'Part 3 Portfolio Analysis'!$D$121*T38+AA38*'Part 3 Portfolio Analysis'!$E$121+'Part 3 Portfolio Analysis'!$F$121*AH38</f>
        <v>-3.7284199999999997E-3</v>
      </c>
      <c r="AM38" s="91"/>
      <c r="AN38" s="90">
        <v>44704</v>
      </c>
      <c r="AO38" s="91">
        <v>16290.950199999999</v>
      </c>
      <c r="AP38" s="91">
        <v>16214.700199999999</v>
      </c>
      <c r="AQ38" s="91">
        <v>16214.700199999999</v>
      </c>
      <c r="AR38" s="91">
        <v>293800</v>
      </c>
      <c r="AS38" s="91">
        <v>-3.2000000000000002E-3</v>
      </c>
    </row>
    <row r="39" spans="1:45" x14ac:dyDescent="0.55000000000000004">
      <c r="A39" s="90">
        <v>44705</v>
      </c>
      <c r="B39" s="91">
        <v>8600</v>
      </c>
      <c r="C39" s="91">
        <v>8457.4003909999992</v>
      </c>
      <c r="D39" s="91">
        <v>8175.998047</v>
      </c>
      <c r="E39" s="91">
        <v>563544</v>
      </c>
      <c r="F39" s="91">
        <v>-9.9000000000000008E-3</v>
      </c>
      <c r="H39" s="90">
        <v>44705</v>
      </c>
      <c r="I39" s="91">
        <v>1203.1301269999999</v>
      </c>
      <c r="J39" s="91">
        <v>1207.2143550000001</v>
      </c>
      <c r="K39" s="91">
        <v>1190.2432859999999</v>
      </c>
      <c r="L39" s="91">
        <v>13527818</v>
      </c>
      <c r="M39" s="91">
        <v>3.3999999999999998E-3</v>
      </c>
      <c r="O39" s="90">
        <v>44705</v>
      </c>
      <c r="P39" s="91">
        <v>650</v>
      </c>
      <c r="Q39" s="91">
        <v>659.47497559999999</v>
      </c>
      <c r="R39" s="91">
        <v>634.63623050000001</v>
      </c>
      <c r="S39" s="91">
        <v>12870796</v>
      </c>
      <c r="T39" s="91">
        <v>1.15E-2</v>
      </c>
      <c r="V39" s="90">
        <v>44705</v>
      </c>
      <c r="W39" s="91">
        <v>1468.599976</v>
      </c>
      <c r="X39" s="91">
        <v>1441</v>
      </c>
      <c r="Y39" s="91">
        <v>1293.5939940000001</v>
      </c>
      <c r="Z39" s="91">
        <v>5693167</v>
      </c>
      <c r="AA39" s="91">
        <v>-1.8700000000000001E-2</v>
      </c>
      <c r="AB39" s="91"/>
      <c r="AC39" s="90">
        <v>44705</v>
      </c>
      <c r="AD39" s="91">
        <v>1070.900024</v>
      </c>
      <c r="AE39" s="91">
        <v>1075.900024</v>
      </c>
      <c r="AF39" s="91">
        <v>1072.6545410000001</v>
      </c>
      <c r="AG39" s="91">
        <v>337854</v>
      </c>
      <c r="AH39" s="91">
        <v>0.01</v>
      </c>
      <c r="AI39" s="91"/>
      <c r="AJ39" s="91">
        <f>(F39*'Part 3 Portfolio Analysis'!$B$8+M39*'Part 3 Portfolio Analysis'!$C$8+T39*'Part 3 Portfolio Analysis'!$D$8+AA39*'Part 3 Portfolio Analysis'!$E$8+AH39*'Part 3 Portfolio Analysis'!$F$8)/100</f>
        <v>-2.7309432822287816E-3</v>
      </c>
      <c r="AK39" s="91">
        <f>'Part 3 Portfolio Analysis'!$B$107*F39+M39*'Part 3 Portfolio Analysis'!$C$107+T39*'Part 3 Portfolio Analysis'!$D$107+AA39*'Part 3 Portfolio Analysis'!$E$107+AH39*'Part 3 Portfolio Analysis'!$F$107</f>
        <v>1.7146999999999998E-3</v>
      </c>
      <c r="AL39" s="91">
        <f>F39*'Part 3 Portfolio Analysis'!$B$121+M39*'Part 3 Portfolio Analysis'!$C$121+'Part 3 Portfolio Analysis'!$D$121*T39+AA39*'Part 3 Portfolio Analysis'!$E$121+'Part 3 Portfolio Analysis'!$F$121*AH39</f>
        <v>2.6285999999999969E-4</v>
      </c>
      <c r="AM39" s="91"/>
      <c r="AN39" s="90">
        <v>44705</v>
      </c>
      <c r="AO39" s="91">
        <v>16225.549800000001</v>
      </c>
      <c r="AP39" s="91">
        <v>16125.150390000001</v>
      </c>
      <c r="AQ39" s="91">
        <v>16125.150390000001</v>
      </c>
      <c r="AR39" s="91">
        <v>249800</v>
      </c>
      <c r="AS39" s="91">
        <v>-5.4999999999999997E-3</v>
      </c>
    </row>
    <row r="40" spans="1:45" x14ac:dyDescent="0.55000000000000004">
      <c r="A40" s="90">
        <v>44706</v>
      </c>
      <c r="B40" s="91">
        <v>8581</v>
      </c>
      <c r="C40" s="91">
        <v>8121.2001950000003</v>
      </c>
      <c r="D40" s="91">
        <v>7850.9833980000003</v>
      </c>
      <c r="E40" s="91">
        <v>766623</v>
      </c>
      <c r="F40" s="91">
        <v>-3.9800000000000002E-2</v>
      </c>
      <c r="H40" s="90">
        <v>44706</v>
      </c>
      <c r="I40" s="91">
        <v>1216.052124</v>
      </c>
      <c r="J40" s="91">
        <v>1205.4376219999999</v>
      </c>
      <c r="K40" s="91">
        <v>1188.491577</v>
      </c>
      <c r="L40" s="91">
        <v>12714544</v>
      </c>
      <c r="M40" s="91">
        <v>-1.5E-3</v>
      </c>
      <c r="O40" s="90">
        <v>44706</v>
      </c>
      <c r="P40" s="91">
        <v>665</v>
      </c>
      <c r="Q40" s="91">
        <v>664.40002440000001</v>
      </c>
      <c r="R40" s="91">
        <v>639.37573239999995</v>
      </c>
      <c r="S40" s="91">
        <v>12887112</v>
      </c>
      <c r="T40" s="91">
        <v>7.4999999999999997E-3</v>
      </c>
      <c r="V40" s="90">
        <v>44706</v>
      </c>
      <c r="W40" s="91">
        <v>1435</v>
      </c>
      <c r="X40" s="91">
        <v>1410.4499510000001</v>
      </c>
      <c r="Y40" s="91">
        <v>1266.169067</v>
      </c>
      <c r="Z40" s="91">
        <v>9630092</v>
      </c>
      <c r="AA40" s="91">
        <v>-2.12E-2</v>
      </c>
      <c r="AB40" s="91"/>
      <c r="AC40" s="90">
        <v>44706</v>
      </c>
      <c r="AD40" s="91">
        <v>1079.9499510000001</v>
      </c>
      <c r="AE40" s="91">
        <v>1037.9499510000001</v>
      </c>
      <c r="AF40" s="91">
        <v>1034.819092</v>
      </c>
      <c r="AG40" s="91">
        <v>407027</v>
      </c>
      <c r="AH40" s="91">
        <v>-3.5299999999999998E-2</v>
      </c>
      <c r="AI40" s="91"/>
      <c r="AJ40" s="91">
        <f>(F40*'Part 3 Portfolio Analysis'!$B$8+M40*'Part 3 Portfolio Analysis'!$C$8+T40*'Part 3 Portfolio Analysis'!$D$8+AA40*'Part 3 Portfolio Analysis'!$E$8+AH40*'Part 3 Portfolio Analysis'!$F$8)/100</f>
        <v>-1.4989424594992419E-2</v>
      </c>
      <c r="AK40" s="91">
        <f>'Part 3 Portfolio Analysis'!$B$107*F40+M40*'Part 3 Portfolio Analysis'!$C$107+T40*'Part 3 Portfolio Analysis'!$D$107+AA40*'Part 3 Portfolio Analysis'!$E$107+AH40*'Part 3 Portfolio Analysis'!$F$107</f>
        <v>-1.7486600000000001E-2</v>
      </c>
      <c r="AL40" s="91">
        <f>F40*'Part 3 Portfolio Analysis'!$B$121+M40*'Part 3 Portfolio Analysis'!$C$121+'Part 3 Portfolio Analysis'!$D$121*T40+AA40*'Part 3 Portfolio Analysis'!$E$121+'Part 3 Portfolio Analysis'!$F$121*AH40</f>
        <v>-7.0258200000000003E-3</v>
      </c>
      <c r="AM40" s="91"/>
      <c r="AN40" s="90">
        <v>44706</v>
      </c>
      <c r="AO40" s="91">
        <v>16196.349609999999</v>
      </c>
      <c r="AP40" s="91">
        <v>16025.799800000001</v>
      </c>
      <c r="AQ40" s="91">
        <v>16025.799800000001</v>
      </c>
      <c r="AR40" s="91">
        <v>243300</v>
      </c>
      <c r="AS40" s="91">
        <v>-6.1999999999999998E-3</v>
      </c>
    </row>
    <row r="41" spans="1:45" x14ac:dyDescent="0.55000000000000004">
      <c r="A41" s="90">
        <v>44707</v>
      </c>
      <c r="B41" s="91">
        <v>8150</v>
      </c>
      <c r="C41" s="91">
        <v>8258.25</v>
      </c>
      <c r="D41" s="91">
        <v>7983.4731449999999</v>
      </c>
      <c r="E41" s="91">
        <v>638433</v>
      </c>
      <c r="F41" s="91">
        <v>1.6899999999999998E-2</v>
      </c>
      <c r="H41" s="90">
        <v>44707</v>
      </c>
      <c r="I41" s="91">
        <v>1211.1601559999999</v>
      </c>
      <c r="J41" s="91">
        <v>1193.946289</v>
      </c>
      <c r="K41" s="91">
        <v>1177.161621</v>
      </c>
      <c r="L41" s="91">
        <v>17882023</v>
      </c>
      <c r="M41" s="91">
        <v>-9.4999999999999998E-3</v>
      </c>
      <c r="O41" s="90">
        <v>44707</v>
      </c>
      <c r="P41" s="91">
        <v>671.07501219999995</v>
      </c>
      <c r="Q41" s="91">
        <v>683.34997559999999</v>
      </c>
      <c r="R41" s="91">
        <v>657.61193849999995</v>
      </c>
      <c r="S41" s="91">
        <v>26992428</v>
      </c>
      <c r="T41" s="91">
        <v>2.8500000000000001E-2</v>
      </c>
      <c r="V41" s="90">
        <v>44707</v>
      </c>
      <c r="W41" s="91">
        <v>1418</v>
      </c>
      <c r="X41" s="91">
        <v>1423.9499510000001</v>
      </c>
      <c r="Y41" s="91">
        <v>1278.288086</v>
      </c>
      <c r="Z41" s="91">
        <v>13040065</v>
      </c>
      <c r="AA41" s="91">
        <v>9.5999999999999992E-3</v>
      </c>
      <c r="AB41" s="91"/>
      <c r="AC41" s="90">
        <v>44707</v>
      </c>
      <c r="AD41" s="91">
        <v>1043.400024</v>
      </c>
      <c r="AE41" s="91">
        <v>1048.9499510000001</v>
      </c>
      <c r="AF41" s="91">
        <v>1045.7857670000001</v>
      </c>
      <c r="AG41" s="91">
        <v>444559</v>
      </c>
      <c r="AH41" s="91">
        <v>1.06E-2</v>
      </c>
      <c r="AI41" s="91"/>
      <c r="AJ41" s="91">
        <f>(F41*'Part 3 Portfolio Analysis'!$B$8+M41*'Part 3 Portfolio Analysis'!$C$8+T41*'Part 3 Portfolio Analysis'!$D$8+AA41*'Part 3 Portfolio Analysis'!$E$8+AH41*'Part 3 Portfolio Analysis'!$F$8)/100</f>
        <v>8.0291630971945534E-3</v>
      </c>
      <c r="AK41" s="91">
        <f>'Part 3 Portfolio Analysis'!$B$107*F41+M41*'Part 3 Portfolio Analysis'!$C$107+T41*'Part 3 Portfolio Analysis'!$D$107+AA41*'Part 3 Portfolio Analysis'!$E$107+AH41*'Part 3 Portfolio Analysis'!$F$107</f>
        <v>8.1171999999999998E-3</v>
      </c>
      <c r="AL41" s="91">
        <f>F41*'Part 3 Portfolio Analysis'!$B$121+M41*'Part 3 Portfolio Analysis'!$C$121+'Part 3 Portfolio Analysis'!$D$121*T41+AA41*'Part 3 Portfolio Analysis'!$E$121+'Part 3 Portfolio Analysis'!$F$121*AH41</f>
        <v>7.3527000000000019E-3</v>
      </c>
      <c r="AM41" s="91"/>
      <c r="AN41" s="90">
        <v>44707</v>
      </c>
      <c r="AO41" s="91">
        <v>16105</v>
      </c>
      <c r="AP41" s="91">
        <v>16170.150390000001</v>
      </c>
      <c r="AQ41" s="91">
        <v>16170.150390000001</v>
      </c>
      <c r="AR41" s="91">
        <v>314300</v>
      </c>
      <c r="AS41" s="91">
        <v>8.9999999999999993E-3</v>
      </c>
    </row>
    <row r="42" spans="1:45" x14ac:dyDescent="0.55000000000000004">
      <c r="A42" s="90">
        <v>44708</v>
      </c>
      <c r="B42" s="91">
        <v>8470</v>
      </c>
      <c r="C42" s="91">
        <v>8336.9003909999992</v>
      </c>
      <c r="D42" s="91">
        <v>8059.5058589999999</v>
      </c>
      <c r="E42" s="91">
        <v>418901</v>
      </c>
      <c r="F42" s="91">
        <v>9.4999999999999998E-3</v>
      </c>
      <c r="H42" s="90">
        <v>44708</v>
      </c>
      <c r="I42" s="91">
        <v>1196.692139</v>
      </c>
      <c r="J42" s="91">
        <v>1188.408203</v>
      </c>
      <c r="K42" s="91">
        <v>1171.701538</v>
      </c>
      <c r="L42" s="91">
        <v>16521973</v>
      </c>
      <c r="M42" s="91">
        <v>-4.5999999999999999E-3</v>
      </c>
      <c r="O42" s="90">
        <v>44708</v>
      </c>
      <c r="P42" s="91">
        <v>685.90002440000001</v>
      </c>
      <c r="Q42" s="91">
        <v>696.02502440000001</v>
      </c>
      <c r="R42" s="91">
        <v>669.80950929999995</v>
      </c>
      <c r="S42" s="91">
        <v>24031718</v>
      </c>
      <c r="T42" s="91">
        <v>1.8499999999999999E-2</v>
      </c>
      <c r="V42" s="90">
        <v>44708</v>
      </c>
      <c r="W42" s="91">
        <v>1443.9499510000001</v>
      </c>
      <c r="X42" s="91">
        <v>1461.349976</v>
      </c>
      <c r="Y42" s="91">
        <v>1311.8623050000001</v>
      </c>
      <c r="Z42" s="91">
        <v>8284860</v>
      </c>
      <c r="AA42" s="91">
        <v>2.63E-2</v>
      </c>
      <c r="AB42" s="91"/>
      <c r="AC42" s="90">
        <v>44708</v>
      </c>
      <c r="AD42" s="91">
        <v>1053</v>
      </c>
      <c r="AE42" s="91">
        <v>1068.4499510000001</v>
      </c>
      <c r="AF42" s="91">
        <v>1065.2270510000001</v>
      </c>
      <c r="AG42" s="91">
        <v>293538</v>
      </c>
      <c r="AH42" s="91">
        <v>1.8599999999999998E-2</v>
      </c>
      <c r="AI42" s="91"/>
      <c r="AJ42" s="91">
        <f>(F42*'Part 3 Portfolio Analysis'!$B$8+M42*'Part 3 Portfolio Analysis'!$C$8+T42*'Part 3 Portfolio Analysis'!$D$8+AA42*'Part 3 Portfolio Analysis'!$E$8+AH42*'Part 3 Portfolio Analysis'!$F$8)/100</f>
        <v>8.6829681355774582E-3</v>
      </c>
      <c r="AK42" s="91">
        <f>'Part 3 Portfolio Analysis'!$B$107*F42+M42*'Part 3 Portfolio Analysis'!$C$107+T42*'Part 3 Portfolio Analysis'!$D$107+AA42*'Part 3 Portfolio Analysis'!$E$107+AH42*'Part 3 Portfolio Analysis'!$F$107</f>
        <v>1.04549E-2</v>
      </c>
      <c r="AL42" s="91">
        <f>F42*'Part 3 Portfolio Analysis'!$B$121+M42*'Part 3 Portfolio Analysis'!$C$121+'Part 3 Portfolio Analysis'!$D$121*T42+AA42*'Part 3 Portfolio Analysis'!$E$121+'Part 3 Portfolio Analysis'!$F$121*AH42</f>
        <v>9.6300599999999993E-3</v>
      </c>
      <c r="AM42" s="91"/>
      <c r="AN42" s="90">
        <v>44708</v>
      </c>
      <c r="AO42" s="91">
        <v>16296.599609999999</v>
      </c>
      <c r="AP42" s="91">
        <v>16352.450199999999</v>
      </c>
      <c r="AQ42" s="91">
        <v>16352.450199999999</v>
      </c>
      <c r="AR42" s="91">
        <v>274100</v>
      </c>
      <c r="AS42" s="91">
        <v>1.1299999999999999E-2</v>
      </c>
    </row>
    <row r="43" spans="1:45" x14ac:dyDescent="0.55000000000000004">
      <c r="A43" s="90">
        <v>44711</v>
      </c>
      <c r="B43" s="91">
        <v>8450</v>
      </c>
      <c r="C43" s="91">
        <v>8076.7001950000003</v>
      </c>
      <c r="D43" s="91">
        <v>7807.9643550000001</v>
      </c>
      <c r="E43" s="91">
        <v>555822</v>
      </c>
      <c r="F43" s="91">
        <v>-3.1199999999999999E-2</v>
      </c>
      <c r="H43" s="90">
        <v>44711</v>
      </c>
      <c r="I43" s="91">
        <v>1206.8220209999999</v>
      </c>
      <c r="J43" s="91">
        <v>1229.8048100000001</v>
      </c>
      <c r="K43" s="91">
        <v>1212.515991</v>
      </c>
      <c r="L43" s="91">
        <v>13853398</v>
      </c>
      <c r="M43" s="91">
        <v>3.4799999999999998E-2</v>
      </c>
      <c r="O43" s="90">
        <v>44711</v>
      </c>
      <c r="P43" s="91">
        <v>705.125</v>
      </c>
      <c r="Q43" s="91">
        <v>700.77502440000001</v>
      </c>
      <c r="R43" s="91">
        <v>674.3806763</v>
      </c>
      <c r="S43" s="91">
        <v>12624674</v>
      </c>
      <c r="T43" s="91">
        <v>6.7999999999999996E-3</v>
      </c>
      <c r="V43" s="90">
        <v>44711</v>
      </c>
      <c r="W43" s="91">
        <v>1487</v>
      </c>
      <c r="X43" s="91">
        <v>1526.8000489999999</v>
      </c>
      <c r="Y43" s="91">
        <v>1370.6170649999999</v>
      </c>
      <c r="Z43" s="91">
        <v>10904213</v>
      </c>
      <c r="AA43" s="91">
        <v>4.48E-2</v>
      </c>
      <c r="AB43" s="91"/>
      <c r="AC43" s="90">
        <v>44711</v>
      </c>
      <c r="AD43" s="91">
        <v>1087</v>
      </c>
      <c r="AE43" s="91">
        <v>1118.900024</v>
      </c>
      <c r="AF43" s="91">
        <v>1115.5249020000001</v>
      </c>
      <c r="AG43" s="91">
        <v>547836</v>
      </c>
      <c r="AH43" s="91">
        <v>4.7199999999999999E-2</v>
      </c>
      <c r="AI43" s="91"/>
      <c r="AJ43" s="91">
        <f>(F43*'Part 3 Portfolio Analysis'!$B$8+M43*'Part 3 Portfolio Analysis'!$C$8+T43*'Part 3 Portfolio Analysis'!$D$8+AA43*'Part 3 Portfolio Analysis'!$E$8+AH43*'Part 3 Portfolio Analysis'!$F$8)/100</f>
        <v>1.2059772687181138E-2</v>
      </c>
      <c r="AK43" s="91">
        <f>'Part 3 Portfolio Analysis'!$B$107*F43+M43*'Part 3 Portfolio Analysis'!$C$107+T43*'Part 3 Portfolio Analysis'!$D$107+AA43*'Part 3 Portfolio Analysis'!$E$107+AH43*'Part 3 Portfolio Analysis'!$F$107</f>
        <v>2.2704800000000001E-2</v>
      </c>
      <c r="AL43" s="91">
        <f>F43*'Part 3 Portfolio Analysis'!$B$121+M43*'Part 3 Portfolio Analysis'!$C$121+'Part 3 Portfolio Analysis'!$D$121*T43+AA43*'Part 3 Portfolio Analysis'!$E$121+'Part 3 Portfolio Analysis'!$F$121*AH43</f>
        <v>2.408368E-2</v>
      </c>
      <c r="AM43" s="91"/>
      <c r="AN43" s="90">
        <v>44711</v>
      </c>
      <c r="AO43" s="91">
        <v>16527.900389999999</v>
      </c>
      <c r="AP43" s="91">
        <v>16661.400389999999</v>
      </c>
      <c r="AQ43" s="91">
        <v>16661.400389999999</v>
      </c>
      <c r="AR43" s="91">
        <v>251400</v>
      </c>
      <c r="AS43" s="91">
        <v>1.89E-2</v>
      </c>
    </row>
    <row r="44" spans="1:45" x14ac:dyDescent="0.55000000000000004">
      <c r="A44" s="90">
        <v>44712</v>
      </c>
      <c r="B44" s="91">
        <v>8180</v>
      </c>
      <c r="C44" s="91">
        <v>8381.0996090000008</v>
      </c>
      <c r="D44" s="91">
        <v>8102.234375</v>
      </c>
      <c r="E44" s="91">
        <v>5673542</v>
      </c>
      <c r="F44" s="91">
        <v>3.7699999999999997E-2</v>
      </c>
      <c r="H44" s="90">
        <v>44712</v>
      </c>
      <c r="I44" s="91">
        <v>1219.005615</v>
      </c>
      <c r="J44" s="91">
        <v>1214.967529</v>
      </c>
      <c r="K44" s="91">
        <v>1197.8874510000001</v>
      </c>
      <c r="L44" s="91">
        <v>70620653</v>
      </c>
      <c r="M44" s="91">
        <v>-1.21E-2</v>
      </c>
      <c r="O44" s="90">
        <v>44712</v>
      </c>
      <c r="P44" s="91">
        <v>697.95001219999995</v>
      </c>
      <c r="Q44" s="91">
        <v>694.47497559999999</v>
      </c>
      <c r="R44" s="91">
        <v>668.31793210000001</v>
      </c>
      <c r="S44" s="91">
        <v>13485388</v>
      </c>
      <c r="T44" s="91">
        <v>-8.9999999999999993E-3</v>
      </c>
      <c r="V44" s="90">
        <v>44712</v>
      </c>
      <c r="W44" s="91">
        <v>1510.6999510000001</v>
      </c>
      <c r="X44" s="91">
        <v>1503.599976</v>
      </c>
      <c r="Y44" s="91">
        <v>1364.0852050000001</v>
      </c>
      <c r="Z44" s="91">
        <v>16033857</v>
      </c>
      <c r="AA44" s="91">
        <v>-4.7999999999999996E-3</v>
      </c>
      <c r="AB44" s="91"/>
      <c r="AC44" s="90">
        <v>44712</v>
      </c>
      <c r="AD44" s="91">
        <v>1115</v>
      </c>
      <c r="AE44" s="91">
        <v>1124.0500489999999</v>
      </c>
      <c r="AF44" s="91">
        <v>1120.6594239999999</v>
      </c>
      <c r="AG44" s="91">
        <v>1673884</v>
      </c>
      <c r="AH44" s="91">
        <v>4.5999999999999999E-3</v>
      </c>
      <c r="AI44" s="91"/>
      <c r="AJ44" s="91">
        <f>(F44*'Part 3 Portfolio Analysis'!$B$8+M44*'Part 3 Portfolio Analysis'!$C$8+T44*'Part 3 Portfolio Analysis'!$D$8+AA44*'Part 3 Portfolio Analysis'!$E$8+AH44*'Part 3 Portfolio Analysis'!$F$8)/100</f>
        <v>4.6951534981989175E-3</v>
      </c>
      <c r="AK44" s="91">
        <f>'Part 3 Portfolio Analysis'!$B$107*F44+M44*'Part 3 Portfolio Analysis'!$C$107+T44*'Part 3 Portfolio Analysis'!$D$107+AA44*'Part 3 Portfolio Analysis'!$E$107+AH44*'Part 3 Portfolio Analysis'!$F$107</f>
        <v>2.2828999999999996E-3</v>
      </c>
      <c r="AL44" s="91">
        <f>F44*'Part 3 Portfolio Analysis'!$B$121+M44*'Part 3 Portfolio Analysis'!$C$121+'Part 3 Portfolio Analysis'!$D$121*T44+AA44*'Part 3 Portfolio Analysis'!$E$121+'Part 3 Portfolio Analysis'!$F$121*AH44</f>
        <v>-5.2656999999999999E-3</v>
      </c>
      <c r="AM44" s="91"/>
      <c r="AN44" s="90">
        <v>44712</v>
      </c>
      <c r="AO44" s="91">
        <v>16578.449219999999</v>
      </c>
      <c r="AP44" s="91">
        <v>16584.550780000001</v>
      </c>
      <c r="AQ44" s="91">
        <v>16584.550780000001</v>
      </c>
      <c r="AR44" s="91">
        <v>651600</v>
      </c>
      <c r="AS44" s="91">
        <v>-4.5999999999999999E-3</v>
      </c>
    </row>
    <row r="45" spans="1:45" x14ac:dyDescent="0.55000000000000004">
      <c r="A45" s="90">
        <v>44713</v>
      </c>
      <c r="B45" s="91">
        <v>8612</v>
      </c>
      <c r="C45" s="91">
        <v>8606</v>
      </c>
      <c r="D45" s="91">
        <v>8319.6523440000001</v>
      </c>
      <c r="E45" s="91">
        <v>654606</v>
      </c>
      <c r="F45" s="91">
        <v>2.6800000000000001E-2</v>
      </c>
      <c r="H45" s="90">
        <v>44713</v>
      </c>
      <c r="I45" s="91">
        <v>1215.729004</v>
      </c>
      <c r="J45" s="91">
        <v>1215.3598629999999</v>
      </c>
      <c r="K45" s="91">
        <v>1198.2741699999999</v>
      </c>
      <c r="L45" s="91">
        <v>9776989</v>
      </c>
      <c r="M45" s="91">
        <v>2.9999999999999997E-4</v>
      </c>
      <c r="O45" s="90">
        <v>44713</v>
      </c>
      <c r="P45" s="91">
        <v>690</v>
      </c>
      <c r="Q45" s="91">
        <v>697.42498780000005</v>
      </c>
      <c r="R45" s="91">
        <v>671.15686040000003</v>
      </c>
      <c r="S45" s="91">
        <v>12091896</v>
      </c>
      <c r="T45" s="91">
        <v>4.1999999999999997E-3</v>
      </c>
      <c r="V45" s="90">
        <v>44713</v>
      </c>
      <c r="W45" s="91">
        <v>1513</v>
      </c>
      <c r="X45" s="91">
        <v>1478.5500489999999</v>
      </c>
      <c r="Y45" s="91">
        <v>1341.3596190000001</v>
      </c>
      <c r="Z45" s="91">
        <v>8738508</v>
      </c>
      <c r="AA45" s="91">
        <v>-1.67E-2</v>
      </c>
      <c r="AB45" s="91"/>
      <c r="AC45" s="90">
        <v>44713</v>
      </c>
      <c r="AD45" s="91">
        <v>1132</v>
      </c>
      <c r="AE45" s="91">
        <v>1109.4499510000001</v>
      </c>
      <c r="AF45" s="91">
        <v>1106.103394</v>
      </c>
      <c r="AG45" s="91">
        <v>521752</v>
      </c>
      <c r="AH45" s="91">
        <v>-1.2999999999999999E-2</v>
      </c>
      <c r="AI45" s="91"/>
      <c r="AJ45" s="91">
        <f>(F45*'Part 3 Portfolio Analysis'!$B$8+M45*'Part 3 Portfolio Analysis'!$C$8+T45*'Part 3 Portfolio Analysis'!$D$8+AA45*'Part 3 Portfolio Analysis'!$E$8+AH45*'Part 3 Portfolio Analysis'!$F$8)/100</f>
        <v>6.0347100060011904E-3</v>
      </c>
      <c r="AK45" s="91">
        <f>'Part 3 Portfolio Analysis'!$B$107*F45+M45*'Part 3 Portfolio Analysis'!$C$107+T45*'Part 3 Portfolio Analysis'!$D$107+AA45*'Part 3 Portfolio Analysis'!$E$107+AH45*'Part 3 Portfolio Analysis'!$F$107</f>
        <v>6.2290000000000002E-4</v>
      </c>
      <c r="AL45" s="91">
        <f>F45*'Part 3 Portfolio Analysis'!$B$121+M45*'Part 3 Portfolio Analysis'!$C$121+'Part 3 Portfolio Analysis'!$D$121*T45+AA45*'Part 3 Portfolio Analysis'!$E$121+'Part 3 Portfolio Analysis'!$F$121*AH45</f>
        <v>-2.0936000000000007E-4</v>
      </c>
      <c r="AM45" s="91"/>
      <c r="AN45" s="90">
        <v>44713</v>
      </c>
      <c r="AO45" s="91">
        <v>16594.400389999999</v>
      </c>
      <c r="AP45" s="91">
        <v>16522.75</v>
      </c>
      <c r="AQ45" s="91">
        <v>16522.75</v>
      </c>
      <c r="AR45" s="91">
        <v>249600</v>
      </c>
      <c r="AS45" s="91">
        <v>-3.7000000000000002E-3</v>
      </c>
    </row>
    <row r="46" spans="1:45" x14ac:dyDescent="0.55000000000000004">
      <c r="A46" s="90">
        <v>44714</v>
      </c>
      <c r="B46" s="91">
        <v>8649</v>
      </c>
      <c r="C46" s="91">
        <v>8629.1503909999992</v>
      </c>
      <c r="D46" s="91">
        <v>8342.0322269999997</v>
      </c>
      <c r="E46" s="91">
        <v>325702</v>
      </c>
      <c r="F46" s="91">
        <v>2.7000000000000001E-3</v>
      </c>
      <c r="H46" s="90">
        <v>44714</v>
      </c>
      <c r="I46" s="91">
        <v>1215.5905760000001</v>
      </c>
      <c r="J46" s="91">
        <v>1257.264038</v>
      </c>
      <c r="K46" s="91">
        <v>1239.5893550000001</v>
      </c>
      <c r="L46" s="91">
        <v>22126569</v>
      </c>
      <c r="M46" s="91">
        <v>3.4500000000000003E-2</v>
      </c>
      <c r="O46" s="90">
        <v>44714</v>
      </c>
      <c r="P46" s="91">
        <v>693.625</v>
      </c>
      <c r="Q46" s="91">
        <v>692.54998780000005</v>
      </c>
      <c r="R46" s="91">
        <v>666.46545409999999</v>
      </c>
      <c r="S46" s="91">
        <v>11475020</v>
      </c>
      <c r="T46" s="91">
        <v>-7.0000000000000001E-3</v>
      </c>
      <c r="V46" s="90">
        <v>44714</v>
      </c>
      <c r="W46" s="91">
        <v>1484</v>
      </c>
      <c r="X46" s="91">
        <v>1508</v>
      </c>
      <c r="Y46" s="91">
        <v>1368.076904</v>
      </c>
      <c r="Z46" s="91">
        <v>7205840</v>
      </c>
      <c r="AA46" s="91">
        <v>1.9900000000000001E-2</v>
      </c>
      <c r="AB46" s="91"/>
      <c r="AC46" s="90">
        <v>44714</v>
      </c>
      <c r="AD46" s="91">
        <v>1111.8000489999999</v>
      </c>
      <c r="AE46" s="91">
        <v>1112.849976</v>
      </c>
      <c r="AF46" s="91">
        <v>1109.493164</v>
      </c>
      <c r="AG46" s="91">
        <v>433531</v>
      </c>
      <c r="AH46" s="91">
        <v>3.0999999999999999E-3</v>
      </c>
      <c r="AI46" s="91"/>
      <c r="AJ46" s="91">
        <f>(F46*'Part 3 Portfolio Analysis'!$B$8+M46*'Part 3 Portfolio Analysis'!$C$8+T46*'Part 3 Portfolio Analysis'!$D$8+AA46*'Part 3 Portfolio Analysis'!$E$8+AH46*'Part 3 Portfolio Analysis'!$F$8)/100</f>
        <v>1.5380751871920395E-2</v>
      </c>
      <c r="AK46" s="91">
        <f>'Part 3 Portfolio Analysis'!$B$107*F46+M46*'Part 3 Portfolio Analysis'!$C$107+T46*'Part 3 Portfolio Analysis'!$D$107+AA46*'Part 3 Portfolio Analysis'!$E$107+AH46*'Part 3 Portfolio Analysis'!$F$107</f>
        <v>1.29707E-2</v>
      </c>
      <c r="AL46" s="91">
        <f>F46*'Part 3 Portfolio Analysis'!$B$121+M46*'Part 3 Portfolio Analysis'!$C$121+'Part 3 Portfolio Analysis'!$D$121*T46+AA46*'Part 3 Portfolio Analysis'!$E$121+'Part 3 Portfolio Analysis'!$F$121*AH46</f>
        <v>1.685536E-2</v>
      </c>
      <c r="AM46" s="91"/>
      <c r="AN46" s="90">
        <v>44714</v>
      </c>
      <c r="AO46" s="91">
        <v>16481.650389999999</v>
      </c>
      <c r="AP46" s="91">
        <v>16628</v>
      </c>
      <c r="AQ46" s="91">
        <v>16628</v>
      </c>
      <c r="AR46" s="91">
        <v>236000</v>
      </c>
      <c r="AS46" s="91">
        <v>6.4000000000000003E-3</v>
      </c>
    </row>
    <row r="47" spans="1:45" x14ac:dyDescent="0.55000000000000004">
      <c r="A47" s="90">
        <v>44715</v>
      </c>
      <c r="B47" s="91">
        <v>8740</v>
      </c>
      <c r="C47" s="91">
        <v>8433.2998050000006</v>
      </c>
      <c r="D47" s="91">
        <v>8152.6987300000001</v>
      </c>
      <c r="E47" s="91">
        <v>354646</v>
      </c>
      <c r="F47" s="91">
        <v>-2.2700000000000001E-2</v>
      </c>
      <c r="H47" s="90">
        <v>44715</v>
      </c>
      <c r="I47" s="91">
        <v>1266.355591</v>
      </c>
      <c r="J47" s="91">
        <v>1282.7387699999999</v>
      </c>
      <c r="K47" s="91">
        <v>1264.705933</v>
      </c>
      <c r="L47" s="91">
        <v>23939791</v>
      </c>
      <c r="M47" s="91">
        <v>2.0299999999999999E-2</v>
      </c>
      <c r="O47" s="90">
        <v>44715</v>
      </c>
      <c r="P47" s="91">
        <v>699.15002440000001</v>
      </c>
      <c r="Q47" s="91">
        <v>690.15002440000001</v>
      </c>
      <c r="R47" s="91">
        <v>664.15588379999997</v>
      </c>
      <c r="S47" s="91">
        <v>6957244</v>
      </c>
      <c r="T47" s="91">
        <v>-3.5000000000000001E-3</v>
      </c>
      <c r="V47" s="90">
        <v>44715</v>
      </c>
      <c r="W47" s="91">
        <v>1524.900024</v>
      </c>
      <c r="X47" s="91">
        <v>1521.6999510000001</v>
      </c>
      <c r="Y47" s="91">
        <v>1380.5058590000001</v>
      </c>
      <c r="Z47" s="91">
        <v>9395707</v>
      </c>
      <c r="AA47" s="91">
        <v>9.1000000000000004E-3</v>
      </c>
      <c r="AB47" s="91"/>
      <c r="AC47" s="90">
        <v>44715</v>
      </c>
      <c r="AD47" s="91">
        <v>1111.099976</v>
      </c>
      <c r="AE47" s="91">
        <v>1129.3000489999999</v>
      </c>
      <c r="AF47" s="91">
        <v>1125.8935550000001</v>
      </c>
      <c r="AG47" s="91">
        <v>843397</v>
      </c>
      <c r="AH47" s="91">
        <v>1.4800000000000001E-2</v>
      </c>
      <c r="AI47" s="91"/>
      <c r="AJ47" s="91">
        <f>(F47*'Part 3 Portfolio Analysis'!$B$8+M47*'Part 3 Portfolio Analysis'!$C$8+T47*'Part 3 Portfolio Analysis'!$D$8+AA47*'Part 3 Portfolio Analysis'!$E$8+AH47*'Part 3 Portfolio Analysis'!$F$8)/100</f>
        <v>1.5736469644593038E-3</v>
      </c>
      <c r="AK47" s="91">
        <f>'Part 3 Portfolio Analysis'!$B$107*F47+M47*'Part 3 Portfolio Analysis'!$C$107+T47*'Part 3 Portfolio Analysis'!$D$107+AA47*'Part 3 Portfolio Analysis'!$E$107+AH47*'Part 3 Portfolio Analysis'!$F$107</f>
        <v>6.365E-3</v>
      </c>
      <c r="AL47" s="91">
        <f>F47*'Part 3 Portfolio Analysis'!$B$121+M47*'Part 3 Portfolio Analysis'!$C$121+'Part 3 Portfolio Analysis'!$D$121*T47+AA47*'Part 3 Portfolio Analysis'!$E$121+'Part 3 Portfolio Analysis'!$F$121*AH47</f>
        <v>7.9077000000000001E-3</v>
      </c>
      <c r="AM47" s="91"/>
      <c r="AN47" s="90">
        <v>44715</v>
      </c>
      <c r="AO47" s="91">
        <v>16761.650389999999</v>
      </c>
      <c r="AP47" s="91">
        <v>16584.300780000001</v>
      </c>
      <c r="AQ47" s="91">
        <v>16584.300780000001</v>
      </c>
      <c r="AR47" s="91">
        <v>245500</v>
      </c>
      <c r="AS47" s="91">
        <v>-2.5999999999999999E-3</v>
      </c>
    </row>
    <row r="48" spans="1:45" x14ac:dyDescent="0.55000000000000004">
      <c r="A48" s="90">
        <v>44718</v>
      </c>
      <c r="B48" s="91">
        <v>8400</v>
      </c>
      <c r="C48" s="91">
        <v>8696.25</v>
      </c>
      <c r="D48" s="91">
        <v>8406.9003909999992</v>
      </c>
      <c r="E48" s="91">
        <v>685885</v>
      </c>
      <c r="F48" s="91">
        <v>3.1199999999999999E-2</v>
      </c>
      <c r="H48" s="90">
        <v>44718</v>
      </c>
      <c r="I48" s="91">
        <v>1282.9696039999999</v>
      </c>
      <c r="J48" s="91">
        <v>1277.2238769999999</v>
      </c>
      <c r="K48" s="91">
        <v>1259.268433</v>
      </c>
      <c r="L48" s="91">
        <v>11093152</v>
      </c>
      <c r="M48" s="91">
        <v>-4.3E-3</v>
      </c>
      <c r="O48" s="90">
        <v>44718</v>
      </c>
      <c r="P48" s="91">
        <v>688.15002440000001</v>
      </c>
      <c r="Q48" s="91">
        <v>689.22497559999999</v>
      </c>
      <c r="R48" s="91">
        <v>663.26568599999996</v>
      </c>
      <c r="S48" s="91">
        <v>6173266</v>
      </c>
      <c r="T48" s="91">
        <v>-1.2999999999999999E-3</v>
      </c>
      <c r="V48" s="90">
        <v>44718</v>
      </c>
      <c r="W48" s="91">
        <v>1516</v>
      </c>
      <c r="X48" s="91">
        <v>1530.0500489999999</v>
      </c>
      <c r="Y48" s="91">
        <v>1388.080933</v>
      </c>
      <c r="Z48" s="91">
        <v>6624883</v>
      </c>
      <c r="AA48" s="91">
        <v>5.4999999999999997E-3</v>
      </c>
      <c r="AB48" s="91"/>
      <c r="AC48" s="90">
        <v>44718</v>
      </c>
      <c r="AD48" s="91">
        <v>1129</v>
      </c>
      <c r="AE48" s="91">
        <v>1104.75</v>
      </c>
      <c r="AF48" s="91">
        <v>1101.4174800000001</v>
      </c>
      <c r="AG48" s="91">
        <v>620866</v>
      </c>
      <c r="AH48" s="91">
        <v>-2.1700000000000001E-2</v>
      </c>
      <c r="AI48" s="91"/>
      <c r="AJ48" s="91">
        <f>(F48*'Part 3 Portfolio Analysis'!$B$8+M48*'Part 3 Portfolio Analysis'!$C$8+T48*'Part 3 Portfolio Analysis'!$D$8+AA48*'Part 3 Portfolio Analysis'!$E$8+AH48*'Part 3 Portfolio Analysis'!$F$8)/100</f>
        <v>8.2575265018592046E-3</v>
      </c>
      <c r="AK48" s="91">
        <f>'Part 3 Portfolio Analysis'!$B$107*F48+M48*'Part 3 Portfolio Analysis'!$C$107+T48*'Part 3 Portfolio Analysis'!$D$107+AA48*'Part 3 Portfolio Analysis'!$E$107+AH48*'Part 3 Portfolio Analysis'!$F$107</f>
        <v>-8.4980000000000038E-4</v>
      </c>
      <c r="AL48" s="91">
        <f>F48*'Part 3 Portfolio Analysis'!$B$121+M48*'Part 3 Portfolio Analysis'!$C$121+'Part 3 Portfolio Analysis'!$D$121*T48+AA48*'Part 3 Portfolio Analysis'!$E$121+'Part 3 Portfolio Analysis'!$F$121*AH48</f>
        <v>9.382199999999997E-4</v>
      </c>
      <c r="AM48" s="91"/>
      <c r="AN48" s="90">
        <v>44718</v>
      </c>
      <c r="AO48" s="91">
        <v>16530.699219999999</v>
      </c>
      <c r="AP48" s="91">
        <v>16569.550780000001</v>
      </c>
      <c r="AQ48" s="91">
        <v>16569.550780000001</v>
      </c>
      <c r="AR48" s="91">
        <v>233600</v>
      </c>
      <c r="AS48" s="91">
        <v>-8.9999999999999998E-4</v>
      </c>
    </row>
    <row r="49" spans="1:45" x14ac:dyDescent="0.55000000000000004">
      <c r="A49" s="90">
        <v>44719</v>
      </c>
      <c r="B49" s="91">
        <v>8680</v>
      </c>
      <c r="C49" s="91">
        <v>8618.3496090000008</v>
      </c>
      <c r="D49" s="91">
        <v>8331.5917969999991</v>
      </c>
      <c r="E49" s="91">
        <v>393626</v>
      </c>
      <c r="F49" s="91">
        <v>-8.9999999999999993E-3</v>
      </c>
      <c r="H49" s="90">
        <v>44719</v>
      </c>
      <c r="I49" s="91">
        <v>1278.30835</v>
      </c>
      <c r="J49" s="91">
        <v>1279.6236570000001</v>
      </c>
      <c r="K49" s="91">
        <v>1261.634644</v>
      </c>
      <c r="L49" s="91">
        <v>12358255</v>
      </c>
      <c r="M49" s="91">
        <v>1.9E-3</v>
      </c>
      <c r="O49" s="90">
        <v>44719</v>
      </c>
      <c r="P49" s="91">
        <v>681</v>
      </c>
      <c r="Q49" s="91">
        <v>681.29998780000005</v>
      </c>
      <c r="R49" s="91">
        <v>655.63916019999999</v>
      </c>
      <c r="S49" s="91">
        <v>10253966</v>
      </c>
      <c r="T49" s="91">
        <v>-1.15E-2</v>
      </c>
      <c r="V49" s="90">
        <v>44719</v>
      </c>
      <c r="W49" s="91">
        <v>1519.849976</v>
      </c>
      <c r="X49" s="91">
        <v>1506.6999510000001</v>
      </c>
      <c r="Y49" s="91">
        <v>1366.8975829999999</v>
      </c>
      <c r="Z49" s="91">
        <v>4904592</v>
      </c>
      <c r="AA49" s="91">
        <v>-1.5299999999999999E-2</v>
      </c>
      <c r="AB49" s="91"/>
      <c r="AC49" s="90">
        <v>44719</v>
      </c>
      <c r="AD49" s="91">
        <v>1106</v>
      </c>
      <c r="AE49" s="91">
        <v>1084.849976</v>
      </c>
      <c r="AF49" s="91">
        <v>1081.5776370000001</v>
      </c>
      <c r="AG49" s="91">
        <v>284321</v>
      </c>
      <c r="AH49" s="91">
        <v>-1.7999999999999999E-2</v>
      </c>
      <c r="AI49" s="91"/>
      <c r="AJ49" s="91">
        <f>(F49*'Part 3 Portfolio Analysis'!$B$8+M49*'Part 3 Portfolio Analysis'!$C$8+T49*'Part 3 Portfolio Analysis'!$D$8+AA49*'Part 3 Portfolio Analysis'!$E$8+AH49*'Part 3 Portfolio Analysis'!$F$8)/100</f>
        <v>-6.5678421643802576E-3</v>
      </c>
      <c r="AK49" s="91">
        <f>'Part 3 Portfolio Analysis'!$B$107*F49+M49*'Part 3 Portfolio Analysis'!$C$107+T49*'Part 3 Portfolio Analysis'!$D$107+AA49*'Part 3 Portfolio Analysis'!$E$107+AH49*'Part 3 Portfolio Analysis'!$F$107</f>
        <v>-8.8738000000000011E-3</v>
      </c>
      <c r="AL49" s="91">
        <f>F49*'Part 3 Portfolio Analysis'!$B$121+M49*'Part 3 Portfolio Analysis'!$C$121+'Part 3 Portfolio Analysis'!$D$121*T49+AA49*'Part 3 Portfolio Analysis'!$E$121+'Part 3 Portfolio Analysis'!$F$121*AH49</f>
        <v>-6.6021600000000001E-3</v>
      </c>
      <c r="AM49" s="91"/>
      <c r="AN49" s="90">
        <v>44719</v>
      </c>
      <c r="AO49" s="91">
        <v>16469.599610000001</v>
      </c>
      <c r="AP49" s="91">
        <v>16416.349610000001</v>
      </c>
      <c r="AQ49" s="91">
        <v>16416.349610000001</v>
      </c>
      <c r="AR49" s="91">
        <v>233800</v>
      </c>
      <c r="AS49" s="91">
        <v>-9.1999999999999998E-3</v>
      </c>
    </row>
    <row r="50" spans="1:45" x14ac:dyDescent="0.55000000000000004">
      <c r="A50" s="90">
        <v>44720</v>
      </c>
      <c r="B50" s="91">
        <v>8630.3496090000008</v>
      </c>
      <c r="C50" s="91">
        <v>8608.9501949999994</v>
      </c>
      <c r="D50" s="91">
        <v>8322.5039059999999</v>
      </c>
      <c r="E50" s="91">
        <v>210199</v>
      </c>
      <c r="F50" s="91">
        <v>-1.1000000000000001E-3</v>
      </c>
      <c r="H50" s="90">
        <v>44720</v>
      </c>
      <c r="I50" s="91">
        <v>1279.6236570000001</v>
      </c>
      <c r="J50" s="91">
        <v>1257.148682</v>
      </c>
      <c r="K50" s="91">
        <v>1239.4754640000001</v>
      </c>
      <c r="L50" s="91">
        <v>12479250</v>
      </c>
      <c r="M50" s="91">
        <v>-1.7600000000000001E-2</v>
      </c>
      <c r="O50" s="90">
        <v>44720</v>
      </c>
      <c r="P50" s="91">
        <v>686.65002440000001</v>
      </c>
      <c r="Q50" s="91">
        <v>683.70001219999995</v>
      </c>
      <c r="R50" s="91">
        <v>657.94879149999997</v>
      </c>
      <c r="S50" s="91">
        <v>5986588</v>
      </c>
      <c r="T50" s="91">
        <v>3.5000000000000001E-3</v>
      </c>
      <c r="V50" s="90">
        <v>44720</v>
      </c>
      <c r="W50" s="91">
        <v>1520.1999510000001</v>
      </c>
      <c r="X50" s="91">
        <v>1500</v>
      </c>
      <c r="Y50" s="91">
        <v>1360.8192140000001</v>
      </c>
      <c r="Z50" s="91">
        <v>4697608</v>
      </c>
      <c r="AA50" s="91">
        <v>-4.4000000000000003E-3</v>
      </c>
      <c r="AB50" s="91"/>
      <c r="AC50" s="90">
        <v>44720</v>
      </c>
      <c r="AD50" s="91">
        <v>1080</v>
      </c>
      <c r="AE50" s="91">
        <v>1087</v>
      </c>
      <c r="AF50" s="91">
        <v>1083.7211910000001</v>
      </c>
      <c r="AG50" s="91">
        <v>469020</v>
      </c>
      <c r="AH50" s="91">
        <v>2E-3</v>
      </c>
      <c r="AI50" s="91"/>
      <c r="AJ50" s="91">
        <f>(F50*'Part 3 Portfolio Analysis'!$B$8+M50*'Part 3 Portfolio Analysis'!$C$8+T50*'Part 3 Portfolio Analysis'!$D$8+AA50*'Part 3 Portfolio Analysis'!$E$8+AH50*'Part 3 Portfolio Analysis'!$F$8)/100</f>
        <v>-6.8143664008997427E-3</v>
      </c>
      <c r="AK50" s="91">
        <f>'Part 3 Portfolio Analysis'!$B$107*F50+M50*'Part 3 Portfolio Analysis'!$C$107+T50*'Part 3 Portfolio Analysis'!$D$107+AA50*'Part 3 Portfolio Analysis'!$E$107+AH50*'Part 3 Portfolio Analysis'!$F$107</f>
        <v>-5.1003000000000003E-3</v>
      </c>
      <c r="AL50" s="91">
        <f>F50*'Part 3 Portfolio Analysis'!$B$121+M50*'Part 3 Portfolio Analysis'!$C$121+'Part 3 Portfolio Analysis'!$D$121*T50+AA50*'Part 3 Portfolio Analysis'!$E$121+'Part 3 Portfolio Analysis'!$F$121*AH50</f>
        <v>-7.3509800000000009E-3</v>
      </c>
      <c r="AM50" s="91"/>
      <c r="AN50" s="90">
        <v>44720</v>
      </c>
      <c r="AO50" s="91">
        <v>16474.949219999999</v>
      </c>
      <c r="AP50" s="91">
        <v>16356.25</v>
      </c>
      <c r="AQ50" s="91">
        <v>16356.25</v>
      </c>
      <c r="AR50" s="91">
        <v>243500</v>
      </c>
      <c r="AS50" s="91">
        <v>-3.7000000000000002E-3</v>
      </c>
    </row>
    <row r="51" spans="1:45" x14ac:dyDescent="0.55000000000000004">
      <c r="A51" s="90">
        <v>44721</v>
      </c>
      <c r="B51" s="91">
        <v>8595</v>
      </c>
      <c r="C51" s="91">
        <v>8693.5996090000008</v>
      </c>
      <c r="D51" s="91">
        <v>8404.3369139999995</v>
      </c>
      <c r="E51" s="91">
        <v>339870</v>
      </c>
      <c r="F51" s="91">
        <v>9.7999999999999997E-3</v>
      </c>
      <c r="H51" s="90">
        <v>44721</v>
      </c>
      <c r="I51" s="91">
        <v>1250.6645510000001</v>
      </c>
      <c r="J51" s="91">
        <v>1291.6226810000001</v>
      </c>
      <c r="K51" s="91">
        <v>1273.464966</v>
      </c>
      <c r="L51" s="91">
        <v>17278305</v>
      </c>
      <c r="M51" s="91">
        <v>2.7400000000000001E-2</v>
      </c>
      <c r="O51" s="90">
        <v>44721</v>
      </c>
      <c r="P51" s="91">
        <v>681.125</v>
      </c>
      <c r="Q51" s="91">
        <v>688.84997559999999</v>
      </c>
      <c r="R51" s="91">
        <v>662.90484619999995</v>
      </c>
      <c r="S51" s="91">
        <v>7311816</v>
      </c>
      <c r="T51" s="91">
        <v>7.4999999999999997E-3</v>
      </c>
      <c r="V51" s="90">
        <v>44721</v>
      </c>
      <c r="W51" s="91">
        <v>1485</v>
      </c>
      <c r="X51" s="91">
        <v>1515</v>
      </c>
      <c r="Y51" s="91">
        <v>1374.4273679999999</v>
      </c>
      <c r="Z51" s="91">
        <v>4361061</v>
      </c>
      <c r="AA51" s="91">
        <v>0.01</v>
      </c>
      <c r="AB51" s="91"/>
      <c r="AC51" s="90">
        <v>44721</v>
      </c>
      <c r="AD51" s="91">
        <v>1078</v>
      </c>
      <c r="AE51" s="91">
        <v>1084.25</v>
      </c>
      <c r="AF51" s="91">
        <v>1080.97937</v>
      </c>
      <c r="AG51" s="91">
        <v>557580</v>
      </c>
      <c r="AH51" s="91">
        <v>-2.5000000000000001E-3</v>
      </c>
      <c r="AI51" s="91"/>
      <c r="AJ51" s="91">
        <f>(F51*'Part 3 Portfolio Analysis'!$B$8+M51*'Part 3 Portfolio Analysis'!$C$8+T51*'Part 3 Portfolio Analysis'!$D$8+AA51*'Part 3 Portfolio Analysis'!$E$8+AH51*'Part 3 Portfolio Analysis'!$F$8)/100</f>
        <v>1.5707952600781463E-2</v>
      </c>
      <c r="AK51" s="91">
        <f>'Part 3 Portfolio Analysis'!$B$107*F51+M51*'Part 3 Portfolio Analysis'!$C$107+T51*'Part 3 Portfolio Analysis'!$D$107+AA51*'Part 3 Portfolio Analysis'!$E$107+AH51*'Part 3 Portfolio Analysis'!$F$107</f>
        <v>1.1872700000000002E-2</v>
      </c>
      <c r="AL51" s="91">
        <f>F51*'Part 3 Portfolio Analysis'!$B$121+M51*'Part 3 Portfolio Analysis'!$C$121+'Part 3 Portfolio Analysis'!$D$121*T51+AA51*'Part 3 Portfolio Analysis'!$E$121+'Part 3 Portfolio Analysis'!$F$121*AH51</f>
        <v>1.6277099999999999E-2</v>
      </c>
      <c r="AM51" s="91"/>
      <c r="AN51" s="90">
        <v>44721</v>
      </c>
      <c r="AO51" s="91">
        <v>16263.849609999999</v>
      </c>
      <c r="AP51" s="91">
        <v>16478.099610000001</v>
      </c>
      <c r="AQ51" s="91">
        <v>16478.099610000001</v>
      </c>
      <c r="AR51" s="91">
        <v>205000</v>
      </c>
      <c r="AS51" s="91">
        <v>7.4000000000000003E-3</v>
      </c>
    </row>
    <row r="52" spans="1:45" x14ac:dyDescent="0.55000000000000004">
      <c r="A52" s="90">
        <v>44722</v>
      </c>
      <c r="B52" s="91">
        <v>8620</v>
      </c>
      <c r="C52" s="91">
        <v>8602.9003909999992</v>
      </c>
      <c r="D52" s="91">
        <v>8316.65625</v>
      </c>
      <c r="E52" s="91">
        <v>213882</v>
      </c>
      <c r="F52" s="91">
        <v>-1.04E-2</v>
      </c>
      <c r="H52" s="90">
        <v>44722</v>
      </c>
      <c r="I52" s="91">
        <v>1279.2314449999999</v>
      </c>
      <c r="J52" s="91">
        <v>1252.6259769999999</v>
      </c>
      <c r="K52" s="91">
        <v>1235.016357</v>
      </c>
      <c r="L52" s="91">
        <v>18093057</v>
      </c>
      <c r="M52" s="91">
        <v>-3.0200000000000001E-2</v>
      </c>
      <c r="O52" s="90">
        <v>44722</v>
      </c>
      <c r="P52" s="91">
        <v>680.04998780000005</v>
      </c>
      <c r="Q52" s="91">
        <v>675.54998780000005</v>
      </c>
      <c r="R52" s="91">
        <v>650.10577390000003</v>
      </c>
      <c r="S52" s="91">
        <v>9155430</v>
      </c>
      <c r="T52" s="91">
        <v>-1.9300000000000001E-2</v>
      </c>
      <c r="V52" s="90">
        <v>44722</v>
      </c>
      <c r="W52" s="91">
        <v>1486.099976</v>
      </c>
      <c r="X52" s="91">
        <v>1476.8000489999999</v>
      </c>
      <c r="Y52" s="91">
        <v>1339.7719729999999</v>
      </c>
      <c r="Z52" s="91">
        <v>6516436</v>
      </c>
      <c r="AA52" s="91">
        <v>-2.52E-2</v>
      </c>
      <c r="AB52" s="91"/>
      <c r="AC52" s="90">
        <v>44722</v>
      </c>
      <c r="AD52" s="91">
        <v>1081</v>
      </c>
      <c r="AE52" s="91">
        <v>1113.3000489999999</v>
      </c>
      <c r="AF52" s="91">
        <v>1109.9418949999999</v>
      </c>
      <c r="AG52" s="91">
        <v>859171</v>
      </c>
      <c r="AH52" s="91">
        <v>2.6800000000000001E-2</v>
      </c>
      <c r="AI52" s="91"/>
      <c r="AJ52" s="91">
        <f>(F52*'Part 3 Portfolio Analysis'!$B$8+M52*'Part 3 Portfolio Analysis'!$C$8+T52*'Part 3 Portfolio Analysis'!$D$8+AA52*'Part 3 Portfolio Analysis'!$E$8+AH52*'Part 3 Portfolio Analysis'!$F$8)/100</f>
        <v>-2.1079978697960033E-2</v>
      </c>
      <c r="AK52" s="91">
        <f>'Part 3 Portfolio Analysis'!$B$107*F52+M52*'Part 3 Portfolio Analysis'!$C$107+T52*'Part 3 Portfolio Analysis'!$D$107+AA52*'Part 3 Portfolio Analysis'!$E$107+AH52*'Part 3 Portfolio Analysis'!$F$107</f>
        <v>-1.0082500000000003E-2</v>
      </c>
      <c r="AL52" s="91">
        <f>F52*'Part 3 Portfolio Analysis'!$B$121+M52*'Part 3 Portfolio Analysis'!$C$121+'Part 3 Portfolio Analysis'!$D$121*T52+AA52*'Part 3 Portfolio Analysis'!$E$121+'Part 3 Portfolio Analysis'!$F$121*AH52</f>
        <v>-2.3114240000000001E-2</v>
      </c>
      <c r="AM52" s="91"/>
      <c r="AN52" s="90">
        <v>44722</v>
      </c>
      <c r="AO52" s="91">
        <v>16283.950199999999</v>
      </c>
      <c r="AP52" s="91">
        <v>16201.799800000001</v>
      </c>
      <c r="AQ52" s="91">
        <v>16201.799800000001</v>
      </c>
      <c r="AR52" s="91">
        <v>189700</v>
      </c>
      <c r="AS52" s="91">
        <v>-1.6799999999999999E-2</v>
      </c>
    </row>
    <row r="53" spans="1:45" x14ac:dyDescent="0.55000000000000004">
      <c r="A53" s="90">
        <v>44725</v>
      </c>
      <c r="B53" s="91">
        <v>8470</v>
      </c>
      <c r="C53" s="91">
        <v>8462</v>
      </c>
      <c r="D53" s="91">
        <v>8180.4438479999999</v>
      </c>
      <c r="E53" s="91">
        <v>487797</v>
      </c>
      <c r="F53" s="91">
        <v>-1.6400000000000001E-2</v>
      </c>
      <c r="H53" s="90">
        <v>44725</v>
      </c>
      <c r="I53" s="91">
        <v>1222.9746090000001</v>
      </c>
      <c r="J53" s="91">
        <v>1228.927856</v>
      </c>
      <c r="K53" s="91">
        <v>1211.6514890000001</v>
      </c>
      <c r="L53" s="91">
        <v>17620803</v>
      </c>
      <c r="M53" s="91">
        <v>-1.89E-2</v>
      </c>
      <c r="O53" s="90">
        <v>44725</v>
      </c>
      <c r="P53" s="91">
        <v>661.79998780000005</v>
      </c>
      <c r="Q53" s="91">
        <v>663.29998780000005</v>
      </c>
      <c r="R53" s="91">
        <v>638.31713869999999</v>
      </c>
      <c r="S53" s="91">
        <v>10892572</v>
      </c>
      <c r="T53" s="91">
        <v>-1.8100000000000002E-2</v>
      </c>
      <c r="V53" s="90">
        <v>44725</v>
      </c>
      <c r="W53" s="91">
        <v>1443.599976</v>
      </c>
      <c r="X53" s="91">
        <v>1424.5</v>
      </c>
      <c r="Y53" s="91">
        <v>1292.3245850000001</v>
      </c>
      <c r="Z53" s="91">
        <v>6987685</v>
      </c>
      <c r="AA53" s="91">
        <v>-3.5400000000000001E-2</v>
      </c>
      <c r="AB53" s="91"/>
      <c r="AC53" s="90">
        <v>44725</v>
      </c>
      <c r="AD53" s="91">
        <v>1109.9499510000001</v>
      </c>
      <c r="AE53" s="91">
        <v>1086.650024</v>
      </c>
      <c r="AF53" s="91">
        <v>1083.372192</v>
      </c>
      <c r="AG53" s="91">
        <v>514725</v>
      </c>
      <c r="AH53" s="91">
        <v>-2.3900000000000001E-2</v>
      </c>
      <c r="AI53" s="91"/>
      <c r="AJ53" s="91">
        <f>(F53*'Part 3 Portfolio Analysis'!$B$8+M53*'Part 3 Portfolio Analysis'!$C$8+T53*'Part 3 Portfolio Analysis'!$D$8+AA53*'Part 3 Portfolio Analysis'!$E$8+AH53*'Part 3 Portfolio Analysis'!$F$8)/100</f>
        <v>-2.0720821726918311E-2</v>
      </c>
      <c r="AK53" s="91">
        <f>'Part 3 Portfolio Analysis'!$B$107*F53+M53*'Part 3 Portfolio Analysis'!$C$107+T53*'Part 3 Portfolio Analysis'!$D$107+AA53*'Part 3 Portfolio Analysis'!$E$107+AH53*'Part 3 Portfolio Analysis'!$F$107</f>
        <v>-2.1236000000000001E-2</v>
      </c>
      <c r="AL53" s="91">
        <f>F53*'Part 3 Portfolio Analysis'!$B$121+M53*'Part 3 Portfolio Analysis'!$C$121+'Part 3 Portfolio Analysis'!$D$121*T53+AA53*'Part 3 Portfolio Analysis'!$E$121+'Part 3 Portfolio Analysis'!$F$121*AH53</f>
        <v>-2.1907900000000001E-2</v>
      </c>
      <c r="AM53" s="91"/>
      <c r="AN53" s="90">
        <v>44725</v>
      </c>
      <c r="AO53" s="91">
        <v>15877.549800000001</v>
      </c>
      <c r="AP53" s="91">
        <v>15774.400390000001</v>
      </c>
      <c r="AQ53" s="91">
        <v>15774.400390000001</v>
      </c>
      <c r="AR53" s="91">
        <v>225500</v>
      </c>
      <c r="AS53" s="91">
        <v>-2.64E-2</v>
      </c>
    </row>
    <row r="54" spans="1:45" x14ac:dyDescent="0.55000000000000004">
      <c r="A54" s="90">
        <v>44726</v>
      </c>
      <c r="B54" s="91">
        <v>8439.9501949999994</v>
      </c>
      <c r="C54" s="91">
        <v>8386.75</v>
      </c>
      <c r="D54" s="91">
        <v>8107.6972660000001</v>
      </c>
      <c r="E54" s="91">
        <v>230884</v>
      </c>
      <c r="F54" s="91">
        <v>-8.8999999999999999E-3</v>
      </c>
      <c r="H54" s="90">
        <v>44726</v>
      </c>
      <c r="I54" s="91">
        <v>1222.9976810000001</v>
      </c>
      <c r="J54" s="91">
        <v>1212.8676760000001</v>
      </c>
      <c r="K54" s="91">
        <v>1195.8170170000001</v>
      </c>
      <c r="L54" s="91">
        <v>14714312</v>
      </c>
      <c r="M54" s="91">
        <v>-1.3100000000000001E-2</v>
      </c>
      <c r="O54" s="90">
        <v>44726</v>
      </c>
      <c r="P54" s="91">
        <v>655.625</v>
      </c>
      <c r="Q54" s="91">
        <v>656</v>
      </c>
      <c r="R54" s="91">
        <v>631.29205320000005</v>
      </c>
      <c r="S54" s="91">
        <v>11870356</v>
      </c>
      <c r="T54" s="91">
        <v>-1.0999999999999999E-2</v>
      </c>
      <c r="V54" s="90">
        <v>44726</v>
      </c>
      <c r="W54" s="91">
        <v>1410</v>
      </c>
      <c r="X54" s="91">
        <v>1440.5500489999999</v>
      </c>
      <c r="Y54" s="91">
        <v>1306.8854980000001</v>
      </c>
      <c r="Z54" s="91">
        <v>6090247</v>
      </c>
      <c r="AA54" s="91">
        <v>1.1299999999999999E-2</v>
      </c>
      <c r="AB54" s="91"/>
      <c r="AC54" s="90">
        <v>44726</v>
      </c>
      <c r="AD54" s="91">
        <v>1086.400024</v>
      </c>
      <c r="AE54" s="91">
        <v>1069.4499510000001</v>
      </c>
      <c r="AF54" s="91">
        <v>1066.223999</v>
      </c>
      <c r="AG54" s="91">
        <v>495087</v>
      </c>
      <c r="AH54" s="91">
        <v>-1.5800000000000002E-2</v>
      </c>
      <c r="AI54" s="91"/>
      <c r="AJ54" s="91">
        <f>(F54*'Part 3 Portfolio Analysis'!$B$8+M54*'Part 3 Portfolio Analysis'!$C$8+T54*'Part 3 Portfolio Analysis'!$D$8+AA54*'Part 3 Portfolio Analysis'!$E$8+AH54*'Part 3 Portfolio Analysis'!$F$8)/100</f>
        <v>-7.5893029350607467E-3</v>
      </c>
      <c r="AK54" s="91">
        <f>'Part 3 Portfolio Analysis'!$B$107*F54+M54*'Part 3 Portfolio Analysis'!$C$107+T54*'Part 3 Portfolio Analysis'!$D$107+AA54*'Part 3 Portfolio Analysis'!$E$107+AH54*'Part 3 Portfolio Analysis'!$F$107</f>
        <v>-1.0258900000000001E-2</v>
      </c>
      <c r="AL54" s="91">
        <f>F54*'Part 3 Portfolio Analysis'!$B$121+M54*'Part 3 Portfolio Analysis'!$C$121+'Part 3 Portfolio Analysis'!$D$121*T54+AA54*'Part 3 Portfolio Analysis'!$E$121+'Part 3 Portfolio Analysis'!$F$121*AH54</f>
        <v>-7.3743000000000003E-3</v>
      </c>
      <c r="AM54" s="91"/>
      <c r="AN54" s="90">
        <v>44726</v>
      </c>
      <c r="AO54" s="91">
        <v>15674.25</v>
      </c>
      <c r="AP54" s="91">
        <v>15732.099609999999</v>
      </c>
      <c r="AQ54" s="91">
        <v>15732.099609999999</v>
      </c>
      <c r="AR54" s="91">
        <v>225400</v>
      </c>
      <c r="AS54" s="91">
        <v>-2.7000000000000001E-3</v>
      </c>
    </row>
    <row r="55" spans="1:45" x14ac:dyDescent="0.55000000000000004">
      <c r="A55" s="90">
        <v>44727</v>
      </c>
      <c r="B55" s="91">
        <v>8475</v>
      </c>
      <c r="C55" s="91">
        <v>8159.6499020000001</v>
      </c>
      <c r="D55" s="91">
        <v>7928.3305659999996</v>
      </c>
      <c r="E55" s="91">
        <v>311273</v>
      </c>
      <c r="F55" s="91">
        <v>-2.2100000000000002E-2</v>
      </c>
      <c r="H55" s="90">
        <v>44727</v>
      </c>
      <c r="I55" s="91">
        <v>1207.9989009999999</v>
      </c>
      <c r="J55" s="91">
        <v>1198.1920170000001</v>
      </c>
      <c r="K55" s="91">
        <v>1181.3476559999999</v>
      </c>
      <c r="L55" s="91">
        <v>11195535</v>
      </c>
      <c r="M55" s="91">
        <v>-1.21E-2</v>
      </c>
      <c r="O55" s="90">
        <v>44727</v>
      </c>
      <c r="P55" s="91">
        <v>650.82501219999995</v>
      </c>
      <c r="Q55" s="91">
        <v>653.72497559999999</v>
      </c>
      <c r="R55" s="91">
        <v>629.10278319999998</v>
      </c>
      <c r="S55" s="91">
        <v>11810470</v>
      </c>
      <c r="T55" s="91">
        <v>-3.5000000000000001E-3</v>
      </c>
      <c r="V55" s="90">
        <v>44727</v>
      </c>
      <c r="W55" s="91">
        <v>1440.1999510000001</v>
      </c>
      <c r="X55" s="91">
        <v>1422.1999510000001</v>
      </c>
      <c r="Y55" s="91">
        <v>1290.2380370000001</v>
      </c>
      <c r="Z55" s="91">
        <v>4651958</v>
      </c>
      <c r="AA55" s="91">
        <v>-1.2699999999999999E-2</v>
      </c>
      <c r="AB55" s="91"/>
      <c r="AC55" s="90">
        <v>44727</v>
      </c>
      <c r="AD55" s="91">
        <v>1070.25</v>
      </c>
      <c r="AE55" s="91">
        <v>1094.900024</v>
      </c>
      <c r="AF55" s="91">
        <v>1091.5972899999999</v>
      </c>
      <c r="AG55" s="91">
        <v>882202</v>
      </c>
      <c r="AH55" s="91">
        <v>2.3800000000000002E-2</v>
      </c>
      <c r="AI55" s="91"/>
      <c r="AJ55" s="91">
        <f>(F55*'Part 3 Portfolio Analysis'!$B$8+M55*'Part 3 Portfolio Analysis'!$C$8+T55*'Part 3 Portfolio Analysis'!$D$8+AA55*'Part 3 Portfolio Analysis'!$E$8+AH55*'Part 3 Portfolio Analysis'!$F$8)/100</f>
        <v>-1.3411098792932835E-2</v>
      </c>
      <c r="AK55" s="91">
        <f>'Part 3 Portfolio Analysis'!$B$107*F55+M55*'Part 3 Portfolio Analysis'!$C$107+T55*'Part 3 Portfolio Analysis'!$D$107+AA55*'Part 3 Portfolio Analysis'!$E$107+AH55*'Part 3 Portfolio Analysis'!$F$107</f>
        <v>-3.5801999999999987E-3</v>
      </c>
      <c r="AL55" s="91">
        <f>F55*'Part 3 Portfolio Analysis'!$B$121+M55*'Part 3 Portfolio Analysis'!$C$121+'Part 3 Portfolio Analysis'!$D$121*T55+AA55*'Part 3 Portfolio Analysis'!$E$121+'Part 3 Portfolio Analysis'!$F$121*AH55</f>
        <v>-9.7622200000000003E-3</v>
      </c>
      <c r="AM55" s="91"/>
      <c r="AN55" s="90">
        <v>44727</v>
      </c>
      <c r="AO55" s="91">
        <v>15729.25</v>
      </c>
      <c r="AP55" s="91">
        <v>15692.150390000001</v>
      </c>
      <c r="AQ55" s="91">
        <v>15692.150390000001</v>
      </c>
      <c r="AR55" s="91">
        <v>183000</v>
      </c>
      <c r="AS55" s="91">
        <v>-2.5000000000000001E-3</v>
      </c>
    </row>
    <row r="56" spans="1:45" x14ac:dyDescent="0.55000000000000004">
      <c r="A56" s="90">
        <v>44728</v>
      </c>
      <c r="B56" s="91">
        <v>8340</v>
      </c>
      <c r="C56" s="91">
        <v>7991.8999020000001</v>
      </c>
      <c r="D56" s="91">
        <v>7765.3364259999998</v>
      </c>
      <c r="E56" s="91">
        <v>531165</v>
      </c>
      <c r="F56" s="91">
        <v>-2.06E-2</v>
      </c>
      <c r="H56" s="90">
        <v>44728</v>
      </c>
      <c r="I56" s="91">
        <v>1210.514038</v>
      </c>
      <c r="J56" s="91">
        <v>1181.4395750000001</v>
      </c>
      <c r="K56" s="91">
        <v>1164.830811</v>
      </c>
      <c r="L56" s="91">
        <v>17111475</v>
      </c>
      <c r="M56" s="91">
        <v>-1.4E-2</v>
      </c>
      <c r="O56" s="90">
        <v>44728</v>
      </c>
      <c r="P56" s="91">
        <v>655</v>
      </c>
      <c r="Q56" s="91">
        <v>640.65002440000001</v>
      </c>
      <c r="R56" s="91">
        <v>616.52026369999999</v>
      </c>
      <c r="S56" s="91">
        <v>12169192</v>
      </c>
      <c r="T56" s="91">
        <v>-0.02</v>
      </c>
      <c r="V56" s="90">
        <v>44728</v>
      </c>
      <c r="W56" s="91">
        <v>1438</v>
      </c>
      <c r="X56" s="91">
        <v>1397.1999510000001</v>
      </c>
      <c r="Y56" s="91">
        <v>1267.5576169999999</v>
      </c>
      <c r="Z56" s="91">
        <v>6641772</v>
      </c>
      <c r="AA56" s="91">
        <v>-1.7600000000000001E-2</v>
      </c>
      <c r="AB56" s="91"/>
      <c r="AC56" s="90">
        <v>44728</v>
      </c>
      <c r="AD56" s="91">
        <v>1105.25</v>
      </c>
      <c r="AE56" s="91">
        <v>1078.0500489999999</v>
      </c>
      <c r="AF56" s="91">
        <v>1074.798096</v>
      </c>
      <c r="AG56" s="91">
        <v>387582</v>
      </c>
      <c r="AH56" s="91">
        <v>-1.54E-2</v>
      </c>
      <c r="AI56" s="91"/>
      <c r="AJ56" s="91">
        <f>(F56*'Part 3 Portfolio Analysis'!$B$8+M56*'Part 3 Portfolio Analysis'!$C$8+T56*'Part 3 Portfolio Analysis'!$D$8+AA56*'Part 3 Portfolio Analysis'!$E$8+AH56*'Part 3 Portfolio Analysis'!$F$8)/100</f>
        <v>-1.7573920089741745E-2</v>
      </c>
      <c r="AK56" s="91">
        <f>'Part 3 Portfolio Analysis'!$B$107*F56+M56*'Part 3 Portfolio Analysis'!$C$107+T56*'Part 3 Portfolio Analysis'!$D$107+AA56*'Part 3 Portfolio Analysis'!$E$107+AH56*'Part 3 Portfolio Analysis'!$F$107</f>
        <v>-1.68308E-2</v>
      </c>
      <c r="AL56" s="91">
        <f>F56*'Part 3 Portfolio Analysis'!$B$121+M56*'Part 3 Portfolio Analysis'!$C$121+'Part 3 Portfolio Analysis'!$D$121*T56+AA56*'Part 3 Portfolio Analysis'!$E$121+'Part 3 Portfolio Analysis'!$F$121*AH56</f>
        <v>-1.6931200000000004E-2</v>
      </c>
      <c r="AM56" s="91"/>
      <c r="AN56" s="90">
        <v>44728</v>
      </c>
      <c r="AO56" s="91">
        <v>15832.25</v>
      </c>
      <c r="AP56" s="91">
        <v>15360.599609999999</v>
      </c>
      <c r="AQ56" s="91">
        <v>15360.599609999999</v>
      </c>
      <c r="AR56" s="91">
        <v>264700</v>
      </c>
      <c r="AS56" s="91">
        <v>-2.1100000000000001E-2</v>
      </c>
    </row>
    <row r="57" spans="1:45" x14ac:dyDescent="0.55000000000000004">
      <c r="A57" s="90">
        <v>44729</v>
      </c>
      <c r="B57" s="91">
        <v>7875</v>
      </c>
      <c r="C57" s="91">
        <v>7812.8500979999999</v>
      </c>
      <c r="D57" s="91">
        <v>7591.3627930000002</v>
      </c>
      <c r="E57" s="91">
        <v>645946</v>
      </c>
      <c r="F57" s="91">
        <v>-2.24E-2</v>
      </c>
      <c r="H57" s="90">
        <v>44729</v>
      </c>
      <c r="I57" s="91">
        <v>1181.4395750000001</v>
      </c>
      <c r="J57" s="91">
        <v>1195.2845460000001</v>
      </c>
      <c r="K57" s="91">
        <v>1178.4810789999999</v>
      </c>
      <c r="L57" s="91">
        <v>24457187</v>
      </c>
      <c r="M57" s="91">
        <v>1.17E-2</v>
      </c>
      <c r="O57" s="90">
        <v>44729</v>
      </c>
      <c r="P57" s="91">
        <v>637.5</v>
      </c>
      <c r="Q57" s="91">
        <v>644.875</v>
      </c>
      <c r="R57" s="91">
        <v>620.58612059999996</v>
      </c>
      <c r="S57" s="91">
        <v>14723922</v>
      </c>
      <c r="T57" s="91">
        <v>6.6E-3</v>
      </c>
      <c r="V57" s="90">
        <v>44729</v>
      </c>
      <c r="W57" s="91">
        <v>1391.0500489999999</v>
      </c>
      <c r="X57" s="91">
        <v>1387.3000489999999</v>
      </c>
      <c r="Y57" s="91">
        <v>1258.5764160000001</v>
      </c>
      <c r="Z57" s="91">
        <v>9692047</v>
      </c>
      <c r="AA57" s="91">
        <v>-7.1000000000000004E-3</v>
      </c>
      <c r="AB57" s="91"/>
      <c r="AC57" s="90">
        <v>44729</v>
      </c>
      <c r="AD57" s="91">
        <v>1078.0500489999999</v>
      </c>
      <c r="AE57" s="91">
        <v>1043.8000489999999</v>
      </c>
      <c r="AF57" s="91">
        <v>1040.6514890000001</v>
      </c>
      <c r="AG57" s="91">
        <v>753097</v>
      </c>
      <c r="AH57" s="91">
        <v>-3.1800000000000002E-2</v>
      </c>
      <c r="AI57" s="91"/>
      <c r="AJ57" s="91">
        <f>(F57*'Part 3 Portfolio Analysis'!$B$8+M57*'Part 3 Portfolio Analysis'!$C$8+T57*'Part 3 Portfolio Analysis'!$D$8+AA57*'Part 3 Portfolio Analysis'!$E$8+AH57*'Part 3 Portfolio Analysis'!$F$8)/100</f>
        <v>-2.8314473471985498E-3</v>
      </c>
      <c r="AK57" s="91">
        <f>'Part 3 Portfolio Analysis'!$B$107*F57+M57*'Part 3 Portfolio Analysis'!$C$107+T57*'Part 3 Portfolio Analysis'!$D$107+AA57*'Part 3 Portfolio Analysis'!$E$107+AH57*'Part 3 Portfolio Analysis'!$F$107</f>
        <v>-8.0705000000000013E-3</v>
      </c>
      <c r="AL57" s="91">
        <f>F57*'Part 3 Portfolio Analysis'!$B$121+M57*'Part 3 Portfolio Analysis'!$C$121+'Part 3 Portfolio Analysis'!$D$121*T57+AA57*'Part 3 Portfolio Analysis'!$E$121+'Part 3 Portfolio Analysis'!$F$121*AH57</f>
        <v>2.6100799999999999E-3</v>
      </c>
      <c r="AM57" s="91"/>
      <c r="AN57" s="90">
        <v>44729</v>
      </c>
      <c r="AO57" s="91">
        <v>15272.650390000001</v>
      </c>
      <c r="AP57" s="91">
        <v>15293.5</v>
      </c>
      <c r="AQ57" s="91">
        <v>15293.5</v>
      </c>
      <c r="AR57" s="91">
        <v>342600</v>
      </c>
      <c r="AS57" s="91">
        <v>-4.4000000000000003E-3</v>
      </c>
    </row>
    <row r="58" spans="1:45" x14ac:dyDescent="0.55000000000000004">
      <c r="A58" s="90">
        <v>44732</v>
      </c>
      <c r="B58" s="91">
        <v>7810</v>
      </c>
      <c r="C58" s="91">
        <v>7254.8500979999999</v>
      </c>
      <c r="D58" s="91">
        <v>7049.1811520000001</v>
      </c>
      <c r="E58" s="91">
        <v>628149</v>
      </c>
      <c r="F58" s="91">
        <v>-7.1400000000000005E-2</v>
      </c>
      <c r="H58" s="90">
        <v>44732</v>
      </c>
      <c r="I58" s="91">
        <v>1202.2070309999999</v>
      </c>
      <c r="J58" s="91">
        <v>1173.6171879999999</v>
      </c>
      <c r="K58" s="91">
        <v>1157.118408</v>
      </c>
      <c r="L58" s="91">
        <v>12066797</v>
      </c>
      <c r="M58" s="91">
        <v>-1.8100000000000002E-2</v>
      </c>
      <c r="O58" s="90">
        <v>44732</v>
      </c>
      <c r="P58" s="91">
        <v>652.34997559999999</v>
      </c>
      <c r="Q58" s="91">
        <v>661.07501219999995</v>
      </c>
      <c r="R58" s="91">
        <v>636.17590329999996</v>
      </c>
      <c r="S58" s="91">
        <v>15936840</v>
      </c>
      <c r="T58" s="91">
        <v>2.5100000000000001E-2</v>
      </c>
      <c r="V58" s="90">
        <v>44732</v>
      </c>
      <c r="W58" s="91">
        <v>1390.0500489999999</v>
      </c>
      <c r="X58" s="91">
        <v>1414.150024</v>
      </c>
      <c r="Y58" s="91">
        <v>1282.9350589999999</v>
      </c>
      <c r="Z58" s="91">
        <v>4595194</v>
      </c>
      <c r="AA58" s="91">
        <v>1.9400000000000001E-2</v>
      </c>
      <c r="AB58" s="91"/>
      <c r="AC58" s="90">
        <v>44732</v>
      </c>
      <c r="AD58" s="91">
        <v>1043.900024</v>
      </c>
      <c r="AE58" s="91">
        <v>1048.8000489999999</v>
      </c>
      <c r="AF58" s="91">
        <v>1045.6363530000001</v>
      </c>
      <c r="AG58" s="91">
        <v>518858</v>
      </c>
      <c r="AH58" s="91">
        <v>4.7999999999999996E-3</v>
      </c>
      <c r="AI58" s="91"/>
      <c r="AJ58" s="91">
        <f>(F58*'Part 3 Portfolio Analysis'!$B$8+M58*'Part 3 Portfolio Analysis'!$C$8+T58*'Part 3 Portfolio Analysis'!$D$8+AA58*'Part 3 Portfolio Analysis'!$E$8+AH58*'Part 3 Portfolio Analysis'!$F$8)/100</f>
        <v>-2.0624867103460211E-2</v>
      </c>
      <c r="AK58" s="91">
        <f>'Part 3 Portfolio Analysis'!$B$107*F58+M58*'Part 3 Portfolio Analysis'!$C$107+T58*'Part 3 Portfolio Analysis'!$D$107+AA58*'Part 3 Portfolio Analysis'!$E$107+AH58*'Part 3 Portfolio Analysis'!$F$107</f>
        <v>-1.14772E-2</v>
      </c>
      <c r="AL58" s="91">
        <f>F58*'Part 3 Portfolio Analysis'!$B$121+M58*'Part 3 Portfolio Analysis'!$C$121+'Part 3 Portfolio Analysis'!$D$121*T58+AA58*'Part 3 Portfolio Analysis'!$E$121+'Part 3 Portfolio Analysis'!$F$121*AH58</f>
        <v>-2.6308800000000008E-3</v>
      </c>
      <c r="AM58" s="91"/>
      <c r="AN58" s="90">
        <v>44732</v>
      </c>
      <c r="AO58" s="91">
        <v>15334.5</v>
      </c>
      <c r="AP58" s="91">
        <v>15350.150390000001</v>
      </c>
      <c r="AQ58" s="91">
        <v>15350.150390000001</v>
      </c>
      <c r="AR58" s="91">
        <v>260000</v>
      </c>
      <c r="AS58" s="91">
        <v>3.7000000000000002E-3</v>
      </c>
    </row>
    <row r="59" spans="1:45" x14ac:dyDescent="0.55000000000000004">
      <c r="A59" s="90">
        <v>44733</v>
      </c>
      <c r="B59" s="91">
        <v>7301</v>
      </c>
      <c r="C59" s="91">
        <v>7551.6000979999999</v>
      </c>
      <c r="D59" s="91">
        <v>7337.5185549999997</v>
      </c>
      <c r="E59" s="91">
        <v>954372</v>
      </c>
      <c r="F59" s="91">
        <v>4.0899999999999999E-2</v>
      </c>
      <c r="H59" s="90">
        <v>44733</v>
      </c>
      <c r="I59" s="91">
        <v>1181.4395750000001</v>
      </c>
      <c r="J59" s="91">
        <v>1192.561768</v>
      </c>
      <c r="K59" s="91">
        <v>1175.7966309999999</v>
      </c>
      <c r="L59" s="91">
        <v>11720049</v>
      </c>
      <c r="M59" s="91">
        <v>1.61E-2</v>
      </c>
      <c r="O59" s="90">
        <v>44733</v>
      </c>
      <c r="P59" s="91">
        <v>668.45001219999995</v>
      </c>
      <c r="Q59" s="91">
        <v>668.27502440000001</v>
      </c>
      <c r="R59" s="91">
        <v>643.10473630000001</v>
      </c>
      <c r="S59" s="91">
        <v>13220684</v>
      </c>
      <c r="T59" s="91">
        <v>1.09E-2</v>
      </c>
      <c r="V59" s="90">
        <v>44733</v>
      </c>
      <c r="W59" s="91">
        <v>1424</v>
      </c>
      <c r="X59" s="91">
        <v>1449.900024</v>
      </c>
      <c r="Y59" s="91">
        <v>1315.3679199999999</v>
      </c>
      <c r="Z59" s="91">
        <v>6270787</v>
      </c>
      <c r="AA59" s="91">
        <v>2.53E-2</v>
      </c>
      <c r="AB59" s="91"/>
      <c r="AC59" s="90">
        <v>44733</v>
      </c>
      <c r="AD59" s="91">
        <v>1056.099976</v>
      </c>
      <c r="AE59" s="91">
        <v>1050.25</v>
      </c>
      <c r="AF59" s="91">
        <v>1047.0820309999999</v>
      </c>
      <c r="AG59" s="91">
        <v>1352719</v>
      </c>
      <c r="AH59" s="91">
        <v>1.4E-3</v>
      </c>
      <c r="AI59" s="91"/>
      <c r="AJ59" s="91">
        <f>(F59*'Part 3 Portfolio Analysis'!$B$8+M59*'Part 3 Portfolio Analysis'!$C$8+T59*'Part 3 Portfolio Analysis'!$D$8+AA59*'Part 3 Portfolio Analysis'!$E$8+AH59*'Part 3 Portfolio Analysis'!$F$8)/100</f>
        <v>2.4009490927743075E-2</v>
      </c>
      <c r="AK59" s="91">
        <f>'Part 3 Portfolio Analysis'!$B$107*F59+M59*'Part 3 Portfolio Analysis'!$C$107+T59*'Part 3 Portfolio Analysis'!$D$107+AA59*'Part 3 Portfolio Analysis'!$E$107+AH59*'Part 3 Portfolio Analysis'!$F$107</f>
        <v>1.6973600000000002E-2</v>
      </c>
      <c r="AL59" s="91">
        <f>F59*'Part 3 Portfolio Analysis'!$B$121+M59*'Part 3 Portfolio Analysis'!$C$121+'Part 3 Portfolio Analysis'!$D$121*T59+AA59*'Part 3 Portfolio Analysis'!$E$121+'Part 3 Portfolio Analysis'!$F$121*AH59</f>
        <v>1.8179020000000001E-2</v>
      </c>
      <c r="AM59" s="91"/>
      <c r="AN59" s="90">
        <v>44733</v>
      </c>
      <c r="AO59" s="91">
        <v>15455.950199999999</v>
      </c>
      <c r="AP59" s="91">
        <v>15638.799800000001</v>
      </c>
      <c r="AQ59" s="91">
        <v>15638.799800000001</v>
      </c>
      <c r="AR59" s="91">
        <v>262800</v>
      </c>
      <c r="AS59" s="91">
        <v>1.8800000000000001E-2</v>
      </c>
    </row>
    <row r="60" spans="1:45" x14ac:dyDescent="0.55000000000000004">
      <c r="A60" s="90">
        <v>44734</v>
      </c>
      <c r="B60" s="91">
        <v>7550</v>
      </c>
      <c r="C60" s="91">
        <v>7492.2998049999997</v>
      </c>
      <c r="D60" s="91">
        <v>7279.8994140000004</v>
      </c>
      <c r="E60" s="91">
        <v>542906</v>
      </c>
      <c r="F60" s="91">
        <v>-7.9000000000000008E-3</v>
      </c>
      <c r="H60" s="90">
        <v>44734</v>
      </c>
      <c r="I60" s="91">
        <v>1180.5627440000001</v>
      </c>
      <c r="J60" s="91">
        <v>1156.3339840000001</v>
      </c>
      <c r="K60" s="91">
        <v>1140.078125</v>
      </c>
      <c r="L60" s="91">
        <v>10617206</v>
      </c>
      <c r="M60" s="91">
        <v>-3.04E-2</v>
      </c>
      <c r="O60" s="90">
        <v>44734</v>
      </c>
      <c r="P60" s="91">
        <v>666.125</v>
      </c>
      <c r="Q60" s="91">
        <v>665.125</v>
      </c>
      <c r="R60" s="91">
        <v>640.07336429999998</v>
      </c>
      <c r="S60" s="91">
        <v>8159698</v>
      </c>
      <c r="T60" s="91">
        <v>-4.7000000000000002E-3</v>
      </c>
      <c r="V60" s="90">
        <v>44734</v>
      </c>
      <c r="W60" s="91">
        <v>1436.0500489999999</v>
      </c>
      <c r="X60" s="91">
        <v>1437.25</v>
      </c>
      <c r="Y60" s="91">
        <v>1303.891846</v>
      </c>
      <c r="Z60" s="91">
        <v>6253366</v>
      </c>
      <c r="AA60" s="91">
        <v>-8.6999999999999994E-3</v>
      </c>
      <c r="AB60" s="91"/>
      <c r="AC60" s="90">
        <v>44734</v>
      </c>
      <c r="AD60" s="91">
        <v>1050.25</v>
      </c>
      <c r="AE60" s="91">
        <v>1020.799988</v>
      </c>
      <c r="AF60" s="91">
        <v>1017.720825</v>
      </c>
      <c r="AG60" s="91">
        <v>673346</v>
      </c>
      <c r="AH60" s="91">
        <v>-2.8000000000000001E-2</v>
      </c>
      <c r="AI60" s="91"/>
      <c r="AJ60" s="91">
        <f>(F60*'Part 3 Portfolio Analysis'!$B$8+M60*'Part 3 Portfolio Analysis'!$C$8+T60*'Part 3 Portfolio Analysis'!$D$8+AA60*'Part 3 Portfolio Analysis'!$E$8+AH60*'Part 3 Portfolio Analysis'!$F$8)/100</f>
        <v>-1.5847198499848156E-2</v>
      </c>
      <c r="AK60" s="91">
        <f>'Part 3 Portfolio Analysis'!$B$107*F60+M60*'Part 3 Portfolio Analysis'!$C$107+T60*'Part 3 Portfolio Analysis'!$D$107+AA60*'Part 3 Portfolio Analysis'!$E$107+AH60*'Part 3 Portfolio Analysis'!$F$107</f>
        <v>-1.9591699999999997E-2</v>
      </c>
      <c r="AL60" s="91">
        <f>F60*'Part 3 Portfolio Analysis'!$B$121+M60*'Part 3 Portfolio Analysis'!$C$121+'Part 3 Portfolio Analysis'!$D$121*T60+AA60*'Part 3 Portfolio Analysis'!$E$121+'Part 3 Portfolio Analysis'!$F$121*AH60</f>
        <v>-1.7157220000000001E-2</v>
      </c>
      <c r="AM60" s="91"/>
      <c r="AN60" s="90">
        <v>44734</v>
      </c>
      <c r="AO60" s="91">
        <v>15545.650390000001</v>
      </c>
      <c r="AP60" s="91">
        <v>15413.299800000001</v>
      </c>
      <c r="AQ60" s="91">
        <v>15413.299800000001</v>
      </c>
      <c r="AR60" s="91">
        <v>220900</v>
      </c>
      <c r="AS60" s="91">
        <v>-1.44E-2</v>
      </c>
    </row>
    <row r="61" spans="1:45" x14ac:dyDescent="0.55000000000000004">
      <c r="A61" s="90">
        <v>44735</v>
      </c>
      <c r="B61" s="91">
        <v>7500</v>
      </c>
      <c r="C61" s="91">
        <v>7788.0498049999997</v>
      </c>
      <c r="D61" s="91">
        <v>7567.265625</v>
      </c>
      <c r="E61" s="91">
        <v>562596</v>
      </c>
      <c r="F61" s="91">
        <v>3.95E-2</v>
      </c>
      <c r="H61" s="90">
        <v>44735</v>
      </c>
      <c r="I61" s="91">
        <v>1160.6951899999999</v>
      </c>
      <c r="J61" s="91">
        <v>1137.573975</v>
      </c>
      <c r="K61" s="91">
        <v>1121.5817870000001</v>
      </c>
      <c r="L61" s="91">
        <v>19446323</v>
      </c>
      <c r="M61" s="91">
        <v>-1.6199999999999999E-2</v>
      </c>
      <c r="O61" s="90">
        <v>44735</v>
      </c>
      <c r="P61" s="91">
        <v>665.25</v>
      </c>
      <c r="Q61" s="91">
        <v>667.57501219999995</v>
      </c>
      <c r="R61" s="91">
        <v>642.43115230000001</v>
      </c>
      <c r="S61" s="91">
        <v>15372244</v>
      </c>
      <c r="T61" s="91">
        <v>3.7000000000000002E-3</v>
      </c>
      <c r="V61" s="90">
        <v>44735</v>
      </c>
      <c r="W61" s="91">
        <v>1439.8000489999999</v>
      </c>
      <c r="X61" s="91">
        <v>1452.4499510000001</v>
      </c>
      <c r="Y61" s="91">
        <v>1317.6811520000001</v>
      </c>
      <c r="Z61" s="91">
        <v>6254281</v>
      </c>
      <c r="AA61" s="91">
        <v>1.06E-2</v>
      </c>
      <c r="AB61" s="91"/>
      <c r="AC61" s="90">
        <v>44735</v>
      </c>
      <c r="AD61" s="91">
        <v>1023.5</v>
      </c>
      <c r="AE61" s="91">
        <v>1029.75</v>
      </c>
      <c r="AF61" s="91">
        <v>1026.6437989999999</v>
      </c>
      <c r="AG61" s="91">
        <v>486409</v>
      </c>
      <c r="AH61" s="91">
        <v>8.8000000000000005E-3</v>
      </c>
      <c r="AI61" s="91"/>
      <c r="AJ61" s="91">
        <f>(F61*'Part 3 Portfolio Analysis'!$B$8+M61*'Part 3 Portfolio Analysis'!$C$8+T61*'Part 3 Portfolio Analysis'!$D$8+AA61*'Part 3 Portfolio Analysis'!$E$8+AH61*'Part 3 Portfolio Analysis'!$F$8)/100</f>
        <v>8.3869323318759032E-3</v>
      </c>
      <c r="AK61" s="91">
        <f>'Part 3 Portfolio Analysis'!$B$107*F61+M61*'Part 3 Portfolio Analysis'!$C$107+T61*'Part 3 Portfolio Analysis'!$D$107+AA61*'Part 3 Portfolio Analysis'!$E$107+AH61*'Part 3 Portfolio Analysis'!$F$107</f>
        <v>5.8905000000000008E-3</v>
      </c>
      <c r="AL61" s="91">
        <f>F61*'Part 3 Portfolio Analysis'!$B$121+M61*'Part 3 Portfolio Analysis'!$C$121+'Part 3 Portfolio Analysis'!$D$121*T61+AA61*'Part 3 Portfolio Analysis'!$E$121+'Part 3 Portfolio Analysis'!$F$121*AH61</f>
        <v>-1.9365999999999944E-4</v>
      </c>
      <c r="AM61" s="91"/>
      <c r="AN61" s="90">
        <v>44735</v>
      </c>
      <c r="AO61" s="91">
        <v>15451.549800000001</v>
      </c>
      <c r="AP61" s="91">
        <v>15556.650390000001</v>
      </c>
      <c r="AQ61" s="91">
        <v>15556.650390000001</v>
      </c>
      <c r="AR61" s="91">
        <v>259200</v>
      </c>
      <c r="AS61" s="91">
        <v>9.2999999999999992E-3</v>
      </c>
    </row>
    <row r="62" spans="1:45" x14ac:dyDescent="0.55000000000000004">
      <c r="A62" s="90">
        <v>44736</v>
      </c>
      <c r="B62" s="91">
        <v>7900</v>
      </c>
      <c r="C62" s="91">
        <v>7794.3500979999999</v>
      </c>
      <c r="D62" s="91">
        <v>7573.3867190000001</v>
      </c>
      <c r="E62" s="91">
        <v>396405</v>
      </c>
      <c r="F62" s="91">
        <v>8.0000000000000004E-4</v>
      </c>
      <c r="H62" s="90">
        <v>44736</v>
      </c>
      <c r="I62" s="91">
        <v>1144.5196530000001</v>
      </c>
      <c r="J62" s="91">
        <v>1153.7727050000001</v>
      </c>
      <c r="K62" s="91">
        <v>1137.552856</v>
      </c>
      <c r="L62" s="91">
        <v>14240234</v>
      </c>
      <c r="M62" s="91">
        <v>1.4200000000000001E-2</v>
      </c>
      <c r="O62" s="90">
        <v>44736</v>
      </c>
      <c r="P62" s="91">
        <v>669.27502440000001</v>
      </c>
      <c r="Q62" s="91">
        <v>676.90002440000001</v>
      </c>
      <c r="R62" s="91">
        <v>651.40496829999995</v>
      </c>
      <c r="S62" s="91">
        <v>8013432</v>
      </c>
      <c r="T62" s="91">
        <v>1.4E-2</v>
      </c>
      <c r="V62" s="90">
        <v>44736</v>
      </c>
      <c r="W62" s="91">
        <v>1458</v>
      </c>
      <c r="X62" s="91">
        <v>1441.099976</v>
      </c>
      <c r="Y62" s="91">
        <v>1307.384399</v>
      </c>
      <c r="Z62" s="91">
        <v>6114340</v>
      </c>
      <c r="AA62" s="91">
        <v>-7.7999999999999996E-3</v>
      </c>
      <c r="AB62" s="91"/>
      <c r="AC62" s="90">
        <v>44736</v>
      </c>
      <c r="AD62" s="91">
        <v>1040</v>
      </c>
      <c r="AE62" s="91">
        <v>1058.6999510000001</v>
      </c>
      <c r="AF62" s="91">
        <v>1055.5063479999999</v>
      </c>
      <c r="AG62" s="91">
        <v>462900</v>
      </c>
      <c r="AH62" s="91">
        <v>2.81E-2</v>
      </c>
      <c r="AI62" s="91"/>
      <c r="AJ62" s="91">
        <f>(F62*'Part 3 Portfolio Analysis'!$B$8+M62*'Part 3 Portfolio Analysis'!$C$8+T62*'Part 3 Portfolio Analysis'!$D$8+AA62*'Part 3 Portfolio Analysis'!$E$8+AH62*'Part 3 Portfolio Analysis'!$F$8)/100</f>
        <v>6.74195191783748E-3</v>
      </c>
      <c r="AK62" s="91">
        <f>'Part 3 Portfolio Analysis'!$B$107*F62+M62*'Part 3 Portfolio Analysis'!$C$107+T62*'Part 3 Portfolio Analysis'!$D$107+AA62*'Part 3 Portfolio Analysis'!$E$107+AH62*'Part 3 Portfolio Analysis'!$F$107</f>
        <v>1.30598E-2</v>
      </c>
      <c r="AL62" s="91">
        <f>F62*'Part 3 Portfolio Analysis'!$B$121+M62*'Part 3 Portfolio Analysis'!$C$121+'Part 3 Portfolio Analysis'!$D$121*T62+AA62*'Part 3 Portfolio Analysis'!$E$121+'Part 3 Portfolio Analysis'!$F$121*AH62</f>
        <v>9.0082999999999986E-3</v>
      </c>
      <c r="AM62" s="91"/>
      <c r="AN62" s="90">
        <v>44736</v>
      </c>
      <c r="AO62" s="91">
        <v>15657.400390000001</v>
      </c>
      <c r="AP62" s="91">
        <v>15699.25</v>
      </c>
      <c r="AQ62" s="91">
        <v>15699.25</v>
      </c>
      <c r="AR62" s="91">
        <v>219600</v>
      </c>
      <c r="AS62" s="91">
        <v>9.1999999999999998E-3</v>
      </c>
    </row>
    <row r="63" spans="1:45" x14ac:dyDescent="0.55000000000000004">
      <c r="A63" s="90">
        <v>44739</v>
      </c>
      <c r="B63" s="91">
        <v>7940</v>
      </c>
      <c r="C63" s="91">
        <v>7991.6000979999999</v>
      </c>
      <c r="D63" s="91">
        <v>7765.044922</v>
      </c>
      <c r="E63" s="91">
        <v>403762</v>
      </c>
      <c r="F63" s="91">
        <v>2.53E-2</v>
      </c>
      <c r="H63" s="90">
        <v>44739</v>
      </c>
      <c r="I63" s="91">
        <v>1174.494019</v>
      </c>
      <c r="J63" s="91">
        <v>1150.357544</v>
      </c>
      <c r="K63" s="91">
        <v>1134.185669</v>
      </c>
      <c r="L63" s="91">
        <v>15474529</v>
      </c>
      <c r="M63" s="91">
        <v>-3.0000000000000001E-3</v>
      </c>
      <c r="O63" s="90">
        <v>44739</v>
      </c>
      <c r="P63" s="91">
        <v>685</v>
      </c>
      <c r="Q63" s="91">
        <v>678.125</v>
      </c>
      <c r="R63" s="91">
        <v>652.5838013</v>
      </c>
      <c r="S63" s="91">
        <v>9804164</v>
      </c>
      <c r="T63" s="91">
        <v>1.8E-3</v>
      </c>
      <c r="V63" s="90">
        <v>44739</v>
      </c>
      <c r="W63" s="91">
        <v>1468.0500489999999</v>
      </c>
      <c r="X63" s="91">
        <v>1474.599976</v>
      </c>
      <c r="Y63" s="91">
        <v>1337.776001</v>
      </c>
      <c r="Z63" s="91">
        <v>4511097</v>
      </c>
      <c r="AA63" s="91">
        <v>2.3199999999999998E-2</v>
      </c>
      <c r="AB63" s="91"/>
      <c r="AC63" s="90">
        <v>44739</v>
      </c>
      <c r="AD63" s="91">
        <v>1080.900024</v>
      </c>
      <c r="AE63" s="91">
        <v>1049.099976</v>
      </c>
      <c r="AF63" s="91">
        <v>1045.9354249999999</v>
      </c>
      <c r="AG63" s="91">
        <v>344510</v>
      </c>
      <c r="AH63" s="91">
        <v>-9.1000000000000004E-3</v>
      </c>
      <c r="AI63" s="91"/>
      <c r="AJ63" s="91">
        <f>(F63*'Part 3 Portfolio Analysis'!$B$8+M63*'Part 3 Portfolio Analysis'!$C$8+T63*'Part 3 Portfolio Analysis'!$D$8+AA63*'Part 3 Portfolio Analysis'!$E$8+AH63*'Part 3 Portfolio Analysis'!$F$8)/100</f>
        <v>1.0447541552782127E-2</v>
      </c>
      <c r="AK63" s="91">
        <f>'Part 3 Portfolio Analysis'!$B$107*F63+M63*'Part 3 Portfolio Analysis'!$C$107+T63*'Part 3 Portfolio Analysis'!$D$107+AA63*'Part 3 Portfolio Analysis'!$E$107+AH63*'Part 3 Portfolio Analysis'!$F$107</f>
        <v>3.9208000000000003E-3</v>
      </c>
      <c r="AL63" s="91">
        <f>F63*'Part 3 Portfolio Analysis'!$B$121+M63*'Part 3 Portfolio Analysis'!$C$121+'Part 3 Portfolio Analysis'!$D$121*T63+AA63*'Part 3 Portfolio Analysis'!$E$121+'Part 3 Portfolio Analysis'!$F$121*AH63</f>
        <v>5.7120399999999998E-3</v>
      </c>
      <c r="AM63" s="91"/>
      <c r="AN63" s="90">
        <v>44739</v>
      </c>
      <c r="AO63" s="91">
        <v>15926.200199999999</v>
      </c>
      <c r="AP63" s="91">
        <v>15832.049800000001</v>
      </c>
      <c r="AQ63" s="91">
        <v>15832.049800000001</v>
      </c>
      <c r="AR63" s="91">
        <v>210900</v>
      </c>
      <c r="AS63" s="91">
        <v>8.5000000000000006E-3</v>
      </c>
    </row>
    <row r="64" spans="1:45" x14ac:dyDescent="0.55000000000000004">
      <c r="A64" s="90">
        <v>44740</v>
      </c>
      <c r="B64" s="91">
        <v>7958</v>
      </c>
      <c r="C64" s="91">
        <v>8036.7001950000003</v>
      </c>
      <c r="D64" s="91">
        <v>7808.8666990000002</v>
      </c>
      <c r="E64" s="91">
        <v>273264</v>
      </c>
      <c r="F64" s="91">
        <v>5.5999999999999999E-3</v>
      </c>
      <c r="H64" s="90">
        <v>44740</v>
      </c>
      <c r="I64" s="91">
        <v>1145.4887699999999</v>
      </c>
      <c r="J64" s="91">
        <v>1166.533081</v>
      </c>
      <c r="K64" s="91">
        <v>1150.133789</v>
      </c>
      <c r="L64" s="91">
        <v>13572847</v>
      </c>
      <c r="M64" s="91">
        <v>1.41E-2</v>
      </c>
      <c r="O64" s="90">
        <v>44740</v>
      </c>
      <c r="P64" s="91">
        <v>672</v>
      </c>
      <c r="Q64" s="91">
        <v>672.95001219999995</v>
      </c>
      <c r="R64" s="91">
        <v>647.6036987</v>
      </c>
      <c r="S64" s="91">
        <v>9770574</v>
      </c>
      <c r="T64" s="91">
        <v>-7.6E-3</v>
      </c>
      <c r="V64" s="90">
        <v>44740</v>
      </c>
      <c r="W64" s="91">
        <v>1469</v>
      </c>
      <c r="X64" s="91">
        <v>1480.150024</v>
      </c>
      <c r="Y64" s="91">
        <v>1342.8111570000001</v>
      </c>
      <c r="Z64" s="91">
        <v>4412178</v>
      </c>
      <c r="AA64" s="91">
        <v>3.8E-3</v>
      </c>
      <c r="AB64" s="91"/>
      <c r="AC64" s="90">
        <v>44740</v>
      </c>
      <c r="AD64" s="91">
        <v>1050</v>
      </c>
      <c r="AE64" s="91">
        <v>1068.25</v>
      </c>
      <c r="AF64" s="91">
        <v>1065.0277100000001</v>
      </c>
      <c r="AG64" s="91">
        <v>442089</v>
      </c>
      <c r="AH64" s="91">
        <v>1.83E-2</v>
      </c>
      <c r="AI64" s="91"/>
      <c r="AJ64" s="91">
        <f>(F64*'Part 3 Portfolio Analysis'!$B$8+M64*'Part 3 Portfolio Analysis'!$C$8+T64*'Part 3 Portfolio Analysis'!$D$8+AA64*'Part 3 Portfolio Analysis'!$E$8+AH64*'Part 3 Portfolio Analysis'!$F$8)/100</f>
        <v>6.3135977372758088E-3</v>
      </c>
      <c r="AK64" s="91">
        <f>'Part 3 Portfolio Analysis'!$B$107*F64+M64*'Part 3 Portfolio Analysis'!$C$107+T64*'Part 3 Portfolio Analysis'!$D$107+AA64*'Part 3 Portfolio Analysis'!$E$107+AH64*'Part 3 Portfolio Analysis'!$F$107</f>
        <v>9.2349000000000007E-3</v>
      </c>
      <c r="AL64" s="91">
        <f>F64*'Part 3 Portfolio Analysis'!$B$121+M64*'Part 3 Portfolio Analysis'!$C$121+'Part 3 Portfolio Analysis'!$D$121*T64+AA64*'Part 3 Portfolio Analysis'!$E$121+'Part 3 Portfolio Analysis'!$F$121*AH64</f>
        <v>5.5489400000000005E-3</v>
      </c>
      <c r="AM64" s="91"/>
      <c r="AN64" s="90">
        <v>44740</v>
      </c>
      <c r="AO64" s="91">
        <v>15757.450199999999</v>
      </c>
      <c r="AP64" s="91">
        <v>15850.200199999999</v>
      </c>
      <c r="AQ64" s="91">
        <v>15850.200199999999</v>
      </c>
      <c r="AR64" s="91">
        <v>251900</v>
      </c>
      <c r="AS64" s="91">
        <v>1.1000000000000001E-3</v>
      </c>
    </row>
    <row r="65" spans="1:45" x14ac:dyDescent="0.55000000000000004">
      <c r="A65" s="90">
        <v>44741</v>
      </c>
      <c r="B65" s="91">
        <v>8000</v>
      </c>
      <c r="C65" s="91">
        <v>8186.3500979999999</v>
      </c>
      <c r="D65" s="91">
        <v>7954.2739259999998</v>
      </c>
      <c r="E65" s="91">
        <v>435851</v>
      </c>
      <c r="F65" s="91">
        <v>1.8599999999999998E-2</v>
      </c>
      <c r="H65" s="90">
        <v>44741</v>
      </c>
      <c r="I65" s="91">
        <v>1157.072388</v>
      </c>
      <c r="J65" s="91">
        <v>1190.7387699999999</v>
      </c>
      <c r="K65" s="91">
        <v>1173.999268</v>
      </c>
      <c r="L65" s="91">
        <v>19205146</v>
      </c>
      <c r="M65" s="91">
        <v>2.0799999999999999E-2</v>
      </c>
      <c r="O65" s="90">
        <v>44741</v>
      </c>
      <c r="P65" s="91">
        <v>665.625</v>
      </c>
      <c r="Q65" s="91">
        <v>671.97497559999999</v>
      </c>
      <c r="R65" s="91">
        <v>646.66540529999997</v>
      </c>
      <c r="S65" s="91">
        <v>9994046</v>
      </c>
      <c r="T65" s="91">
        <v>-1.4E-3</v>
      </c>
      <c r="V65" s="90">
        <v>44741</v>
      </c>
      <c r="W65" s="91">
        <v>1464.6999510000001</v>
      </c>
      <c r="X65" s="91">
        <v>1463.25</v>
      </c>
      <c r="Y65" s="91">
        <v>1327.479126</v>
      </c>
      <c r="Z65" s="91">
        <v>5060038</v>
      </c>
      <c r="AA65" s="91">
        <v>-1.14E-2</v>
      </c>
      <c r="AB65" s="91"/>
      <c r="AC65" s="90">
        <v>44741</v>
      </c>
      <c r="AD65" s="91">
        <v>1059.599976</v>
      </c>
      <c r="AE65" s="91">
        <v>1109.25</v>
      </c>
      <c r="AF65" s="91">
        <v>1105.9039310000001</v>
      </c>
      <c r="AG65" s="91">
        <v>1397225</v>
      </c>
      <c r="AH65" s="91">
        <v>3.8399999999999997E-2</v>
      </c>
      <c r="AI65" s="91"/>
      <c r="AJ65" s="91">
        <f>(F65*'Part 3 Portfolio Analysis'!$B$8+M65*'Part 3 Portfolio Analysis'!$C$8+T65*'Part 3 Portfolio Analysis'!$D$8+AA65*'Part 3 Portfolio Analysis'!$E$8+AH65*'Part 3 Portfolio Analysis'!$F$8)/100</f>
        <v>1.142671240357049E-2</v>
      </c>
      <c r="AK65" s="91">
        <f>'Part 3 Portfolio Analysis'!$B$107*F65+M65*'Part 3 Portfolio Analysis'!$C$107+T65*'Part 3 Portfolio Analysis'!$D$107+AA65*'Part 3 Portfolio Analysis'!$E$107+AH65*'Part 3 Portfolio Analysis'!$F$107</f>
        <v>1.8178199999999999E-2</v>
      </c>
      <c r="AL65" s="91">
        <f>F65*'Part 3 Portfolio Analysis'!$B$121+M65*'Part 3 Portfolio Analysis'!$C$121+'Part 3 Portfolio Analysis'!$D$121*T65+AA65*'Part 3 Portfolio Analysis'!$E$121+'Part 3 Portfolio Analysis'!$F$121*AH65</f>
        <v>8.6018799999999975E-3</v>
      </c>
      <c r="AM65" s="91"/>
      <c r="AN65" s="90">
        <v>44741</v>
      </c>
      <c r="AO65" s="91">
        <v>15701.700199999999</v>
      </c>
      <c r="AP65" s="91">
        <v>15799.099609999999</v>
      </c>
      <c r="AQ65" s="91">
        <v>15799.099609999999</v>
      </c>
      <c r="AR65" s="91">
        <v>444900</v>
      </c>
      <c r="AS65" s="91">
        <v>-3.2000000000000002E-3</v>
      </c>
    </row>
    <row r="66" spans="1:45" x14ac:dyDescent="0.55000000000000004">
      <c r="A66" s="90">
        <v>44742</v>
      </c>
      <c r="B66" s="91">
        <v>8225</v>
      </c>
      <c r="C66" s="91">
        <v>8170.5498049999997</v>
      </c>
      <c r="D66" s="91">
        <v>7938.921875</v>
      </c>
      <c r="E66" s="91">
        <v>279462</v>
      </c>
      <c r="F66" s="91">
        <v>-1.9E-3</v>
      </c>
      <c r="H66" s="90">
        <v>44742</v>
      </c>
      <c r="I66" s="91">
        <v>1190.6695560000001</v>
      </c>
      <c r="J66" s="91">
        <v>1197.8920900000001</v>
      </c>
      <c r="K66" s="91">
        <v>1181.052124</v>
      </c>
      <c r="L66" s="91">
        <v>23112959</v>
      </c>
      <c r="M66" s="91">
        <v>6.0000000000000001E-3</v>
      </c>
      <c r="O66" s="90">
        <v>44742</v>
      </c>
      <c r="P66" s="91">
        <v>668</v>
      </c>
      <c r="Q66" s="91">
        <v>674</v>
      </c>
      <c r="R66" s="91">
        <v>648.61419679999995</v>
      </c>
      <c r="S66" s="91">
        <v>12475822</v>
      </c>
      <c r="T66" s="91">
        <v>3.0000000000000001E-3</v>
      </c>
      <c r="V66" s="90">
        <v>44742</v>
      </c>
      <c r="W66" s="91">
        <v>1465.0500489999999</v>
      </c>
      <c r="X66" s="91">
        <v>1461.900024</v>
      </c>
      <c r="Y66" s="91">
        <v>1326.2545170000001</v>
      </c>
      <c r="Z66" s="91">
        <v>9165177</v>
      </c>
      <c r="AA66" s="91">
        <v>-8.9999999999999998E-4</v>
      </c>
      <c r="AB66" s="91"/>
      <c r="AC66" s="90">
        <v>44742</v>
      </c>
      <c r="AD66" s="91">
        <v>1101</v>
      </c>
      <c r="AE66" s="91">
        <v>1074.150024</v>
      </c>
      <c r="AF66" s="91">
        <v>1070.9099120000001</v>
      </c>
      <c r="AG66" s="91">
        <v>529542</v>
      </c>
      <c r="AH66" s="91">
        <v>-3.1600000000000003E-2</v>
      </c>
      <c r="AI66" s="91"/>
      <c r="AJ66" s="91">
        <f>(F66*'Part 3 Portfolio Analysis'!$B$8+M66*'Part 3 Portfolio Analysis'!$C$8+T66*'Part 3 Portfolio Analysis'!$D$8+AA66*'Part 3 Portfolio Analysis'!$E$8+AH66*'Part 3 Portfolio Analysis'!$F$8)/100</f>
        <v>1.6516330265897699E-3</v>
      </c>
      <c r="AK66" s="91">
        <f>'Part 3 Portfolio Analysis'!$B$107*F66+M66*'Part 3 Portfolio Analysis'!$C$107+T66*'Part 3 Portfolio Analysis'!$D$107+AA66*'Part 3 Portfolio Analysis'!$E$107+AH66*'Part 3 Portfolio Analysis'!$F$107</f>
        <v>-6.0521999999999998E-3</v>
      </c>
      <c r="AL66" s="91">
        <f>F66*'Part 3 Portfolio Analysis'!$B$121+M66*'Part 3 Portfolio Analysis'!$C$121+'Part 3 Portfolio Analysis'!$D$121*T66+AA66*'Part 3 Portfolio Analysis'!$E$121+'Part 3 Portfolio Analysis'!$F$121*AH66</f>
        <v>2.1695E-3</v>
      </c>
      <c r="AM66" s="91"/>
      <c r="AN66" s="90">
        <v>44742</v>
      </c>
      <c r="AO66" s="91">
        <v>15774.5</v>
      </c>
      <c r="AP66" s="91">
        <v>15780.25</v>
      </c>
      <c r="AQ66" s="91">
        <v>15780.25</v>
      </c>
      <c r="AR66" s="91">
        <v>306000</v>
      </c>
      <c r="AS66" s="91">
        <v>-1.1999999999999999E-3</v>
      </c>
    </row>
    <row r="67" spans="1:45" x14ac:dyDescent="0.55000000000000004">
      <c r="A67" s="90">
        <v>44743</v>
      </c>
      <c r="B67" s="91">
        <v>8170.5498049999997</v>
      </c>
      <c r="C67" s="91">
        <v>8152.0498049999997</v>
      </c>
      <c r="D67" s="91">
        <v>7920.9462890000004</v>
      </c>
      <c r="E67" s="91">
        <v>270194</v>
      </c>
      <c r="F67" s="91">
        <v>-2.3E-3</v>
      </c>
      <c r="H67" s="90">
        <v>44743</v>
      </c>
      <c r="I67" s="91">
        <v>1188.315918</v>
      </c>
      <c r="J67" s="91">
        <v>1111.614624</v>
      </c>
      <c r="K67" s="91">
        <v>1095.987427</v>
      </c>
      <c r="L67" s="91">
        <v>81997149</v>
      </c>
      <c r="M67" s="91">
        <v>-7.1999999999999995E-2</v>
      </c>
      <c r="O67" s="90">
        <v>44743</v>
      </c>
      <c r="P67" s="91">
        <v>671.97497559999999</v>
      </c>
      <c r="Q67" s="91">
        <v>676.875</v>
      </c>
      <c r="R67" s="91">
        <v>651.38085939999996</v>
      </c>
      <c r="S67" s="91">
        <v>11472452</v>
      </c>
      <c r="T67" s="91">
        <v>4.3E-3</v>
      </c>
      <c r="V67" s="90">
        <v>44743</v>
      </c>
      <c r="W67" s="91">
        <v>1454</v>
      </c>
      <c r="X67" s="91">
        <v>1479.400024</v>
      </c>
      <c r="Y67" s="91">
        <v>1342.130737</v>
      </c>
      <c r="Z67" s="91">
        <v>4651635</v>
      </c>
      <c r="AA67" s="91">
        <v>1.2E-2</v>
      </c>
      <c r="AB67" s="91"/>
      <c r="AC67" s="90">
        <v>44743</v>
      </c>
      <c r="AD67" s="91">
        <v>1074.150024</v>
      </c>
      <c r="AE67" s="91">
        <v>1073.5500489999999</v>
      </c>
      <c r="AF67" s="91">
        <v>1070.311768</v>
      </c>
      <c r="AG67" s="91">
        <v>555368</v>
      </c>
      <c r="AH67" s="91">
        <v>-5.9999999999999995E-4</v>
      </c>
      <c r="AI67" s="91"/>
      <c r="AJ67" s="91">
        <f>(F67*'Part 3 Portfolio Analysis'!$B$8+M67*'Part 3 Portfolio Analysis'!$C$8+T67*'Part 3 Portfolio Analysis'!$D$8+AA67*'Part 3 Portfolio Analysis'!$E$8+AH67*'Part 3 Portfolio Analysis'!$F$8)/100</f>
        <v>-2.4145936274061051E-2</v>
      </c>
      <c r="AK67" s="91">
        <f>'Part 3 Portfolio Analysis'!$B$107*F67+M67*'Part 3 Portfolio Analysis'!$C$107+T67*'Part 3 Portfolio Analysis'!$D$107+AA67*'Part 3 Portfolio Analysis'!$E$107+AH67*'Part 3 Portfolio Analysis'!$F$107</f>
        <v>-2.1234699999999999E-2</v>
      </c>
      <c r="AL67" s="91">
        <f>F67*'Part 3 Portfolio Analysis'!$B$121+M67*'Part 3 Portfolio Analysis'!$C$121+'Part 3 Portfolio Analysis'!$D$121*T67+AA67*'Part 3 Portfolio Analysis'!$E$121+'Part 3 Portfolio Analysis'!$F$121*AH67</f>
        <v>-2.684638E-2</v>
      </c>
      <c r="AM67" s="91"/>
      <c r="AN67" s="90">
        <v>44743</v>
      </c>
      <c r="AO67" s="91">
        <v>15703.700199999999</v>
      </c>
      <c r="AP67" s="91">
        <v>15752.049800000001</v>
      </c>
      <c r="AQ67" s="91">
        <v>15752.049800000001</v>
      </c>
      <c r="AR67" s="91">
        <v>364100</v>
      </c>
      <c r="AS67" s="91">
        <v>-1.8E-3</v>
      </c>
    </row>
    <row r="68" spans="1:45" x14ac:dyDescent="0.55000000000000004">
      <c r="A68" s="90">
        <v>44746</v>
      </c>
      <c r="B68" s="91">
        <v>8205</v>
      </c>
      <c r="C68" s="91">
        <v>8081.3999020000001</v>
      </c>
      <c r="D68" s="91">
        <v>7852.2993159999996</v>
      </c>
      <c r="E68" s="91">
        <v>155702</v>
      </c>
      <c r="F68" s="91">
        <v>-8.6999999999999994E-3</v>
      </c>
      <c r="H68" s="90">
        <v>44746</v>
      </c>
      <c r="I68" s="91">
        <v>1097.88501</v>
      </c>
      <c r="J68" s="91">
        <v>1113.9221190000001</v>
      </c>
      <c r="K68" s="91">
        <v>1098.2623289999999</v>
      </c>
      <c r="L68" s="91">
        <v>41857728</v>
      </c>
      <c r="M68" s="91">
        <v>2.0999999999999999E-3</v>
      </c>
      <c r="O68" s="90">
        <v>44746</v>
      </c>
      <c r="P68" s="91">
        <v>676.84997559999999</v>
      </c>
      <c r="Q68" s="91">
        <v>677.82501219999995</v>
      </c>
      <c r="R68" s="91">
        <v>652.29510500000004</v>
      </c>
      <c r="S68" s="91">
        <v>8487480</v>
      </c>
      <c r="T68" s="91">
        <v>1.4E-3</v>
      </c>
      <c r="V68" s="90">
        <v>44746</v>
      </c>
      <c r="W68" s="91">
        <v>1480.25</v>
      </c>
      <c r="X68" s="91">
        <v>1488</v>
      </c>
      <c r="Y68" s="91">
        <v>1349.9326169999999</v>
      </c>
      <c r="Z68" s="91">
        <v>4800224</v>
      </c>
      <c r="AA68" s="91">
        <v>5.7999999999999996E-3</v>
      </c>
      <c r="AB68" s="91"/>
      <c r="AC68" s="90">
        <v>44746</v>
      </c>
      <c r="AD68" s="91">
        <v>1073.5500489999999</v>
      </c>
      <c r="AE68" s="91">
        <v>1118.1999510000001</v>
      </c>
      <c r="AF68" s="91">
        <v>1114.8270259999999</v>
      </c>
      <c r="AG68" s="91">
        <v>736578</v>
      </c>
      <c r="AH68" s="91">
        <v>4.1599999999999998E-2</v>
      </c>
      <c r="AI68" s="91"/>
      <c r="AJ68" s="91">
        <f>(F68*'Part 3 Portfolio Analysis'!$B$8+M68*'Part 3 Portfolio Analysis'!$C$8+T68*'Part 3 Portfolio Analysis'!$D$8+AA68*'Part 3 Portfolio Analysis'!$E$8+AH68*'Part 3 Portfolio Analysis'!$F$8)/100</f>
        <v>-2.7525760792331303E-4</v>
      </c>
      <c r="AK68" s="91">
        <f>'Part 3 Portfolio Analysis'!$B$107*F68+M68*'Part 3 Portfolio Analysis'!$C$107+T68*'Part 3 Portfolio Analysis'!$D$107+AA68*'Part 3 Portfolio Analysis'!$E$107+AH68*'Part 3 Portfolio Analysis'!$F$107</f>
        <v>1.0371500000000001E-2</v>
      </c>
      <c r="AL68" s="91">
        <f>F68*'Part 3 Portfolio Analysis'!$B$121+M68*'Part 3 Portfolio Analysis'!$C$121+'Part 3 Portfolio Analysis'!$D$121*T68+AA68*'Part 3 Portfolio Analysis'!$E$121+'Part 3 Portfolio Analysis'!$F$121*AH68</f>
        <v>2.7967399999999998E-3</v>
      </c>
      <c r="AM68" s="91"/>
      <c r="AN68" s="90">
        <v>44746</v>
      </c>
      <c r="AO68" s="91">
        <v>15710.5</v>
      </c>
      <c r="AP68" s="91">
        <v>15835.349609999999</v>
      </c>
      <c r="AQ68" s="91">
        <v>15835.349609999999</v>
      </c>
      <c r="AR68" s="91">
        <v>304300</v>
      </c>
      <c r="AS68" s="91">
        <v>5.3E-3</v>
      </c>
    </row>
    <row r="69" spans="1:45" x14ac:dyDescent="0.55000000000000004">
      <c r="A69" s="90">
        <v>44747</v>
      </c>
      <c r="B69" s="91">
        <v>8124</v>
      </c>
      <c r="C69" s="91">
        <v>8003.2001950000003</v>
      </c>
      <c r="D69" s="91">
        <v>7776.3164059999999</v>
      </c>
      <c r="E69" s="91">
        <v>165819</v>
      </c>
      <c r="F69" s="91">
        <v>-9.7000000000000003E-3</v>
      </c>
      <c r="H69" s="90">
        <v>44747</v>
      </c>
      <c r="I69" s="91">
        <v>1118.214111</v>
      </c>
      <c r="J69" s="91">
        <v>1122.9444579999999</v>
      </c>
      <c r="K69" s="91">
        <v>1107.1579589999999</v>
      </c>
      <c r="L69" s="91">
        <v>17647327</v>
      </c>
      <c r="M69" s="91">
        <v>8.0999999999999996E-3</v>
      </c>
      <c r="O69" s="90">
        <v>44747</v>
      </c>
      <c r="P69" s="91">
        <v>682</v>
      </c>
      <c r="Q69" s="91">
        <v>676.29998780000005</v>
      </c>
      <c r="R69" s="91">
        <v>650.82751459999997</v>
      </c>
      <c r="S69" s="91">
        <v>14325718</v>
      </c>
      <c r="T69" s="91">
        <v>-2.2000000000000001E-3</v>
      </c>
      <c r="V69" s="90">
        <v>44747</v>
      </c>
      <c r="W69" s="91">
        <v>1498.8000489999999</v>
      </c>
      <c r="X69" s="91">
        <v>1475.9499510000001</v>
      </c>
      <c r="Y69" s="91">
        <v>1339.000732</v>
      </c>
      <c r="Z69" s="91">
        <v>7379669</v>
      </c>
      <c r="AA69" s="91">
        <v>-8.0999999999999996E-3</v>
      </c>
      <c r="AB69" s="91"/>
      <c r="AC69" s="90">
        <v>44747</v>
      </c>
      <c r="AD69" s="91">
        <v>1118.1999510000001</v>
      </c>
      <c r="AE69" s="91">
        <v>1120.349976</v>
      </c>
      <c r="AF69" s="91">
        <v>1116.970581</v>
      </c>
      <c r="AG69" s="91">
        <v>635508</v>
      </c>
      <c r="AH69" s="91">
        <v>1.9E-3</v>
      </c>
      <c r="AI69" s="91"/>
      <c r="AJ69" s="91">
        <f>(F69*'Part 3 Portfolio Analysis'!$B$8+M69*'Part 3 Portfolio Analysis'!$C$8+T69*'Part 3 Portfolio Analysis'!$D$8+AA69*'Part 3 Portfolio Analysis'!$E$8+AH69*'Part 3 Portfolio Analysis'!$F$8)/100</f>
        <v>-1.6258909469236288E-3</v>
      </c>
      <c r="AK69" s="91">
        <f>'Part 3 Portfolio Analysis'!$B$107*F69+M69*'Part 3 Portfolio Analysis'!$C$107+T69*'Part 3 Portfolio Analysis'!$D$107+AA69*'Part 3 Portfolio Analysis'!$E$107+AH69*'Part 3 Portfolio Analysis'!$F$107</f>
        <v>1.1709999999999997E-4</v>
      </c>
      <c r="AL69" s="91">
        <f>F69*'Part 3 Portfolio Analysis'!$B$121+M69*'Part 3 Portfolio Analysis'!$C$121+'Part 3 Portfolio Analysis'!$D$121*T69+AA69*'Part 3 Portfolio Analysis'!$E$121+'Part 3 Portfolio Analysis'!$F$121*AH69</f>
        <v>4.3279999999999957E-4</v>
      </c>
      <c r="AM69" s="91"/>
      <c r="AN69" s="90">
        <v>44747</v>
      </c>
      <c r="AO69" s="91">
        <v>15909.150390000001</v>
      </c>
      <c r="AP69" s="91">
        <v>15810.849609999999</v>
      </c>
      <c r="AQ69" s="91">
        <v>15810.849609999999</v>
      </c>
      <c r="AR69" s="91">
        <v>254200</v>
      </c>
      <c r="AS69" s="91">
        <v>-1.5E-3</v>
      </c>
    </row>
    <row r="70" spans="1:45" x14ac:dyDescent="0.55000000000000004">
      <c r="A70" s="90">
        <v>44748</v>
      </c>
      <c r="B70" s="91">
        <v>8035.8999020000001</v>
      </c>
      <c r="C70" s="91">
        <v>7973.8500979999999</v>
      </c>
      <c r="D70" s="91">
        <v>7747.7978519999997</v>
      </c>
      <c r="E70" s="91">
        <v>186608</v>
      </c>
      <c r="F70" s="91">
        <v>-3.7000000000000002E-3</v>
      </c>
      <c r="H70" s="90">
        <v>44748</v>
      </c>
      <c r="I70" s="91">
        <v>1116.875732</v>
      </c>
      <c r="J70" s="91">
        <v>1113.0683590000001</v>
      </c>
      <c r="K70" s="91">
        <v>1097.4207759999999</v>
      </c>
      <c r="L70" s="91">
        <v>23943726</v>
      </c>
      <c r="M70" s="91">
        <v>-8.8000000000000005E-3</v>
      </c>
      <c r="O70" s="90">
        <v>44748</v>
      </c>
      <c r="P70" s="91">
        <v>674</v>
      </c>
      <c r="Q70" s="91">
        <v>685.625</v>
      </c>
      <c r="R70" s="91">
        <v>659.80133060000003</v>
      </c>
      <c r="S70" s="91">
        <v>15049078</v>
      </c>
      <c r="T70" s="91">
        <v>1.38E-2</v>
      </c>
      <c r="V70" s="90">
        <v>44748</v>
      </c>
      <c r="W70" s="91">
        <v>1482.1999510000001</v>
      </c>
      <c r="X70" s="91">
        <v>1491.650024</v>
      </c>
      <c r="Y70" s="91">
        <v>1353.244019</v>
      </c>
      <c r="Z70" s="91">
        <v>5209162</v>
      </c>
      <c r="AA70" s="91">
        <v>1.06E-2</v>
      </c>
      <c r="AB70" s="91"/>
      <c r="AC70" s="90">
        <v>44748</v>
      </c>
      <c r="AD70" s="91">
        <v>1124.6999510000001</v>
      </c>
      <c r="AE70" s="91">
        <v>1172</v>
      </c>
      <c r="AF70" s="91">
        <v>1168.4647219999999</v>
      </c>
      <c r="AG70" s="91">
        <v>835710</v>
      </c>
      <c r="AH70" s="91">
        <v>4.6100000000000002E-2</v>
      </c>
      <c r="AI70" s="91"/>
      <c r="AJ70" s="91">
        <f>(F70*'Part 3 Portfolio Analysis'!$B$8+M70*'Part 3 Portfolio Analysis'!$C$8+T70*'Part 3 Portfolio Analysis'!$D$8+AA70*'Part 3 Portfolio Analysis'!$E$8+AH70*'Part 3 Portfolio Analysis'!$F$8)/100</f>
        <v>1.5864875028516538E-4</v>
      </c>
      <c r="AK70" s="91">
        <f>'Part 3 Portfolio Analysis'!$B$107*F70+M70*'Part 3 Portfolio Analysis'!$C$107+T70*'Part 3 Portfolio Analysis'!$D$107+AA70*'Part 3 Portfolio Analysis'!$E$107+AH70*'Part 3 Portfolio Analysis'!$F$107</f>
        <v>1.1395800000000001E-2</v>
      </c>
      <c r="AL70" s="91">
        <f>F70*'Part 3 Portfolio Analysis'!$B$121+M70*'Part 3 Portfolio Analysis'!$C$121+'Part 3 Portfolio Analysis'!$D$121*T70+AA70*'Part 3 Portfolio Analysis'!$E$121+'Part 3 Portfolio Analysis'!$F$121*AH70</f>
        <v>3.0848E-3</v>
      </c>
      <c r="AM70" s="91"/>
      <c r="AN70" s="90">
        <v>44748</v>
      </c>
      <c r="AO70" s="91">
        <v>15818.200199999999</v>
      </c>
      <c r="AP70" s="91">
        <v>15989.799800000001</v>
      </c>
      <c r="AQ70" s="91">
        <v>15989.799800000001</v>
      </c>
      <c r="AR70" s="91">
        <v>288400</v>
      </c>
      <c r="AS70" s="91">
        <v>1.1299999999999999E-2</v>
      </c>
    </row>
    <row r="71" spans="1:45" x14ac:dyDescent="0.55000000000000004">
      <c r="A71" s="90">
        <v>44749</v>
      </c>
      <c r="B71" s="91">
        <v>8114</v>
      </c>
      <c r="C71" s="91">
        <v>8082.8999020000001</v>
      </c>
      <c r="D71" s="91">
        <v>7853.7568359999996</v>
      </c>
      <c r="E71" s="91">
        <v>185172</v>
      </c>
      <c r="F71" s="91">
        <v>1.37E-2</v>
      </c>
      <c r="H71" s="90">
        <v>44749</v>
      </c>
      <c r="I71" s="91">
        <v>1119.55249</v>
      </c>
      <c r="J71" s="91">
        <v>1102.107788</v>
      </c>
      <c r="K71" s="91">
        <v>1086.6142580000001</v>
      </c>
      <c r="L71" s="91">
        <v>23301033</v>
      </c>
      <c r="M71" s="91">
        <v>-9.7999999999999997E-3</v>
      </c>
      <c r="O71" s="90">
        <v>44749</v>
      </c>
      <c r="P71" s="91">
        <v>690</v>
      </c>
      <c r="Q71" s="91">
        <v>697.90002440000001</v>
      </c>
      <c r="R71" s="91">
        <v>671.61395259999995</v>
      </c>
      <c r="S71" s="91">
        <v>17743142</v>
      </c>
      <c r="T71" s="91">
        <v>1.7899999999999999E-2</v>
      </c>
      <c r="V71" s="90">
        <v>44749</v>
      </c>
      <c r="W71" s="91">
        <v>1503.0500489999999</v>
      </c>
      <c r="X71" s="91">
        <v>1498.6999510000001</v>
      </c>
      <c r="Y71" s="91">
        <v>1359.639893</v>
      </c>
      <c r="Z71" s="91">
        <v>3323472</v>
      </c>
      <c r="AA71" s="91">
        <v>4.7000000000000002E-3</v>
      </c>
      <c r="AB71" s="91"/>
      <c r="AC71" s="90">
        <v>44749</v>
      </c>
      <c r="AD71" s="91">
        <v>1175.1999510000001</v>
      </c>
      <c r="AE71" s="91">
        <v>1170.5500489999999</v>
      </c>
      <c r="AF71" s="91">
        <v>1167.0191649999999</v>
      </c>
      <c r="AG71" s="91">
        <v>291188</v>
      </c>
      <c r="AH71" s="91">
        <v>-1.1999999999999999E-3</v>
      </c>
      <c r="AI71" s="91"/>
      <c r="AJ71" s="91">
        <f>(F71*'Part 3 Portfolio Analysis'!$B$8+M71*'Part 3 Portfolio Analysis'!$C$8+T71*'Part 3 Portfolio Analysis'!$D$8+AA71*'Part 3 Portfolio Analysis'!$E$8+AH71*'Part 3 Portfolio Analysis'!$F$8)/100</f>
        <v>4.2883014979722385E-3</v>
      </c>
      <c r="AK71" s="91">
        <f>'Part 3 Portfolio Analysis'!$B$107*F71+M71*'Part 3 Portfolio Analysis'!$C$107+T71*'Part 3 Portfolio Analysis'!$D$107+AA71*'Part 3 Portfolio Analysis'!$E$107+AH71*'Part 3 Portfolio Analysis'!$F$107</f>
        <v>2.3406999999999998E-3</v>
      </c>
      <c r="AL71" s="91">
        <f>F71*'Part 3 Portfolio Analysis'!$B$121+M71*'Part 3 Portfolio Analysis'!$C$121+'Part 3 Portfolio Analysis'!$D$121*T71+AA71*'Part 3 Portfolio Analysis'!$E$121+'Part 3 Portfolio Analysis'!$F$121*AH71</f>
        <v>2.7914200000000006E-3</v>
      </c>
      <c r="AM71" s="91"/>
      <c r="AN71" s="90">
        <v>44749</v>
      </c>
      <c r="AO71" s="91">
        <v>16113.75</v>
      </c>
      <c r="AP71" s="91">
        <v>16132.900390000001</v>
      </c>
      <c r="AQ71" s="91">
        <v>16132.900390000001</v>
      </c>
      <c r="AR71" s="91">
        <v>264600</v>
      </c>
      <c r="AS71" s="91">
        <v>8.8999999999999999E-3</v>
      </c>
    </row>
    <row r="72" spans="1:45" x14ac:dyDescent="0.55000000000000004">
      <c r="A72" s="90">
        <v>44750</v>
      </c>
      <c r="B72" s="91">
        <v>8125</v>
      </c>
      <c r="C72" s="91">
        <v>7993.1499020000001</v>
      </c>
      <c r="D72" s="91">
        <v>7766.5512699999999</v>
      </c>
      <c r="E72" s="91">
        <v>194361</v>
      </c>
      <c r="F72" s="91">
        <v>-1.11E-2</v>
      </c>
      <c r="H72" s="90">
        <v>44750</v>
      </c>
      <c r="I72" s="91">
        <v>1115.906616</v>
      </c>
      <c r="J72" s="91">
        <v>1103.630737</v>
      </c>
      <c r="K72" s="91">
        <v>1088.115967</v>
      </c>
      <c r="L72" s="91">
        <v>19010108</v>
      </c>
      <c r="M72" s="91">
        <v>1.4E-3</v>
      </c>
      <c r="O72" s="90">
        <v>44750</v>
      </c>
      <c r="P72" s="91">
        <v>705</v>
      </c>
      <c r="Q72" s="91">
        <v>698.54998780000005</v>
      </c>
      <c r="R72" s="91">
        <v>672.23944089999998</v>
      </c>
      <c r="S72" s="91">
        <v>12474030</v>
      </c>
      <c r="T72" s="91">
        <v>8.9999999999999998E-4</v>
      </c>
      <c r="V72" s="90">
        <v>44750</v>
      </c>
      <c r="W72" s="91">
        <v>1515</v>
      </c>
      <c r="X72" s="91">
        <v>1514.4499510000001</v>
      </c>
      <c r="Y72" s="91">
        <v>1373.9285890000001</v>
      </c>
      <c r="Z72" s="91">
        <v>3652582</v>
      </c>
      <c r="AA72" s="91">
        <v>1.0500000000000001E-2</v>
      </c>
      <c r="AB72" s="91"/>
      <c r="AC72" s="90">
        <v>44750</v>
      </c>
      <c r="AD72" s="91">
        <v>1171.849976</v>
      </c>
      <c r="AE72" s="91">
        <v>1204.25</v>
      </c>
      <c r="AF72" s="91">
        <v>1200.617432</v>
      </c>
      <c r="AG72" s="91">
        <v>954902</v>
      </c>
      <c r="AH72" s="91">
        <v>2.8799999999999999E-2</v>
      </c>
      <c r="AI72" s="91"/>
      <c r="AJ72" s="91">
        <f>(F72*'Part 3 Portfolio Analysis'!$B$8+M72*'Part 3 Portfolio Analysis'!$C$8+T72*'Part 3 Portfolio Analysis'!$D$8+AA72*'Part 3 Portfolio Analysis'!$E$8+AH72*'Part 3 Portfolio Analysis'!$F$8)/100</f>
        <v>-7.0111431174503861E-4</v>
      </c>
      <c r="AK72" s="91">
        <f>'Part 3 Portfolio Analysis'!$B$107*F72+M72*'Part 3 Portfolio Analysis'!$C$107+T72*'Part 3 Portfolio Analysis'!$D$107+AA72*'Part 3 Portfolio Analysis'!$E$107+AH72*'Part 3 Portfolio Analysis'!$F$107</f>
        <v>6.887299999999999E-3</v>
      </c>
      <c r="AL72" s="91">
        <f>F72*'Part 3 Portfolio Analysis'!$B$121+M72*'Part 3 Portfolio Analysis'!$C$121+'Part 3 Portfolio Analysis'!$D$121*T72+AA72*'Part 3 Portfolio Analysis'!$E$121+'Part 3 Portfolio Analysis'!$F$121*AH72</f>
        <v>2.7743800000000003E-3</v>
      </c>
      <c r="AM72" s="91"/>
      <c r="AN72" s="90">
        <v>44750</v>
      </c>
      <c r="AO72" s="91">
        <v>16273.650390000001</v>
      </c>
      <c r="AP72" s="91">
        <v>16220.599609999999</v>
      </c>
      <c r="AQ72" s="91">
        <v>16220.599609999999</v>
      </c>
      <c r="AR72" s="91">
        <v>281100</v>
      </c>
      <c r="AS72" s="91">
        <v>5.4000000000000003E-3</v>
      </c>
    </row>
    <row r="73" spans="1:45" x14ac:dyDescent="0.55000000000000004">
      <c r="A73" s="90">
        <v>44753</v>
      </c>
      <c r="B73" s="91">
        <v>7948</v>
      </c>
      <c r="C73" s="91">
        <v>8046</v>
      </c>
      <c r="D73" s="91">
        <v>7817.9028319999998</v>
      </c>
      <c r="E73" s="91">
        <v>242078</v>
      </c>
      <c r="F73" s="91">
        <v>6.6E-3</v>
      </c>
      <c r="H73" s="90">
        <v>44753</v>
      </c>
      <c r="I73" s="91">
        <v>1096.7543949999999</v>
      </c>
      <c r="J73" s="91">
        <v>1118.6295170000001</v>
      </c>
      <c r="K73" s="91">
        <v>1102.903687</v>
      </c>
      <c r="L73" s="91">
        <v>13847467</v>
      </c>
      <c r="M73" s="91">
        <v>1.3599999999999999E-2</v>
      </c>
      <c r="O73" s="90">
        <v>44753</v>
      </c>
      <c r="P73" s="91">
        <v>697</v>
      </c>
      <c r="Q73" s="91">
        <v>703.07501219999995</v>
      </c>
      <c r="R73" s="91">
        <v>676.59405519999996</v>
      </c>
      <c r="S73" s="91">
        <v>7462880</v>
      </c>
      <c r="T73" s="91">
        <v>6.4999999999999997E-3</v>
      </c>
      <c r="V73" s="90">
        <v>44753</v>
      </c>
      <c r="W73" s="91">
        <v>1495</v>
      </c>
      <c r="X73" s="91">
        <v>1473.150024</v>
      </c>
      <c r="Y73" s="91">
        <v>1336.460693</v>
      </c>
      <c r="Z73" s="91">
        <v>4702638</v>
      </c>
      <c r="AA73" s="91">
        <v>-2.7300000000000001E-2</v>
      </c>
      <c r="AB73" s="91"/>
      <c r="AC73" s="90">
        <v>44753</v>
      </c>
      <c r="AD73" s="91">
        <v>1202.8000489999999</v>
      </c>
      <c r="AE73" s="91">
        <v>1207.400024</v>
      </c>
      <c r="AF73" s="91">
        <v>1203.7579350000001</v>
      </c>
      <c r="AG73" s="91">
        <v>877368</v>
      </c>
      <c r="AH73" s="91">
        <v>2.5999999999999999E-3</v>
      </c>
      <c r="AI73" s="91"/>
      <c r="AJ73" s="91">
        <f>(F73*'Part 3 Portfolio Analysis'!$B$8+M73*'Part 3 Portfolio Analysis'!$C$8+T73*'Part 3 Portfolio Analysis'!$D$8+AA73*'Part 3 Portfolio Analysis'!$E$8+AH73*'Part 3 Portfolio Analysis'!$F$8)/100</f>
        <v>3.6259372534317917E-3</v>
      </c>
      <c r="AK73" s="91">
        <f>'Part 3 Portfolio Analysis'!$B$107*F73+M73*'Part 3 Portfolio Analysis'!$C$107+T73*'Part 3 Portfolio Analysis'!$D$107+AA73*'Part 3 Portfolio Analysis'!$E$107+AH73*'Part 3 Portfolio Analysis'!$F$107</f>
        <v>4.3774999999999994E-3</v>
      </c>
      <c r="AL73" s="91">
        <f>F73*'Part 3 Portfolio Analysis'!$B$121+M73*'Part 3 Portfolio Analysis'!$C$121+'Part 3 Portfolio Analysis'!$D$121*T73+AA73*'Part 3 Portfolio Analysis'!$E$121+'Part 3 Portfolio Analysis'!$F$121*AH73</f>
        <v>2.625199999999999E-3</v>
      </c>
      <c r="AM73" s="91"/>
      <c r="AN73" s="90">
        <v>44753</v>
      </c>
      <c r="AO73" s="91">
        <v>16136.150390000001</v>
      </c>
      <c r="AP73" s="91">
        <v>16216</v>
      </c>
      <c r="AQ73" s="91">
        <v>16216</v>
      </c>
      <c r="AR73" s="91">
        <v>255900</v>
      </c>
      <c r="AS73" s="91">
        <v>-2.9999999999999997E-4</v>
      </c>
    </row>
    <row r="74" spans="1:45" x14ac:dyDescent="0.55000000000000004">
      <c r="A74" s="90">
        <v>44754</v>
      </c>
      <c r="B74" s="91">
        <v>8000</v>
      </c>
      <c r="C74" s="91">
        <v>7958</v>
      </c>
      <c r="D74" s="91">
        <v>7732.3979490000002</v>
      </c>
      <c r="E74" s="91">
        <v>149473</v>
      </c>
      <c r="F74" s="91">
        <v>-1.09E-2</v>
      </c>
      <c r="H74" s="90">
        <v>44754</v>
      </c>
      <c r="I74" s="91">
        <v>1109.445557</v>
      </c>
      <c r="J74" s="91">
        <v>1117.037231</v>
      </c>
      <c r="K74" s="91">
        <v>1101.33374</v>
      </c>
      <c r="L74" s="91">
        <v>10778989</v>
      </c>
      <c r="M74" s="91">
        <v>-1.4E-3</v>
      </c>
      <c r="O74" s="90">
        <v>44754</v>
      </c>
      <c r="P74" s="91">
        <v>702.625</v>
      </c>
      <c r="Q74" s="91">
        <v>695.90002440000001</v>
      </c>
      <c r="R74" s="91">
        <v>669.6893311</v>
      </c>
      <c r="S74" s="91">
        <v>9876974</v>
      </c>
      <c r="T74" s="91">
        <v>-1.0200000000000001E-2</v>
      </c>
      <c r="V74" s="90">
        <v>44754</v>
      </c>
      <c r="W74" s="91">
        <v>1461.8000489999999</v>
      </c>
      <c r="X74" s="91">
        <v>1438.599976</v>
      </c>
      <c r="Y74" s="91">
        <v>1305.1164550000001</v>
      </c>
      <c r="Z74" s="91">
        <v>4710356</v>
      </c>
      <c r="AA74" s="91">
        <v>-2.35E-2</v>
      </c>
      <c r="AB74" s="91"/>
      <c r="AC74" s="90">
        <v>44754</v>
      </c>
      <c r="AD74" s="91">
        <v>1206</v>
      </c>
      <c r="AE74" s="91">
        <v>1195.9499510000001</v>
      </c>
      <c r="AF74" s="91">
        <v>1192.3424070000001</v>
      </c>
      <c r="AG74" s="91">
        <v>583382</v>
      </c>
      <c r="AH74" s="91">
        <v>-9.4999999999999998E-3</v>
      </c>
      <c r="AI74" s="91"/>
      <c r="AJ74" s="91">
        <f>(F74*'Part 3 Portfolio Analysis'!$B$8+M74*'Part 3 Portfolio Analysis'!$C$8+T74*'Part 3 Portfolio Analysis'!$D$8+AA74*'Part 3 Portfolio Analysis'!$E$8+AH74*'Part 3 Portfolio Analysis'!$F$8)/100</f>
        <v>-9.3537497925739281E-3</v>
      </c>
      <c r="AK74" s="91">
        <f>'Part 3 Portfolio Analysis'!$B$107*F74+M74*'Part 3 Portfolio Analysis'!$C$107+T74*'Part 3 Portfolio Analysis'!$D$107+AA74*'Part 3 Portfolio Analysis'!$E$107+AH74*'Part 3 Portfolio Analysis'!$F$107</f>
        <v>-8.7252000000000007E-3</v>
      </c>
      <c r="AL74" s="91">
        <f>F74*'Part 3 Portfolio Analysis'!$B$121+M74*'Part 3 Portfolio Analysis'!$C$121+'Part 3 Portfolio Analysis'!$D$121*T74+AA74*'Part 3 Portfolio Analysis'!$E$121+'Part 3 Portfolio Analysis'!$F$121*AH74</f>
        <v>-9.2067200000000016E-3</v>
      </c>
      <c r="AM74" s="91"/>
      <c r="AN74" s="90">
        <v>44754</v>
      </c>
      <c r="AO74" s="91">
        <v>16126.200199999999</v>
      </c>
      <c r="AP74" s="91">
        <v>16058.299800000001</v>
      </c>
      <c r="AQ74" s="91">
        <v>16058.299800000001</v>
      </c>
      <c r="AR74" s="91">
        <v>208600</v>
      </c>
      <c r="AS74" s="91">
        <v>-9.7000000000000003E-3</v>
      </c>
    </row>
    <row r="75" spans="1:45" x14ac:dyDescent="0.55000000000000004">
      <c r="A75" s="90">
        <v>44755</v>
      </c>
      <c r="B75" s="91">
        <v>8004</v>
      </c>
      <c r="C75" s="91">
        <v>7711.3999020000001</v>
      </c>
      <c r="D75" s="91">
        <v>7492.7885740000002</v>
      </c>
      <c r="E75" s="91">
        <v>307560</v>
      </c>
      <c r="F75" s="91">
        <v>-3.1E-2</v>
      </c>
      <c r="H75" s="90">
        <v>44755</v>
      </c>
      <c r="I75" s="91">
        <v>1120.1986079999999</v>
      </c>
      <c r="J75" s="91">
        <v>1097.2388920000001</v>
      </c>
      <c r="K75" s="91">
        <v>1081.8138429999999</v>
      </c>
      <c r="L75" s="91">
        <v>14224132</v>
      </c>
      <c r="M75" s="91">
        <v>-1.77E-2</v>
      </c>
      <c r="O75" s="90">
        <v>44755</v>
      </c>
      <c r="P75" s="91">
        <v>695</v>
      </c>
      <c r="Q75" s="91">
        <v>678.92498780000005</v>
      </c>
      <c r="R75" s="91">
        <v>653.35357669999996</v>
      </c>
      <c r="S75" s="91">
        <v>15945610</v>
      </c>
      <c r="T75" s="91">
        <v>-2.4400000000000002E-2</v>
      </c>
      <c r="V75" s="90">
        <v>44755</v>
      </c>
      <c r="W75" s="91">
        <v>1450</v>
      </c>
      <c r="X75" s="91">
        <v>1444.4499510000001</v>
      </c>
      <c r="Y75" s="91">
        <v>1310.4235839999999</v>
      </c>
      <c r="Z75" s="91">
        <v>5264025</v>
      </c>
      <c r="AA75" s="91">
        <v>4.1000000000000003E-3</v>
      </c>
      <c r="AB75" s="91"/>
      <c r="AC75" s="90">
        <v>44755</v>
      </c>
      <c r="AD75" s="91">
        <v>1202.1999510000001</v>
      </c>
      <c r="AE75" s="91">
        <v>1205.5500489999999</v>
      </c>
      <c r="AF75" s="91">
        <v>1201.9135739999999</v>
      </c>
      <c r="AG75" s="91">
        <v>325971</v>
      </c>
      <c r="AH75" s="91">
        <v>8.0000000000000002E-3</v>
      </c>
      <c r="AI75" s="91"/>
      <c r="AJ75" s="91">
        <f>(F75*'Part 3 Portfolio Analysis'!$B$8+M75*'Part 3 Portfolio Analysis'!$C$8+T75*'Part 3 Portfolio Analysis'!$D$8+AA75*'Part 3 Portfolio Analysis'!$E$8+AH75*'Part 3 Portfolio Analysis'!$F$8)/100</f>
        <v>-1.9048111831350616E-2</v>
      </c>
      <c r="AK75" s="91">
        <f>'Part 3 Portfolio Analysis'!$B$107*F75+M75*'Part 3 Portfolio Analysis'!$C$107+T75*'Part 3 Portfolio Analysis'!$D$107+AA75*'Part 3 Portfolio Analysis'!$E$107+AH75*'Part 3 Portfolio Analysis'!$F$107</f>
        <v>-1.24761E-2</v>
      </c>
      <c r="AL75" s="91">
        <f>F75*'Part 3 Portfolio Analysis'!$B$121+M75*'Part 3 Portfolio Analysis'!$C$121+'Part 3 Portfolio Analysis'!$D$121*T75+AA75*'Part 3 Portfolio Analysis'!$E$121+'Part 3 Portfolio Analysis'!$F$121*AH75</f>
        <v>-1.558232E-2</v>
      </c>
      <c r="AM75" s="91"/>
      <c r="AN75" s="90">
        <v>44755</v>
      </c>
      <c r="AO75" s="91">
        <v>16128.200199999999</v>
      </c>
      <c r="AP75" s="91">
        <v>15966.650390000001</v>
      </c>
      <c r="AQ75" s="91">
        <v>15966.650390000001</v>
      </c>
      <c r="AR75" s="91">
        <v>233300</v>
      </c>
      <c r="AS75" s="91">
        <v>-5.7000000000000002E-3</v>
      </c>
    </row>
    <row r="76" spans="1:45" x14ac:dyDescent="0.55000000000000004">
      <c r="A76" s="90">
        <v>44756</v>
      </c>
      <c r="B76" s="91">
        <v>7777.8999020000001</v>
      </c>
      <c r="C76" s="91">
        <v>7799.5498049999997</v>
      </c>
      <c r="D76" s="91">
        <v>7578.439453</v>
      </c>
      <c r="E76" s="91">
        <v>352503</v>
      </c>
      <c r="F76" s="91">
        <v>1.14E-2</v>
      </c>
      <c r="H76" s="90">
        <v>44756</v>
      </c>
      <c r="I76" s="91">
        <v>1102.0616460000001</v>
      </c>
      <c r="J76" s="91">
        <v>1106.284302</v>
      </c>
      <c r="K76" s="91">
        <v>1090.7319339999999</v>
      </c>
      <c r="L76" s="91">
        <v>16970315</v>
      </c>
      <c r="M76" s="91">
        <v>8.2000000000000007E-3</v>
      </c>
      <c r="O76" s="90">
        <v>44756</v>
      </c>
      <c r="P76" s="91">
        <v>681</v>
      </c>
      <c r="Q76" s="91">
        <v>675.52502440000001</v>
      </c>
      <c r="R76" s="91">
        <v>650.08172609999997</v>
      </c>
      <c r="S76" s="91">
        <v>10372410</v>
      </c>
      <c r="T76" s="91">
        <v>-5.0000000000000001E-3</v>
      </c>
      <c r="V76" s="90">
        <v>44756</v>
      </c>
      <c r="W76" s="91">
        <v>1451</v>
      </c>
      <c r="X76" s="91">
        <v>1428.849976</v>
      </c>
      <c r="Y76" s="91">
        <v>1296.2711179999999</v>
      </c>
      <c r="Z76" s="91">
        <v>6157606</v>
      </c>
      <c r="AA76" s="91">
        <v>-1.0800000000000001E-2</v>
      </c>
      <c r="AB76" s="91"/>
      <c r="AC76" s="90">
        <v>44756</v>
      </c>
      <c r="AD76" s="91">
        <v>1206</v>
      </c>
      <c r="AE76" s="91">
        <v>1179.3000489999999</v>
      </c>
      <c r="AF76" s="91">
        <v>1175.742798</v>
      </c>
      <c r="AG76" s="91">
        <v>453534</v>
      </c>
      <c r="AH76" s="91">
        <v>-2.18E-2</v>
      </c>
      <c r="AI76" s="91"/>
      <c r="AJ76" s="91">
        <f>(F76*'Part 3 Portfolio Analysis'!$B$8+M76*'Part 3 Portfolio Analysis'!$C$8+T76*'Part 3 Portfolio Analysis'!$D$8+AA76*'Part 3 Portfolio Analysis'!$E$8+AH76*'Part 3 Portfolio Analysis'!$F$8)/100</f>
        <v>3.6071266221735913E-3</v>
      </c>
      <c r="AK76" s="91">
        <f>'Part 3 Portfolio Analysis'!$B$107*F76+M76*'Part 3 Portfolio Analysis'!$C$107+T76*'Part 3 Portfolio Analysis'!$D$107+AA76*'Part 3 Portfolio Analysis'!$E$107+AH76*'Part 3 Portfolio Analysis'!$F$107</f>
        <v>-2.7299999999999998E-3</v>
      </c>
      <c r="AL76" s="91">
        <f>F76*'Part 3 Portfolio Analysis'!$B$121+M76*'Part 3 Portfolio Analysis'!$C$121+'Part 3 Portfolio Analysis'!$D$121*T76+AA76*'Part 3 Portfolio Analysis'!$E$121+'Part 3 Portfolio Analysis'!$F$121*AH76</f>
        <v>2.8664000000000012E-4</v>
      </c>
      <c r="AM76" s="91"/>
      <c r="AN76" s="90">
        <v>44756</v>
      </c>
      <c r="AO76" s="91">
        <v>16018.849609999999</v>
      </c>
      <c r="AP76" s="91">
        <v>15938.650390000001</v>
      </c>
      <c r="AQ76" s="91">
        <v>15938.650390000001</v>
      </c>
      <c r="AR76" s="91">
        <v>228600</v>
      </c>
      <c r="AS76" s="91">
        <v>-1.8E-3</v>
      </c>
    </row>
    <row r="77" spans="1:45" x14ac:dyDescent="0.55000000000000004">
      <c r="A77" s="90">
        <v>44757</v>
      </c>
      <c r="B77" s="91">
        <v>7940</v>
      </c>
      <c r="C77" s="91">
        <v>8060.6000979999999</v>
      </c>
      <c r="D77" s="91">
        <v>7832.0888670000004</v>
      </c>
      <c r="E77" s="91">
        <v>1018820</v>
      </c>
      <c r="F77" s="91">
        <v>3.3500000000000002E-2</v>
      </c>
      <c r="H77" s="90">
        <v>44757</v>
      </c>
      <c r="I77" s="91">
        <v>1114.522095</v>
      </c>
      <c r="J77" s="91">
        <v>1108.430298</v>
      </c>
      <c r="K77" s="91">
        <v>1092.8479</v>
      </c>
      <c r="L77" s="91">
        <v>9603210</v>
      </c>
      <c r="M77" s="91">
        <v>1.9E-3</v>
      </c>
      <c r="O77" s="90">
        <v>44757</v>
      </c>
      <c r="P77" s="91">
        <v>676.5</v>
      </c>
      <c r="Q77" s="91">
        <v>681.02502440000001</v>
      </c>
      <c r="R77" s="91">
        <v>655.37457280000001</v>
      </c>
      <c r="S77" s="91">
        <v>13595646</v>
      </c>
      <c r="T77" s="91">
        <v>8.0999999999999996E-3</v>
      </c>
      <c r="V77" s="90">
        <v>44757</v>
      </c>
      <c r="W77" s="91">
        <v>1446</v>
      </c>
      <c r="X77" s="91">
        <v>1430.349976</v>
      </c>
      <c r="Y77" s="91">
        <v>1297.6319579999999</v>
      </c>
      <c r="Z77" s="91">
        <v>5620018</v>
      </c>
      <c r="AA77" s="91">
        <v>1E-3</v>
      </c>
      <c r="AB77" s="91"/>
      <c r="AC77" s="90">
        <v>44757</v>
      </c>
      <c r="AD77" s="91">
        <v>1185.5</v>
      </c>
      <c r="AE77" s="91">
        <v>1210.6999510000001</v>
      </c>
      <c r="AF77" s="91">
        <v>1207.0479740000001</v>
      </c>
      <c r="AG77" s="91">
        <v>315845</v>
      </c>
      <c r="AH77" s="91">
        <v>2.6599999999999999E-2</v>
      </c>
      <c r="AI77" s="91"/>
      <c r="AJ77" s="91">
        <f>(F77*'Part 3 Portfolio Analysis'!$B$8+M77*'Part 3 Portfolio Analysis'!$C$8+T77*'Part 3 Portfolio Analysis'!$D$8+AA77*'Part 3 Portfolio Analysis'!$E$8+AH77*'Part 3 Portfolio Analysis'!$F$8)/100</f>
        <v>1.2510806370850207E-2</v>
      </c>
      <c r="AK77" s="91">
        <f>'Part 3 Portfolio Analysis'!$B$107*F77+M77*'Part 3 Portfolio Analysis'!$C$107+T77*'Part 3 Portfolio Analysis'!$D$107+AA77*'Part 3 Portfolio Analysis'!$E$107+AH77*'Part 3 Portfolio Analysis'!$F$107</f>
        <v>1.4683399999999999E-2</v>
      </c>
      <c r="AL77" s="91">
        <f>F77*'Part 3 Portfolio Analysis'!$B$121+M77*'Part 3 Portfolio Analysis'!$C$121+'Part 3 Portfolio Analysis'!$D$121*T77+AA77*'Part 3 Portfolio Analysis'!$E$121+'Part 3 Portfolio Analysis'!$F$121*AH77</f>
        <v>6.6510599999999994E-3</v>
      </c>
      <c r="AM77" s="91"/>
      <c r="AN77" s="90">
        <v>44757</v>
      </c>
      <c r="AO77" s="91">
        <v>16010.799800000001</v>
      </c>
      <c r="AP77" s="91">
        <v>16049.200199999999</v>
      </c>
      <c r="AQ77" s="91">
        <v>16049.200199999999</v>
      </c>
      <c r="AR77" s="91">
        <v>205800</v>
      </c>
      <c r="AS77" s="91">
        <v>6.8999999999999999E-3</v>
      </c>
    </row>
    <row r="78" spans="1:45" x14ac:dyDescent="0.55000000000000004">
      <c r="A78" s="90">
        <v>44760</v>
      </c>
      <c r="B78" s="91">
        <v>8100.3999020000001</v>
      </c>
      <c r="C78" s="91">
        <v>8104.0498049999997</v>
      </c>
      <c r="D78" s="91">
        <v>7874.3071289999998</v>
      </c>
      <c r="E78" s="91">
        <v>288203</v>
      </c>
      <c r="F78" s="91">
        <v>5.4000000000000003E-3</v>
      </c>
      <c r="H78" s="90">
        <v>44760</v>
      </c>
      <c r="I78" s="91">
        <v>1117.291138</v>
      </c>
      <c r="J78" s="91">
        <v>1117.8680420000001</v>
      </c>
      <c r="K78" s="91">
        <v>1102.152832</v>
      </c>
      <c r="L78" s="91">
        <v>15160908</v>
      </c>
      <c r="M78" s="91">
        <v>8.5000000000000006E-3</v>
      </c>
      <c r="O78" s="90">
        <v>44760</v>
      </c>
      <c r="P78" s="91">
        <v>674</v>
      </c>
      <c r="Q78" s="91">
        <v>673.77502440000001</v>
      </c>
      <c r="R78" s="91">
        <v>648.39758300000005</v>
      </c>
      <c r="S78" s="91">
        <v>20332220</v>
      </c>
      <c r="T78" s="91">
        <v>-1.06E-2</v>
      </c>
      <c r="V78" s="90">
        <v>44760</v>
      </c>
      <c r="W78" s="91">
        <v>1450</v>
      </c>
      <c r="X78" s="91">
        <v>1489.900024</v>
      </c>
      <c r="Y78" s="91">
        <v>1351.65625</v>
      </c>
      <c r="Z78" s="91">
        <v>5835171</v>
      </c>
      <c r="AA78" s="91">
        <v>4.1599999999999998E-2</v>
      </c>
      <c r="AB78" s="91"/>
      <c r="AC78" s="90">
        <v>44760</v>
      </c>
      <c r="AD78" s="91">
        <v>1222</v>
      </c>
      <c r="AE78" s="91">
        <v>1208.5500489999999</v>
      </c>
      <c r="AF78" s="91">
        <v>1204.9045410000001</v>
      </c>
      <c r="AG78" s="91">
        <v>980588</v>
      </c>
      <c r="AH78" s="91">
        <v>-1.8E-3</v>
      </c>
      <c r="AI78" s="91"/>
      <c r="AJ78" s="91">
        <f>(F78*'Part 3 Portfolio Analysis'!$B$8+M78*'Part 3 Portfolio Analysis'!$C$8+T78*'Part 3 Portfolio Analysis'!$D$8+AA78*'Part 3 Portfolio Analysis'!$E$8+AH78*'Part 3 Portfolio Analysis'!$F$8)/100</f>
        <v>9.6101105381162649E-3</v>
      </c>
      <c r="AK78" s="91">
        <f>'Part 3 Portfolio Analysis'!$B$107*F78+M78*'Part 3 Portfolio Analysis'!$C$107+T78*'Part 3 Portfolio Analysis'!$D$107+AA78*'Part 3 Portfolio Analysis'!$E$107+AH78*'Part 3 Portfolio Analysis'!$F$107</f>
        <v>5.6959000000000003E-3</v>
      </c>
      <c r="AL78" s="91">
        <f>F78*'Part 3 Portfolio Analysis'!$B$121+M78*'Part 3 Portfolio Analysis'!$C$121+'Part 3 Portfolio Analysis'!$D$121*T78+AA78*'Part 3 Portfolio Analysis'!$E$121+'Part 3 Portfolio Analysis'!$F$121*AH78</f>
        <v>9.4001199999999997E-3</v>
      </c>
      <c r="AM78" s="91"/>
      <c r="AN78" s="90">
        <v>44760</v>
      </c>
      <c r="AO78" s="91">
        <v>16151.400390000001</v>
      </c>
      <c r="AP78" s="91">
        <v>16278.5</v>
      </c>
      <c r="AQ78" s="91">
        <v>16278.5</v>
      </c>
      <c r="AR78" s="91">
        <v>227700</v>
      </c>
      <c r="AS78" s="91">
        <v>1.43E-2</v>
      </c>
    </row>
    <row r="79" spans="1:45" x14ac:dyDescent="0.55000000000000004">
      <c r="A79" s="90">
        <v>44761</v>
      </c>
      <c r="B79" s="91">
        <v>8095</v>
      </c>
      <c r="C79" s="91">
        <v>8079.3999020000001</v>
      </c>
      <c r="D79" s="91">
        <v>7850.3559569999998</v>
      </c>
      <c r="E79" s="91">
        <v>191826</v>
      </c>
      <c r="F79" s="91">
        <v>-3.0000000000000001E-3</v>
      </c>
      <c r="H79" s="90">
        <v>44761</v>
      </c>
      <c r="I79" s="91">
        <v>1107.7380370000001</v>
      </c>
      <c r="J79" s="91">
        <v>1124.721313</v>
      </c>
      <c r="K79" s="91">
        <v>1108.9099120000001</v>
      </c>
      <c r="L79" s="91">
        <v>16439888</v>
      </c>
      <c r="M79" s="91">
        <v>6.1000000000000004E-3</v>
      </c>
      <c r="O79" s="90">
        <v>44761</v>
      </c>
      <c r="P79" s="91">
        <v>668.5</v>
      </c>
      <c r="Q79" s="91">
        <v>674.02502440000001</v>
      </c>
      <c r="R79" s="91">
        <v>648.63824460000001</v>
      </c>
      <c r="S79" s="91">
        <v>15792538</v>
      </c>
      <c r="T79" s="91">
        <v>4.0000000000000002E-4</v>
      </c>
      <c r="V79" s="90">
        <v>44761</v>
      </c>
      <c r="W79" s="91">
        <v>1471.5500489999999</v>
      </c>
      <c r="X79" s="91">
        <v>1484.150024</v>
      </c>
      <c r="Y79" s="91">
        <v>1346.4398189999999</v>
      </c>
      <c r="Z79" s="91">
        <v>3418540</v>
      </c>
      <c r="AA79" s="91">
        <v>-3.8999999999999998E-3</v>
      </c>
      <c r="AB79" s="91"/>
      <c r="AC79" s="90">
        <v>44761</v>
      </c>
      <c r="AD79" s="91">
        <v>1207.8000489999999</v>
      </c>
      <c r="AE79" s="91">
        <v>1202.25</v>
      </c>
      <c r="AF79" s="91">
        <v>1198.623413</v>
      </c>
      <c r="AG79" s="91">
        <v>491128</v>
      </c>
      <c r="AH79" s="91">
        <v>-5.1999999999999998E-3</v>
      </c>
      <c r="AI79" s="91"/>
      <c r="AJ79" s="91">
        <f>(F79*'Part 3 Portfolio Analysis'!$B$8+M79*'Part 3 Portfolio Analysis'!$C$8+T79*'Part 3 Portfolio Analysis'!$D$8+AA79*'Part 3 Portfolio Analysis'!$E$8+AH79*'Part 3 Portfolio Analysis'!$F$8)/100</f>
        <v>6.9939026470618171E-4</v>
      </c>
      <c r="AK79" s="91">
        <f>'Part 3 Portfolio Analysis'!$B$107*F79+M79*'Part 3 Portfolio Analysis'!$C$107+T79*'Part 3 Portfolio Analysis'!$D$107+AA79*'Part 3 Portfolio Analysis'!$E$107+AH79*'Part 3 Portfolio Analysis'!$F$107</f>
        <v>-2.6909999999999998E-4</v>
      </c>
      <c r="AL79" s="91">
        <f>F79*'Part 3 Portfolio Analysis'!$B$121+M79*'Part 3 Portfolio Analysis'!$C$121+'Part 3 Portfolio Analysis'!$D$121*T79+AA79*'Part 3 Portfolio Analysis'!$E$121+'Part 3 Portfolio Analysis'!$F$121*AH79</f>
        <v>1.50552E-3</v>
      </c>
      <c r="AM79" s="91"/>
      <c r="AN79" s="90">
        <v>44761</v>
      </c>
      <c r="AO79" s="91">
        <v>16187.049800000001</v>
      </c>
      <c r="AP79" s="91">
        <v>16340.549800000001</v>
      </c>
      <c r="AQ79" s="91">
        <v>16340.549800000001</v>
      </c>
      <c r="AR79" s="91">
        <v>222600</v>
      </c>
      <c r="AS79" s="91">
        <v>3.8E-3</v>
      </c>
    </row>
    <row r="80" spans="1:45" x14ac:dyDescent="0.55000000000000004">
      <c r="A80" s="90">
        <v>44762</v>
      </c>
      <c r="B80" s="91">
        <v>8131</v>
      </c>
      <c r="C80" s="91">
        <v>8113.7998049999997</v>
      </c>
      <c r="D80" s="91">
        <v>7883.7807620000003</v>
      </c>
      <c r="E80" s="91">
        <v>250148</v>
      </c>
      <c r="F80" s="91">
        <v>4.3E-3</v>
      </c>
      <c r="H80" s="90">
        <v>44762</v>
      </c>
      <c r="I80" s="91">
        <v>1172.209595</v>
      </c>
      <c r="J80" s="91">
        <v>1155.134033</v>
      </c>
      <c r="K80" s="91">
        <v>1138.8951420000001</v>
      </c>
      <c r="L80" s="91">
        <v>23924246</v>
      </c>
      <c r="M80" s="91">
        <v>2.7E-2</v>
      </c>
      <c r="O80" s="90">
        <v>44762</v>
      </c>
      <c r="P80" s="91">
        <v>679.95001219999995</v>
      </c>
      <c r="Q80" s="91">
        <v>682.52502440000001</v>
      </c>
      <c r="R80" s="91">
        <v>656.81799320000005</v>
      </c>
      <c r="S80" s="91">
        <v>20347862</v>
      </c>
      <c r="T80" s="91">
        <v>1.26E-2</v>
      </c>
      <c r="V80" s="90">
        <v>44762</v>
      </c>
      <c r="W80" s="91">
        <v>1501.25</v>
      </c>
      <c r="X80" s="91">
        <v>1515.3000489999999</v>
      </c>
      <c r="Y80" s="91">
        <v>1374.6995850000001</v>
      </c>
      <c r="Z80" s="91">
        <v>5079392</v>
      </c>
      <c r="AA80" s="91">
        <v>2.1000000000000001E-2</v>
      </c>
      <c r="AB80" s="91"/>
      <c r="AC80" s="90">
        <v>44762</v>
      </c>
      <c r="AD80" s="91">
        <v>1210</v>
      </c>
      <c r="AE80" s="91">
        <v>1209.5</v>
      </c>
      <c r="AF80" s="91">
        <v>1205.8516850000001</v>
      </c>
      <c r="AG80" s="91">
        <v>604230</v>
      </c>
      <c r="AH80" s="91">
        <v>6.0000000000000001E-3</v>
      </c>
      <c r="AI80" s="91"/>
      <c r="AJ80" s="91">
        <f>(F80*'Part 3 Portfolio Analysis'!$B$8+M80*'Part 3 Portfolio Analysis'!$C$8+T80*'Part 3 Portfolio Analysis'!$D$8+AA80*'Part 3 Portfolio Analysis'!$E$8+AH80*'Part 3 Portfolio Analysis'!$F$8)/100</f>
        <v>1.6617050161508985E-2</v>
      </c>
      <c r="AK80" s="91">
        <f>'Part 3 Portfolio Analysis'!$B$107*F80+M80*'Part 3 Portfolio Analysis'!$C$107+T80*'Part 3 Portfolio Analysis'!$D$107+AA80*'Part 3 Portfolio Analysis'!$E$107+AH80*'Part 3 Portfolio Analysis'!$F$107</f>
        <v>1.4790000000000001E-2</v>
      </c>
      <c r="AL80" s="91">
        <f>F80*'Part 3 Portfolio Analysis'!$B$121+M80*'Part 3 Portfolio Analysis'!$C$121+'Part 3 Portfolio Analysis'!$D$121*T80+AA80*'Part 3 Portfolio Analysis'!$E$121+'Part 3 Portfolio Analysis'!$F$121*AH80</f>
        <v>1.9467059999999998E-2</v>
      </c>
      <c r="AM80" s="91"/>
      <c r="AN80" s="90">
        <v>44762</v>
      </c>
      <c r="AO80" s="91">
        <v>16562.800780000001</v>
      </c>
      <c r="AP80" s="91">
        <v>16520.849610000001</v>
      </c>
      <c r="AQ80" s="91">
        <v>16520.849610000001</v>
      </c>
      <c r="AR80" s="91">
        <v>284400</v>
      </c>
      <c r="AS80" s="91">
        <v>1.0999999999999999E-2</v>
      </c>
    </row>
    <row r="81" spans="1:45" x14ac:dyDescent="0.55000000000000004">
      <c r="A81" s="90">
        <v>44763</v>
      </c>
      <c r="B81" s="91">
        <v>8111</v>
      </c>
      <c r="C81" s="91">
        <v>8196.2998050000006</v>
      </c>
      <c r="D81" s="91">
        <v>7963.9418949999999</v>
      </c>
      <c r="E81" s="91">
        <v>220488</v>
      </c>
      <c r="F81" s="91">
        <v>1.0200000000000001E-2</v>
      </c>
      <c r="H81" s="90">
        <v>44763</v>
      </c>
      <c r="I81" s="91">
        <v>1150.980591</v>
      </c>
      <c r="J81" s="91">
        <v>1147.4270019999999</v>
      </c>
      <c r="K81" s="91">
        <v>1131.2962649999999</v>
      </c>
      <c r="L81" s="91">
        <v>16523230</v>
      </c>
      <c r="M81" s="91">
        <v>-6.7000000000000002E-3</v>
      </c>
      <c r="O81" s="90">
        <v>44763</v>
      </c>
      <c r="P81" s="91">
        <v>680.27502440000001</v>
      </c>
      <c r="Q81" s="91">
        <v>680.375</v>
      </c>
      <c r="R81" s="91">
        <v>654.74908449999998</v>
      </c>
      <c r="S81" s="91">
        <v>12640278</v>
      </c>
      <c r="T81" s="91">
        <v>-3.0999999999999999E-3</v>
      </c>
      <c r="V81" s="90">
        <v>44763</v>
      </c>
      <c r="W81" s="91">
        <v>1517</v>
      </c>
      <c r="X81" s="91">
        <v>1532.900024</v>
      </c>
      <c r="Y81" s="91">
        <v>1390.6667480000001</v>
      </c>
      <c r="Z81" s="91">
        <v>5008061</v>
      </c>
      <c r="AA81" s="91">
        <v>1.1599999999999999E-2</v>
      </c>
      <c r="AB81" s="91"/>
      <c r="AC81" s="90">
        <v>44763</v>
      </c>
      <c r="AD81" s="91">
        <v>1211.75</v>
      </c>
      <c r="AE81" s="91">
        <v>1220.5500489999999</v>
      </c>
      <c r="AF81" s="91">
        <v>1216.868408</v>
      </c>
      <c r="AG81" s="91">
        <v>476539</v>
      </c>
      <c r="AH81" s="91">
        <v>9.1000000000000004E-3</v>
      </c>
      <c r="AI81" s="91"/>
      <c r="AJ81" s="91">
        <f>(F81*'Part 3 Portfolio Analysis'!$B$8+M81*'Part 3 Portfolio Analysis'!$C$8+T81*'Part 3 Portfolio Analysis'!$D$8+AA81*'Part 3 Portfolio Analysis'!$E$8+AH81*'Part 3 Portfolio Analysis'!$F$8)/100</f>
        <v>2.0700328801200826E-3</v>
      </c>
      <c r="AK81" s="91">
        <f>'Part 3 Portfolio Analysis'!$B$107*F81+M81*'Part 3 Portfolio Analysis'!$C$107+T81*'Part 3 Portfolio Analysis'!$D$107+AA81*'Part 3 Portfolio Analysis'!$E$107+AH81*'Part 3 Portfolio Analysis'!$F$107</f>
        <v>2.7115999999999998E-3</v>
      </c>
      <c r="AL81" s="91">
        <f>F81*'Part 3 Portfolio Analysis'!$B$121+M81*'Part 3 Portfolio Analysis'!$C$121+'Part 3 Portfolio Analysis'!$D$121*T81+AA81*'Part 3 Portfolio Analysis'!$E$121+'Part 3 Portfolio Analysis'!$F$121*AH81</f>
        <v>-2.5765999999999983E-4</v>
      </c>
      <c r="AM81" s="91"/>
      <c r="AN81" s="90">
        <v>44763</v>
      </c>
      <c r="AO81" s="91">
        <v>16523.550780000001</v>
      </c>
      <c r="AP81" s="91">
        <v>16605.25</v>
      </c>
      <c r="AQ81" s="91">
        <v>16605.25</v>
      </c>
      <c r="AR81" s="91">
        <v>243600</v>
      </c>
      <c r="AS81" s="91">
        <v>5.1000000000000004E-3</v>
      </c>
    </row>
    <row r="82" spans="1:45" x14ac:dyDescent="0.55000000000000004">
      <c r="A82" s="90">
        <v>44764</v>
      </c>
      <c r="B82" s="91">
        <v>8232</v>
      </c>
      <c r="C82" s="91">
        <v>8386.2998050000006</v>
      </c>
      <c r="D82" s="91">
        <v>8148.5551759999998</v>
      </c>
      <c r="E82" s="91">
        <v>496087</v>
      </c>
      <c r="F82" s="91">
        <v>2.3199999999999998E-2</v>
      </c>
      <c r="H82" s="90">
        <v>44764</v>
      </c>
      <c r="I82" s="91">
        <v>1153.749634</v>
      </c>
      <c r="J82" s="91">
        <v>1155.180298</v>
      </c>
      <c r="K82" s="91">
        <v>1138.940552</v>
      </c>
      <c r="L82" s="91">
        <v>10969995</v>
      </c>
      <c r="M82" s="91">
        <v>6.7999999999999996E-3</v>
      </c>
      <c r="O82" s="90">
        <v>44764</v>
      </c>
      <c r="P82" s="91">
        <v>683</v>
      </c>
      <c r="Q82" s="91">
        <v>696.25</v>
      </c>
      <c r="R82" s="91">
        <v>670.02606200000002</v>
      </c>
      <c r="S82" s="91">
        <v>12729592</v>
      </c>
      <c r="T82" s="91">
        <v>2.3300000000000001E-2</v>
      </c>
      <c r="V82" s="90">
        <v>44764</v>
      </c>
      <c r="W82" s="91">
        <v>1534</v>
      </c>
      <c r="X82" s="91">
        <v>1506.3000489999999</v>
      </c>
      <c r="Y82" s="91">
        <v>1366.534668</v>
      </c>
      <c r="Z82" s="91">
        <v>7020642</v>
      </c>
      <c r="AA82" s="91">
        <v>-1.7399999999999999E-2</v>
      </c>
      <c r="AB82" s="91"/>
      <c r="AC82" s="90">
        <v>44764</v>
      </c>
      <c r="AD82" s="91">
        <v>1222</v>
      </c>
      <c r="AE82" s="91">
        <v>1243.75</v>
      </c>
      <c r="AF82" s="91">
        <v>1239.9982910000001</v>
      </c>
      <c r="AG82" s="91">
        <v>942665</v>
      </c>
      <c r="AH82" s="91">
        <v>1.9E-2</v>
      </c>
      <c r="AI82" s="91"/>
      <c r="AJ82" s="91">
        <f>(F82*'Part 3 Portfolio Analysis'!$B$8+M82*'Part 3 Portfolio Analysis'!$C$8+T82*'Part 3 Portfolio Analysis'!$D$8+AA82*'Part 3 Portfolio Analysis'!$E$8+AH82*'Part 3 Portfolio Analysis'!$F$8)/100</f>
        <v>1.069705504673807E-2</v>
      </c>
      <c r="AK82" s="91">
        <f>'Part 3 Portfolio Analysis'!$B$107*F82+M82*'Part 3 Portfolio Analysis'!$C$107+T82*'Part 3 Portfolio Analysis'!$D$107+AA82*'Part 3 Portfolio Analysis'!$E$107+AH82*'Part 3 Portfolio Analysis'!$F$107</f>
        <v>1.2963899999999997E-2</v>
      </c>
      <c r="AL82" s="91">
        <f>F82*'Part 3 Portfolio Analysis'!$B$121+M82*'Part 3 Portfolio Analysis'!$C$121+'Part 3 Portfolio Analysis'!$D$121*T82+AA82*'Part 3 Portfolio Analysis'!$E$121+'Part 3 Portfolio Analysis'!$F$121*AH82</f>
        <v>8.1157199999999999E-3</v>
      </c>
      <c r="AM82" s="91"/>
      <c r="AN82" s="90">
        <v>44764</v>
      </c>
      <c r="AO82" s="91">
        <v>16661.25</v>
      </c>
      <c r="AP82" s="91">
        <v>16719.449219999999</v>
      </c>
      <c r="AQ82" s="91">
        <v>16719.449219999999</v>
      </c>
      <c r="AR82" s="91">
        <v>190900</v>
      </c>
      <c r="AS82" s="91">
        <v>6.8999999999999999E-3</v>
      </c>
    </row>
    <row r="83" spans="1:45" x14ac:dyDescent="0.55000000000000004">
      <c r="A83" s="90">
        <v>44767</v>
      </c>
      <c r="B83" s="91">
        <v>8385</v>
      </c>
      <c r="C83" s="91">
        <v>8529.4003909999992</v>
      </c>
      <c r="D83" s="91">
        <v>8287.5996090000008</v>
      </c>
      <c r="E83" s="91">
        <v>388514</v>
      </c>
      <c r="F83" s="91">
        <v>1.7100000000000001E-2</v>
      </c>
      <c r="H83" s="90">
        <v>44767</v>
      </c>
      <c r="I83" s="91">
        <v>1138.727783</v>
      </c>
      <c r="J83" s="91">
        <v>1117.0141599999999</v>
      </c>
      <c r="K83" s="91">
        <v>1101.3111570000001</v>
      </c>
      <c r="L83" s="91">
        <v>23110452</v>
      </c>
      <c r="M83" s="91">
        <v>-3.3000000000000002E-2</v>
      </c>
      <c r="O83" s="90">
        <v>44767</v>
      </c>
      <c r="P83" s="91">
        <v>697.5</v>
      </c>
      <c r="Q83" s="91">
        <v>698.29998780000005</v>
      </c>
      <c r="R83" s="91">
        <v>671.99890140000002</v>
      </c>
      <c r="S83" s="91">
        <v>10143126</v>
      </c>
      <c r="T83" s="91">
        <v>2.8999999999999998E-3</v>
      </c>
      <c r="V83" s="90">
        <v>44767</v>
      </c>
      <c r="W83" s="91">
        <v>1480.099976</v>
      </c>
      <c r="X83" s="91">
        <v>1503.599976</v>
      </c>
      <c r="Y83" s="91">
        <v>1364.0852050000001</v>
      </c>
      <c r="Z83" s="91">
        <v>7859626</v>
      </c>
      <c r="AA83" s="91">
        <v>-1.8E-3</v>
      </c>
      <c r="AB83" s="91"/>
      <c r="AC83" s="90">
        <v>44767</v>
      </c>
      <c r="AD83" s="91">
        <v>1237.5</v>
      </c>
      <c r="AE83" s="91">
        <v>1232.5500489999999</v>
      </c>
      <c r="AF83" s="91">
        <v>1228.8320309999999</v>
      </c>
      <c r="AG83" s="91">
        <v>381778</v>
      </c>
      <c r="AH83" s="91">
        <v>-8.9999999999999993E-3</v>
      </c>
      <c r="AI83" s="91"/>
      <c r="AJ83" s="91">
        <f>(F83*'Part 3 Portfolio Analysis'!$B$8+M83*'Part 3 Portfolio Analysis'!$C$8+T83*'Part 3 Portfolio Analysis'!$D$8+AA83*'Part 3 Portfolio Analysis'!$E$8+AH83*'Part 3 Portfolio Analysis'!$F$8)/100</f>
        <v>-6.7257303504665092E-3</v>
      </c>
      <c r="AK83" s="91">
        <f>'Part 3 Portfolio Analysis'!$B$107*F83+M83*'Part 3 Portfolio Analysis'!$C$107+T83*'Part 3 Portfolio Analysis'!$D$107+AA83*'Part 3 Portfolio Analysis'!$E$107+AH83*'Part 3 Portfolio Analysis'!$F$107</f>
        <v>-9.249499999999999E-3</v>
      </c>
      <c r="AL83" s="91">
        <f>F83*'Part 3 Portfolio Analysis'!$B$121+M83*'Part 3 Portfolio Analysis'!$C$121+'Part 3 Portfolio Analysis'!$D$121*T83+AA83*'Part 3 Portfolio Analysis'!$E$121+'Part 3 Portfolio Analysis'!$F$121*AH83</f>
        <v>-1.2248179999999999E-2</v>
      </c>
      <c r="AM83" s="91"/>
      <c r="AN83" s="90">
        <v>44767</v>
      </c>
      <c r="AO83" s="91">
        <v>16662.550780000001</v>
      </c>
      <c r="AP83" s="91">
        <v>16631</v>
      </c>
      <c r="AQ83" s="91">
        <v>16631</v>
      </c>
      <c r="AR83" s="91">
        <v>211400</v>
      </c>
      <c r="AS83" s="91">
        <v>-5.3E-3</v>
      </c>
    </row>
    <row r="84" spans="1:45" x14ac:dyDescent="0.55000000000000004">
      <c r="A84" s="90">
        <v>44768</v>
      </c>
      <c r="B84" s="91">
        <v>8545</v>
      </c>
      <c r="C84" s="91">
        <v>8361.2998050000006</v>
      </c>
      <c r="D84" s="91">
        <v>8124.263672</v>
      </c>
      <c r="E84" s="91">
        <v>236934</v>
      </c>
      <c r="F84" s="91">
        <v>-1.9699999999999999E-2</v>
      </c>
      <c r="H84" s="90">
        <v>44768</v>
      </c>
      <c r="I84" s="91">
        <v>1117.33728</v>
      </c>
      <c r="J84" s="91">
        <v>1117.521851</v>
      </c>
      <c r="K84" s="91">
        <v>1101.8116460000001</v>
      </c>
      <c r="L84" s="91">
        <v>11303288</v>
      </c>
      <c r="M84" s="91">
        <v>5.0000000000000001E-4</v>
      </c>
      <c r="O84" s="90">
        <v>44768</v>
      </c>
      <c r="P84" s="91">
        <v>698</v>
      </c>
      <c r="Q84" s="91">
        <v>696.875</v>
      </c>
      <c r="R84" s="91">
        <v>670.62756349999995</v>
      </c>
      <c r="S84" s="91">
        <v>8527964</v>
      </c>
      <c r="T84" s="91">
        <v>-2E-3</v>
      </c>
      <c r="V84" s="90">
        <v>44768</v>
      </c>
      <c r="W84" s="91">
        <v>1496.650024</v>
      </c>
      <c r="X84" s="91">
        <v>1451.150024</v>
      </c>
      <c r="Y84" s="91">
        <v>1316.501953</v>
      </c>
      <c r="Z84" s="91">
        <v>7268273</v>
      </c>
      <c r="AA84" s="91">
        <v>-3.49E-2</v>
      </c>
      <c r="AB84" s="91"/>
      <c r="AC84" s="90">
        <v>44768</v>
      </c>
      <c r="AD84" s="91">
        <v>1238.6999510000001</v>
      </c>
      <c r="AE84" s="91">
        <v>1231.5</v>
      </c>
      <c r="AF84" s="91">
        <v>1227.7851559999999</v>
      </c>
      <c r="AG84" s="91">
        <v>331124</v>
      </c>
      <c r="AH84" s="91">
        <v>-8.9999999999999998E-4</v>
      </c>
      <c r="AI84" s="91"/>
      <c r="AJ84" s="91">
        <f>(F84*'Part 3 Portfolio Analysis'!$B$8+M84*'Part 3 Portfolio Analysis'!$C$8+T84*'Part 3 Portfolio Analysis'!$D$8+AA84*'Part 3 Portfolio Analysis'!$E$8+AH84*'Part 3 Portfolio Analysis'!$F$8)/100</f>
        <v>-1.168776316083912E-2</v>
      </c>
      <c r="AK84" s="91">
        <f>'Part 3 Portfolio Analysis'!$B$107*F84+M84*'Part 3 Portfolio Analysis'!$C$107+T84*'Part 3 Portfolio Analysis'!$D$107+AA84*'Part 3 Portfolio Analysis'!$E$107+AH84*'Part 3 Portfolio Analysis'!$F$107</f>
        <v>-7.4162999999999998E-3</v>
      </c>
      <c r="AL84" s="91">
        <f>F84*'Part 3 Portfolio Analysis'!$B$121+M84*'Part 3 Portfolio Analysis'!$C$121+'Part 3 Portfolio Analysis'!$D$121*T84+AA84*'Part 3 Portfolio Analysis'!$E$121+'Part 3 Portfolio Analysis'!$F$121*AH84</f>
        <v>-8.9571200000000007E-3</v>
      </c>
      <c r="AM84" s="91"/>
      <c r="AN84" s="90">
        <v>44768</v>
      </c>
      <c r="AO84" s="91">
        <v>16632.900389999999</v>
      </c>
      <c r="AP84" s="91">
        <v>16483.849610000001</v>
      </c>
      <c r="AQ84" s="91">
        <v>16483.849610000001</v>
      </c>
      <c r="AR84" s="91">
        <v>208200</v>
      </c>
      <c r="AS84" s="91">
        <v>-8.8000000000000005E-3</v>
      </c>
    </row>
    <row r="85" spans="1:45" x14ac:dyDescent="0.55000000000000004">
      <c r="A85" s="90">
        <v>44769</v>
      </c>
      <c r="B85" s="91">
        <v>8361.2998050000006</v>
      </c>
      <c r="C85" s="91">
        <v>8481.4003909999992</v>
      </c>
      <c r="D85" s="91">
        <v>8240.9589840000008</v>
      </c>
      <c r="E85" s="91">
        <v>168885</v>
      </c>
      <c r="F85" s="91">
        <v>1.44E-2</v>
      </c>
      <c r="H85" s="90">
        <v>44769</v>
      </c>
      <c r="I85" s="91">
        <v>1116.806519</v>
      </c>
      <c r="J85" s="91">
        <v>1116.4604489999999</v>
      </c>
      <c r="K85" s="91">
        <v>1100.7651370000001</v>
      </c>
      <c r="L85" s="91">
        <v>8655086</v>
      </c>
      <c r="M85" s="91">
        <v>-8.9999999999999998E-4</v>
      </c>
      <c r="O85" s="90">
        <v>44769</v>
      </c>
      <c r="P85" s="91">
        <v>694.45001219999995</v>
      </c>
      <c r="Q85" s="91">
        <v>702.20001219999995</v>
      </c>
      <c r="R85" s="91">
        <v>675.75201419999996</v>
      </c>
      <c r="S85" s="91">
        <v>9212778</v>
      </c>
      <c r="T85" s="91">
        <v>7.6E-3</v>
      </c>
      <c r="V85" s="90">
        <v>44769</v>
      </c>
      <c r="W85" s="91">
        <v>1451</v>
      </c>
      <c r="X85" s="91">
        <v>1471.0500489999999</v>
      </c>
      <c r="Y85" s="91">
        <v>1334.5555420000001</v>
      </c>
      <c r="Z85" s="91">
        <v>4517285</v>
      </c>
      <c r="AA85" s="91">
        <v>1.37E-2</v>
      </c>
      <c r="AB85" s="91"/>
      <c r="AC85" s="90">
        <v>44769</v>
      </c>
      <c r="AD85" s="91">
        <v>1232</v>
      </c>
      <c r="AE85" s="91">
        <v>1254.400024</v>
      </c>
      <c r="AF85" s="91">
        <v>1250.616211</v>
      </c>
      <c r="AG85" s="91">
        <v>532946</v>
      </c>
      <c r="AH85" s="91">
        <v>1.8599999999999998E-2</v>
      </c>
      <c r="AI85" s="91"/>
      <c r="AJ85" s="91">
        <f>(F85*'Part 3 Portfolio Analysis'!$B$8+M85*'Part 3 Portfolio Analysis'!$C$8+T85*'Part 3 Portfolio Analysis'!$D$8+AA85*'Part 3 Portfolio Analysis'!$E$8+AH85*'Part 3 Portfolio Analysis'!$F$8)/100</f>
        <v>7.6481232118128968E-3</v>
      </c>
      <c r="AK85" s="91">
        <f>'Part 3 Portfolio Analysis'!$B$107*F85+M85*'Part 3 Portfolio Analysis'!$C$107+T85*'Part 3 Portfolio Analysis'!$D$107+AA85*'Part 3 Portfolio Analysis'!$E$107+AH85*'Part 3 Portfolio Analysis'!$F$107</f>
        <v>9.5454999999999984E-3</v>
      </c>
      <c r="AL85" s="91">
        <f>F85*'Part 3 Portfolio Analysis'!$B$121+M85*'Part 3 Portfolio Analysis'!$C$121+'Part 3 Portfolio Analysis'!$D$121*T85+AA85*'Part 3 Portfolio Analysis'!$E$121+'Part 3 Portfolio Analysis'!$F$121*AH85</f>
        <v>6.1005600000000005E-3</v>
      </c>
      <c r="AM85" s="91"/>
      <c r="AN85" s="90">
        <v>44769</v>
      </c>
      <c r="AO85" s="91">
        <v>16475.349610000001</v>
      </c>
      <c r="AP85" s="91">
        <v>16641.800780000001</v>
      </c>
      <c r="AQ85" s="91">
        <v>16641.800780000001</v>
      </c>
      <c r="AR85" s="91">
        <v>185200</v>
      </c>
      <c r="AS85" s="91">
        <v>9.5999999999999992E-3</v>
      </c>
    </row>
    <row r="86" spans="1:45" x14ac:dyDescent="0.55000000000000004">
      <c r="A86" s="90">
        <v>44770</v>
      </c>
      <c r="B86" s="91">
        <v>8545</v>
      </c>
      <c r="C86" s="91">
        <v>8560</v>
      </c>
      <c r="D86" s="91">
        <v>8317.3310550000006</v>
      </c>
      <c r="E86" s="91">
        <v>199445</v>
      </c>
      <c r="F86" s="91">
        <v>9.2999999999999992E-3</v>
      </c>
      <c r="H86" s="90">
        <v>44770</v>
      </c>
      <c r="I86" s="91">
        <v>1124.2136230000001</v>
      </c>
      <c r="J86" s="91">
        <v>1133.951294</v>
      </c>
      <c r="K86" s="91">
        <v>1118.01001</v>
      </c>
      <c r="L86" s="91">
        <v>12496073</v>
      </c>
      <c r="M86" s="91">
        <v>1.5699999999999999E-2</v>
      </c>
      <c r="O86" s="90">
        <v>44770</v>
      </c>
      <c r="P86" s="91">
        <v>707.52502440000001</v>
      </c>
      <c r="Q86" s="91">
        <v>708.42498780000005</v>
      </c>
      <c r="R86" s="91">
        <v>681.74255370000003</v>
      </c>
      <c r="S86" s="91">
        <v>17420406</v>
      </c>
      <c r="T86" s="91">
        <v>8.8999999999999999E-3</v>
      </c>
      <c r="V86" s="90">
        <v>44770</v>
      </c>
      <c r="W86" s="91">
        <v>1496.400024</v>
      </c>
      <c r="X86" s="91">
        <v>1517.400024</v>
      </c>
      <c r="Y86" s="91">
        <v>1376.604736</v>
      </c>
      <c r="Z86" s="91">
        <v>6636841</v>
      </c>
      <c r="AA86" s="91">
        <v>3.15E-2</v>
      </c>
      <c r="AB86" s="91"/>
      <c r="AC86" s="90">
        <v>44770</v>
      </c>
      <c r="AD86" s="91">
        <v>1256</v>
      </c>
      <c r="AE86" s="91">
        <v>1258.8000489999999</v>
      </c>
      <c r="AF86" s="91">
        <v>1255.0029300000001</v>
      </c>
      <c r="AG86" s="91">
        <v>504060</v>
      </c>
      <c r="AH86" s="91">
        <v>3.5000000000000001E-3</v>
      </c>
      <c r="AI86" s="91"/>
      <c r="AJ86" s="91">
        <f>(F86*'Part 3 Portfolio Analysis'!$B$8+M86*'Part 3 Portfolio Analysis'!$C$8+T86*'Part 3 Portfolio Analysis'!$D$8+AA86*'Part 3 Portfolio Analysis'!$E$8+AH86*'Part 3 Portfolio Analysis'!$F$8)/100</f>
        <v>1.5069186160358152E-2</v>
      </c>
      <c r="AK86" s="91">
        <f>'Part 3 Portfolio Analysis'!$B$107*F86+M86*'Part 3 Portfolio Analysis'!$C$107+T86*'Part 3 Portfolio Analysis'!$D$107+AA86*'Part 3 Portfolio Analysis'!$E$107+AH86*'Part 3 Portfolio Analysis'!$F$107</f>
        <v>1.1999599999999999E-2</v>
      </c>
      <c r="AL86" s="91">
        <f>F86*'Part 3 Portfolio Analysis'!$B$121+M86*'Part 3 Portfolio Analysis'!$C$121+'Part 3 Portfolio Analysis'!$D$121*T86+AA86*'Part 3 Portfolio Analysis'!$E$121+'Part 3 Portfolio Analysis'!$F$121*AH86</f>
        <v>1.6164680000000001E-2</v>
      </c>
      <c r="AM86" s="91"/>
      <c r="AN86" s="90">
        <v>44770</v>
      </c>
      <c r="AO86" s="91">
        <v>16774.849610000001</v>
      </c>
      <c r="AP86" s="91">
        <v>16929.599610000001</v>
      </c>
      <c r="AQ86" s="91">
        <v>16929.599610000001</v>
      </c>
      <c r="AR86" s="91">
        <v>376300</v>
      </c>
      <c r="AS86" s="91">
        <v>1.7299999999999999E-2</v>
      </c>
    </row>
    <row r="87" spans="1:45" x14ac:dyDescent="0.55000000000000004">
      <c r="A87" s="90">
        <v>44771</v>
      </c>
      <c r="B87" s="91">
        <v>8620</v>
      </c>
      <c r="C87" s="91">
        <v>8690.0498050000006</v>
      </c>
      <c r="D87" s="91">
        <v>8443.6943360000005</v>
      </c>
      <c r="E87" s="91">
        <v>240863</v>
      </c>
      <c r="F87" s="91">
        <v>1.52E-2</v>
      </c>
      <c r="H87" s="90">
        <v>44771</v>
      </c>
      <c r="I87" s="91">
        <v>1142.0736079999999</v>
      </c>
      <c r="J87" s="91">
        <v>1158.1107179999999</v>
      </c>
      <c r="K87" s="91">
        <v>1141.8298339999999</v>
      </c>
      <c r="L87" s="91">
        <v>15130683</v>
      </c>
      <c r="M87" s="91">
        <v>2.1299999999999999E-2</v>
      </c>
      <c r="O87" s="90">
        <v>44771</v>
      </c>
      <c r="P87" s="91">
        <v>719</v>
      </c>
      <c r="Q87" s="91">
        <v>717.09997559999999</v>
      </c>
      <c r="R87" s="91">
        <v>690.09075929999995</v>
      </c>
      <c r="S87" s="91">
        <v>20019736</v>
      </c>
      <c r="T87" s="91">
        <v>1.2200000000000001E-2</v>
      </c>
      <c r="V87" s="90">
        <v>44771</v>
      </c>
      <c r="W87" s="91">
        <v>1532.8000489999999</v>
      </c>
      <c r="X87" s="91">
        <v>1549.6999510000001</v>
      </c>
      <c r="Y87" s="91">
        <v>1405.907471</v>
      </c>
      <c r="Z87" s="91">
        <v>7009465</v>
      </c>
      <c r="AA87" s="91">
        <v>2.1299999999999999E-2</v>
      </c>
      <c r="AB87" s="91"/>
      <c r="AC87" s="90">
        <v>44771</v>
      </c>
      <c r="AD87" s="91">
        <v>1267.9499510000001</v>
      </c>
      <c r="AE87" s="91">
        <v>1268.599976</v>
      </c>
      <c r="AF87" s="91">
        <v>1264.7733149999999</v>
      </c>
      <c r="AG87" s="91">
        <v>656479</v>
      </c>
      <c r="AH87" s="91">
        <v>7.7999999999999996E-3</v>
      </c>
      <c r="AI87" s="91"/>
      <c r="AJ87" s="91">
        <f>(F87*'Part 3 Portfolio Analysis'!$B$8+M87*'Part 3 Portfolio Analysis'!$C$8+T87*'Part 3 Portfolio Analysis'!$D$8+AA87*'Part 3 Portfolio Analysis'!$E$8+AH87*'Part 3 Portfolio Analysis'!$F$8)/100</f>
        <v>1.7820060869198788E-2</v>
      </c>
      <c r="AK87" s="91">
        <f>'Part 3 Portfolio Analysis'!$B$107*F87+M87*'Part 3 Portfolio Analysis'!$C$107+T87*'Part 3 Portfolio Analysis'!$D$107+AA87*'Part 3 Portfolio Analysis'!$E$107+AH87*'Part 3 Portfolio Analysis'!$F$107</f>
        <v>1.5389499999999999E-2</v>
      </c>
      <c r="AL87" s="91">
        <f>F87*'Part 3 Portfolio Analysis'!$B$121+M87*'Part 3 Portfolio Analysis'!$C$121+'Part 3 Portfolio Analysis'!$D$121*T87+AA87*'Part 3 Portfolio Analysis'!$E$121+'Part 3 Portfolio Analysis'!$F$121*AH87</f>
        <v>1.7969680000000002E-2</v>
      </c>
      <c r="AM87" s="91"/>
      <c r="AN87" s="90">
        <v>44771</v>
      </c>
      <c r="AO87" s="91">
        <v>17079.5</v>
      </c>
      <c r="AP87" s="91">
        <v>17158.25</v>
      </c>
      <c r="AQ87" s="91">
        <v>17158.25</v>
      </c>
      <c r="AR87" s="91">
        <v>436100</v>
      </c>
      <c r="AS87" s="91">
        <v>1.35E-2</v>
      </c>
    </row>
    <row r="88" spans="1:45" x14ac:dyDescent="0.55000000000000004">
      <c r="A88" s="90">
        <v>44774</v>
      </c>
      <c r="B88" s="91">
        <v>8724</v>
      </c>
      <c r="C88" s="91">
        <v>8720.5996090000008</v>
      </c>
      <c r="D88" s="91">
        <v>8473.3779300000006</v>
      </c>
      <c r="E88" s="91">
        <v>245069</v>
      </c>
      <c r="F88" s="91">
        <v>3.5000000000000001E-3</v>
      </c>
      <c r="H88" s="90">
        <v>44774</v>
      </c>
      <c r="I88" s="91">
        <v>1162.58728</v>
      </c>
      <c r="J88" s="91">
        <v>1188.2928469999999</v>
      </c>
      <c r="K88" s="91">
        <v>1171.5876459999999</v>
      </c>
      <c r="L88" s="91">
        <v>15700044</v>
      </c>
      <c r="M88" s="91">
        <v>2.6100000000000002E-2</v>
      </c>
      <c r="O88" s="90">
        <v>44774</v>
      </c>
      <c r="P88" s="91">
        <v>719.5</v>
      </c>
      <c r="Q88" s="91">
        <v>723.07501219999995</v>
      </c>
      <c r="R88" s="91">
        <v>695.84075929999995</v>
      </c>
      <c r="S88" s="91">
        <v>13193036</v>
      </c>
      <c r="T88" s="91">
        <v>8.3000000000000001E-3</v>
      </c>
      <c r="V88" s="90">
        <v>44774</v>
      </c>
      <c r="W88" s="91">
        <v>1564</v>
      </c>
      <c r="X88" s="91">
        <v>1551.0500489999999</v>
      </c>
      <c r="Y88" s="91">
        <v>1407.132568</v>
      </c>
      <c r="Z88" s="91">
        <v>2983249</v>
      </c>
      <c r="AA88" s="91">
        <v>8.9999999999999998E-4</v>
      </c>
      <c r="AB88" s="91"/>
      <c r="AC88" s="90">
        <v>44774</v>
      </c>
      <c r="AD88" s="91">
        <v>1268</v>
      </c>
      <c r="AE88" s="91">
        <v>1301</v>
      </c>
      <c r="AF88" s="91">
        <v>1297.075562</v>
      </c>
      <c r="AG88" s="91">
        <v>793553</v>
      </c>
      <c r="AH88" s="91">
        <v>2.5499999999999998E-2</v>
      </c>
      <c r="AI88" s="91"/>
      <c r="AJ88" s="91">
        <f>(F88*'Part 3 Portfolio Analysis'!$B$8+M88*'Part 3 Portfolio Analysis'!$C$8+T88*'Part 3 Portfolio Analysis'!$D$8+AA88*'Part 3 Portfolio Analysis'!$E$8+AH88*'Part 3 Portfolio Analysis'!$F$8)/100</f>
        <v>1.2289343812890785E-2</v>
      </c>
      <c r="AK88" s="91">
        <f>'Part 3 Portfolio Analysis'!$B$107*F88+M88*'Part 3 Portfolio Analysis'!$C$107+T88*'Part 3 Portfolio Analysis'!$D$107+AA88*'Part 3 Portfolio Analysis'!$E$107+AH88*'Part 3 Portfolio Analysis'!$F$107</f>
        <v>1.66018E-2</v>
      </c>
      <c r="AL88" s="91">
        <f>F88*'Part 3 Portfolio Analysis'!$B$121+M88*'Part 3 Portfolio Analysis'!$C$121+'Part 3 Portfolio Analysis'!$D$121*T88+AA88*'Part 3 Portfolio Analysis'!$E$121+'Part 3 Portfolio Analysis'!$F$121*AH88</f>
        <v>1.434496E-2</v>
      </c>
      <c r="AM88" s="91"/>
      <c r="AN88" s="90">
        <v>44774</v>
      </c>
      <c r="AO88" s="91">
        <v>17243.199219999999</v>
      </c>
      <c r="AP88" s="91">
        <v>17340.050780000001</v>
      </c>
      <c r="AQ88" s="91">
        <v>17340.050780000001</v>
      </c>
      <c r="AR88" s="91">
        <v>381500</v>
      </c>
      <c r="AS88" s="91">
        <v>1.06E-2</v>
      </c>
    </row>
    <row r="89" spans="1:45" x14ac:dyDescent="0.55000000000000004">
      <c r="A89" s="90">
        <v>44775</v>
      </c>
      <c r="B89" s="91">
        <v>8702</v>
      </c>
      <c r="C89" s="91">
        <v>8641.75</v>
      </c>
      <c r="D89" s="91">
        <v>8396.7636719999991</v>
      </c>
      <c r="E89" s="91">
        <v>167283</v>
      </c>
      <c r="F89" s="91">
        <v>-8.9999999999999993E-3</v>
      </c>
      <c r="H89" s="90">
        <v>44775</v>
      </c>
      <c r="I89" s="91">
        <v>1187.208374</v>
      </c>
      <c r="J89" s="91">
        <v>1192.815552</v>
      </c>
      <c r="K89" s="91">
        <v>1176.0467530000001</v>
      </c>
      <c r="L89" s="91">
        <v>13917913</v>
      </c>
      <c r="M89" s="91">
        <v>3.8E-3</v>
      </c>
      <c r="O89" s="90">
        <v>44775</v>
      </c>
      <c r="P89" s="91">
        <v>721</v>
      </c>
      <c r="Q89" s="91">
        <v>715.125</v>
      </c>
      <c r="R89" s="91">
        <v>688.19012450000002</v>
      </c>
      <c r="S89" s="91">
        <v>15036510</v>
      </c>
      <c r="T89" s="91">
        <v>-1.0999999999999999E-2</v>
      </c>
      <c r="V89" s="90">
        <v>44775</v>
      </c>
      <c r="W89" s="91">
        <v>1546.5500489999999</v>
      </c>
      <c r="X89" s="91">
        <v>1543.599976</v>
      </c>
      <c r="Y89" s="91">
        <v>1400.3739009999999</v>
      </c>
      <c r="Z89" s="91">
        <v>4374635</v>
      </c>
      <c r="AA89" s="91">
        <v>-4.7999999999999996E-3</v>
      </c>
      <c r="AB89" s="91"/>
      <c r="AC89" s="90">
        <v>44775</v>
      </c>
      <c r="AD89" s="91">
        <v>1299.900024</v>
      </c>
      <c r="AE89" s="91">
        <v>1308.650024</v>
      </c>
      <c r="AF89" s="91">
        <v>1304.7025149999999</v>
      </c>
      <c r="AG89" s="91">
        <v>502117</v>
      </c>
      <c r="AH89" s="91">
        <v>5.8999999999999999E-3</v>
      </c>
      <c r="AI89" s="91"/>
      <c r="AJ89" s="91">
        <f>(F89*'Part 3 Portfolio Analysis'!$B$8+M89*'Part 3 Portfolio Analysis'!$C$8+T89*'Part 3 Portfolio Analysis'!$D$8+AA89*'Part 3 Portfolio Analysis'!$E$8+AH89*'Part 3 Portfolio Analysis'!$F$8)/100</f>
        <v>-3.8723321142056706E-3</v>
      </c>
      <c r="AK89" s="91">
        <f>'Part 3 Portfolio Analysis'!$B$107*F89+M89*'Part 3 Portfolio Analysis'!$C$107+T89*'Part 3 Portfolio Analysis'!$D$107+AA89*'Part 3 Portfolio Analysis'!$E$107+AH89*'Part 3 Portfolio Analysis'!$F$107</f>
        <v>-1.1287999999999997E-3</v>
      </c>
      <c r="AL89" s="91">
        <f>F89*'Part 3 Portfolio Analysis'!$B$121+M89*'Part 3 Portfolio Analysis'!$C$121+'Part 3 Portfolio Analysis'!$D$121*T89+AA89*'Part 3 Portfolio Analysis'!$E$121+'Part 3 Portfolio Analysis'!$F$121*AH89</f>
        <v>-2.9427399999999997E-3</v>
      </c>
      <c r="AM89" s="91"/>
      <c r="AN89" s="90">
        <v>44775</v>
      </c>
      <c r="AO89" s="91">
        <v>17310.150389999999</v>
      </c>
      <c r="AP89" s="91">
        <v>17345.449219999999</v>
      </c>
      <c r="AQ89" s="91">
        <v>17345.449219999999</v>
      </c>
      <c r="AR89" s="91">
        <v>333600</v>
      </c>
      <c r="AS89" s="91">
        <v>2.9999999999999997E-4</v>
      </c>
    </row>
    <row r="90" spans="1:45" x14ac:dyDescent="0.55000000000000004">
      <c r="A90" s="90">
        <v>44776</v>
      </c>
      <c r="B90" s="91">
        <v>8625</v>
      </c>
      <c r="C90" s="91">
        <v>8840.2998050000006</v>
      </c>
      <c r="D90" s="91">
        <v>8589.6845699999994</v>
      </c>
      <c r="E90" s="91">
        <v>408450</v>
      </c>
      <c r="F90" s="91">
        <v>2.3E-2</v>
      </c>
      <c r="H90" s="90">
        <v>44776</v>
      </c>
      <c r="I90" s="91">
        <v>1199.8995359999999</v>
      </c>
      <c r="J90" s="91">
        <v>1202.830078</v>
      </c>
      <c r="K90" s="91">
        <v>1185.9205320000001</v>
      </c>
      <c r="L90" s="91">
        <v>14250977</v>
      </c>
      <c r="M90" s="91">
        <v>8.3999999999999995E-3</v>
      </c>
      <c r="O90" s="90">
        <v>44776</v>
      </c>
      <c r="P90" s="91">
        <v>712.47497559999999</v>
      </c>
      <c r="Q90" s="91">
        <v>716.79998780000005</v>
      </c>
      <c r="R90" s="91">
        <v>689.80212400000005</v>
      </c>
      <c r="S90" s="91">
        <v>10975498</v>
      </c>
      <c r="T90" s="91">
        <v>2.3E-3</v>
      </c>
      <c r="V90" s="90">
        <v>44776</v>
      </c>
      <c r="W90" s="91">
        <v>1549</v>
      </c>
      <c r="X90" s="91">
        <v>1566.099976</v>
      </c>
      <c r="Y90" s="91">
        <v>1420.785889</v>
      </c>
      <c r="Z90" s="91">
        <v>6011955</v>
      </c>
      <c r="AA90" s="91">
        <v>1.46E-2</v>
      </c>
      <c r="AB90" s="91"/>
      <c r="AC90" s="90">
        <v>44776</v>
      </c>
      <c r="AD90" s="91">
        <v>1311</v>
      </c>
      <c r="AE90" s="91">
        <v>1308.75</v>
      </c>
      <c r="AF90" s="91">
        <v>1304.802246</v>
      </c>
      <c r="AG90" s="91">
        <v>393606</v>
      </c>
      <c r="AH90" s="91">
        <v>1E-4</v>
      </c>
      <c r="AI90" s="91"/>
      <c r="AJ90" s="91">
        <f>(F90*'Part 3 Portfolio Analysis'!$B$8+M90*'Part 3 Portfolio Analysis'!$C$8+T90*'Part 3 Portfolio Analysis'!$D$8+AA90*'Part 3 Portfolio Analysis'!$E$8+AH90*'Part 3 Portfolio Analysis'!$F$8)/100</f>
        <v>1.2679109807220897E-2</v>
      </c>
      <c r="AK90" s="91">
        <f>'Part 3 Portfolio Analysis'!$B$107*F90+M90*'Part 3 Portfolio Analysis'!$C$107+T90*'Part 3 Portfolio Analysis'!$D$107+AA90*'Part 3 Portfolio Analysis'!$E$107+AH90*'Part 3 Portfolio Analysis'!$F$107</f>
        <v>8.6108999999999995E-3</v>
      </c>
      <c r="AL90" s="91">
        <f>F90*'Part 3 Portfolio Analysis'!$B$121+M90*'Part 3 Portfolio Analysis'!$C$121+'Part 3 Portfolio Analysis'!$D$121*T90+AA90*'Part 3 Portfolio Analysis'!$E$121+'Part 3 Portfolio Analysis'!$F$121*AH90</f>
        <v>8.9634599999999995E-3</v>
      </c>
      <c r="AM90" s="91"/>
      <c r="AN90" s="90">
        <v>44776</v>
      </c>
      <c r="AO90" s="91">
        <v>17349.25</v>
      </c>
      <c r="AP90" s="91">
        <v>17388.150389999999</v>
      </c>
      <c r="AQ90" s="91">
        <v>17388.150389999999</v>
      </c>
      <c r="AR90" s="91">
        <v>285400</v>
      </c>
      <c r="AS90" s="91">
        <v>2.5000000000000001E-3</v>
      </c>
    </row>
    <row r="91" spans="1:45" x14ac:dyDescent="0.55000000000000004">
      <c r="A91" s="90">
        <v>44777</v>
      </c>
      <c r="B91" s="91">
        <v>8895</v>
      </c>
      <c r="C91" s="91">
        <v>8956.7001949999994</v>
      </c>
      <c r="D91" s="91">
        <v>8702.7851559999999</v>
      </c>
      <c r="E91" s="91">
        <v>422086</v>
      </c>
      <c r="F91" s="91">
        <v>1.32E-2</v>
      </c>
      <c r="H91" s="90">
        <v>44777</v>
      </c>
      <c r="I91" s="91">
        <v>1204.5145259999999</v>
      </c>
      <c r="J91" s="91">
        <v>1186.9313959999999</v>
      </c>
      <c r="K91" s="91">
        <v>1170.2454829999999</v>
      </c>
      <c r="L91" s="91">
        <v>14467127</v>
      </c>
      <c r="M91" s="91">
        <v>-1.32E-2</v>
      </c>
      <c r="O91" s="90">
        <v>44777</v>
      </c>
      <c r="P91" s="91">
        <v>720</v>
      </c>
      <c r="Q91" s="91">
        <v>715.95001219999995</v>
      </c>
      <c r="R91" s="91">
        <v>688.98413089999997</v>
      </c>
      <c r="S91" s="91">
        <v>12012206</v>
      </c>
      <c r="T91" s="91">
        <v>-1.1999999999999999E-3</v>
      </c>
      <c r="V91" s="90">
        <v>44777</v>
      </c>
      <c r="W91" s="91">
        <v>1587.5</v>
      </c>
      <c r="X91" s="91">
        <v>1599.900024</v>
      </c>
      <c r="Y91" s="91">
        <v>1451.449707</v>
      </c>
      <c r="Z91" s="91">
        <v>7402209</v>
      </c>
      <c r="AA91" s="91">
        <v>2.1600000000000001E-2</v>
      </c>
      <c r="AB91" s="91"/>
      <c r="AC91" s="90">
        <v>44777</v>
      </c>
      <c r="AD91" s="91">
        <v>1325</v>
      </c>
      <c r="AE91" s="91">
        <v>1316.75</v>
      </c>
      <c r="AF91" s="91">
        <v>1312.7780760000001</v>
      </c>
      <c r="AG91" s="91">
        <v>393725</v>
      </c>
      <c r="AH91" s="91">
        <v>6.1000000000000004E-3</v>
      </c>
      <c r="AI91" s="91"/>
      <c r="AJ91" s="91">
        <f>(F91*'Part 3 Portfolio Analysis'!$B$8+M91*'Part 3 Portfolio Analysis'!$C$8+T91*'Part 3 Portfolio Analysis'!$D$8+AA91*'Part 3 Portfolio Analysis'!$E$8+AH91*'Part 3 Portfolio Analysis'!$F$8)/100</f>
        <v>2.5108710558168672E-3</v>
      </c>
      <c r="AK91" s="91">
        <f>'Part 3 Portfolio Analysis'!$B$107*F91+M91*'Part 3 Portfolio Analysis'!$C$107+T91*'Part 3 Portfolio Analysis'!$D$107+AA91*'Part 3 Portfolio Analysis'!$E$107+AH91*'Part 3 Portfolio Analysis'!$F$107</f>
        <v>1.7556000000000002E-3</v>
      </c>
      <c r="AL91" s="91">
        <f>F91*'Part 3 Portfolio Analysis'!$B$121+M91*'Part 3 Portfolio Analysis'!$C$121+'Part 3 Portfolio Analysis'!$D$121*T91+AA91*'Part 3 Portfolio Analysis'!$E$121+'Part 3 Portfolio Analysis'!$F$121*AH91</f>
        <v>-3.0025999999999984E-4</v>
      </c>
      <c r="AM91" s="91"/>
      <c r="AN91" s="90">
        <v>44777</v>
      </c>
      <c r="AO91" s="91">
        <v>17463.099610000001</v>
      </c>
      <c r="AP91" s="91">
        <v>17382</v>
      </c>
      <c r="AQ91" s="91">
        <v>17382</v>
      </c>
      <c r="AR91" s="91">
        <v>325000</v>
      </c>
      <c r="AS91" s="91">
        <v>-4.0000000000000002E-4</v>
      </c>
    </row>
    <row r="92" spans="1:45" x14ac:dyDescent="0.55000000000000004">
      <c r="A92" s="90">
        <v>44778</v>
      </c>
      <c r="B92" s="91">
        <v>8953</v>
      </c>
      <c r="C92" s="91">
        <v>9308.5996090000008</v>
      </c>
      <c r="D92" s="91">
        <v>9044.7089840000008</v>
      </c>
      <c r="E92" s="91">
        <v>1150442</v>
      </c>
      <c r="F92" s="91">
        <v>3.9300000000000002E-2</v>
      </c>
      <c r="H92" s="90">
        <v>44778</v>
      </c>
      <c r="I92" s="91">
        <v>1188.8236079999999</v>
      </c>
      <c r="J92" s="91">
        <v>1169.440552</v>
      </c>
      <c r="K92" s="91">
        <v>1153.0004879999999</v>
      </c>
      <c r="L92" s="91">
        <v>13942438</v>
      </c>
      <c r="M92" s="91">
        <v>-1.47E-2</v>
      </c>
      <c r="O92" s="90">
        <v>44778</v>
      </c>
      <c r="P92" s="91">
        <v>716.5</v>
      </c>
      <c r="Q92" s="91">
        <v>713.52502440000001</v>
      </c>
      <c r="R92" s="91">
        <v>686.65051270000004</v>
      </c>
      <c r="S92" s="91">
        <v>9268982</v>
      </c>
      <c r="T92" s="91">
        <v>-3.3999999999999998E-3</v>
      </c>
      <c r="V92" s="90">
        <v>44778</v>
      </c>
      <c r="W92" s="91">
        <v>1608.400024</v>
      </c>
      <c r="X92" s="91">
        <v>1616.650024</v>
      </c>
      <c r="Y92" s="91">
        <v>1466.6457519999999</v>
      </c>
      <c r="Z92" s="91">
        <v>5361971</v>
      </c>
      <c r="AA92" s="91">
        <v>1.0500000000000001E-2</v>
      </c>
      <c r="AB92" s="91"/>
      <c r="AC92" s="90">
        <v>44778</v>
      </c>
      <c r="AD92" s="91">
        <v>1320</v>
      </c>
      <c r="AE92" s="91">
        <v>1315.900024</v>
      </c>
      <c r="AF92" s="91">
        <v>1311.930664</v>
      </c>
      <c r="AG92" s="91">
        <v>242951</v>
      </c>
      <c r="AH92" s="91">
        <v>-5.9999999999999995E-4</v>
      </c>
      <c r="AI92" s="91"/>
      <c r="AJ92" s="91">
        <f>(F92*'Part 3 Portfolio Analysis'!$B$8+M92*'Part 3 Portfolio Analysis'!$C$8+T92*'Part 3 Portfolio Analysis'!$D$8+AA92*'Part 3 Portfolio Analysis'!$E$8+AH92*'Part 3 Portfolio Analysis'!$F$8)/100</f>
        <v>7.5783171911531144E-3</v>
      </c>
      <c r="AK92" s="91">
        <f>'Part 3 Portfolio Analysis'!$B$107*F92+M92*'Part 3 Portfolio Analysis'!$C$107+T92*'Part 3 Portfolio Analysis'!$D$107+AA92*'Part 3 Portfolio Analysis'!$E$107+AH92*'Part 3 Portfolio Analysis'!$F$107</f>
        <v>2.8447000000000012E-3</v>
      </c>
      <c r="AL92" s="91">
        <f>F92*'Part 3 Portfolio Analysis'!$B$121+M92*'Part 3 Portfolio Analysis'!$C$121+'Part 3 Portfolio Analysis'!$D$121*T92+AA92*'Part 3 Portfolio Analysis'!$E$121+'Part 3 Portfolio Analysis'!$F$121*AH92</f>
        <v>-1.7781799999999988E-3</v>
      </c>
      <c r="AM92" s="91"/>
      <c r="AN92" s="90">
        <v>44778</v>
      </c>
      <c r="AO92" s="91">
        <v>17423.650389999999</v>
      </c>
      <c r="AP92" s="91">
        <v>17397.5</v>
      </c>
      <c r="AQ92" s="91">
        <v>17397.5</v>
      </c>
      <c r="AR92" s="91">
        <v>355300</v>
      </c>
      <c r="AS92" s="91">
        <v>8.9999999999999998E-4</v>
      </c>
    </row>
    <row r="93" spans="1:45" x14ac:dyDescent="0.55000000000000004">
      <c r="A93" s="90">
        <v>44781</v>
      </c>
      <c r="B93" s="91">
        <v>9321.2001949999994</v>
      </c>
      <c r="C93" s="91">
        <v>9555.2001949999994</v>
      </c>
      <c r="D93" s="91">
        <v>9284.3183590000008</v>
      </c>
      <c r="E93" s="91">
        <v>643666</v>
      </c>
      <c r="F93" s="91">
        <v>2.6499999999999999E-2</v>
      </c>
      <c r="H93" s="90">
        <v>44781</v>
      </c>
      <c r="I93" s="91">
        <v>1168.05603</v>
      </c>
      <c r="J93" s="91">
        <v>1184.7392580000001</v>
      </c>
      <c r="K93" s="91">
        <v>1168.084106</v>
      </c>
      <c r="L93" s="91">
        <v>10165178</v>
      </c>
      <c r="M93" s="91">
        <v>1.3100000000000001E-2</v>
      </c>
      <c r="O93" s="90">
        <v>44781</v>
      </c>
      <c r="P93" s="91">
        <v>714</v>
      </c>
      <c r="Q93" s="91">
        <v>731.02502440000001</v>
      </c>
      <c r="R93" s="91">
        <v>703.49133300000005</v>
      </c>
      <c r="S93" s="91">
        <v>15357736</v>
      </c>
      <c r="T93" s="91">
        <v>2.4500000000000001E-2</v>
      </c>
      <c r="V93" s="90">
        <v>44781</v>
      </c>
      <c r="W93" s="91">
        <v>1617</v>
      </c>
      <c r="X93" s="91">
        <v>1619.400024</v>
      </c>
      <c r="Y93" s="91">
        <v>1469.1405030000001</v>
      </c>
      <c r="Z93" s="91">
        <v>3763409</v>
      </c>
      <c r="AA93" s="91">
        <v>1.6999999999999999E-3</v>
      </c>
      <c r="AB93" s="91"/>
      <c r="AC93" s="90">
        <v>44781</v>
      </c>
      <c r="AD93" s="91">
        <v>1315.900024</v>
      </c>
      <c r="AE93" s="91">
        <v>1318.650024</v>
      </c>
      <c r="AF93" s="91">
        <v>1314.6723629999999</v>
      </c>
      <c r="AG93" s="91">
        <v>438066</v>
      </c>
      <c r="AH93" s="91">
        <v>2.0999999999999999E-3</v>
      </c>
      <c r="AI93" s="91"/>
      <c r="AJ93" s="91">
        <f>(F93*'Part 3 Portfolio Analysis'!$B$8+M93*'Part 3 Portfolio Analysis'!$C$8+T93*'Part 3 Portfolio Analysis'!$D$8+AA93*'Part 3 Portfolio Analysis'!$E$8+AH93*'Part 3 Portfolio Analysis'!$F$8)/100</f>
        <v>1.7079512523303645E-2</v>
      </c>
      <c r="AK93" s="91">
        <f>'Part 3 Portfolio Analysis'!$B$107*F93+M93*'Part 3 Portfolio Analysis'!$C$107+T93*'Part 3 Portfolio Analysis'!$D$107+AA93*'Part 3 Portfolio Analysis'!$E$107+AH93*'Part 3 Portfolio Analysis'!$F$107</f>
        <v>1.3367000000000002E-2</v>
      </c>
      <c r="AL93" s="91">
        <f>F93*'Part 3 Portfolio Analysis'!$B$121+M93*'Part 3 Portfolio Analysis'!$C$121+'Part 3 Portfolio Analysis'!$D$121*T93+AA93*'Part 3 Portfolio Analysis'!$E$121+'Part 3 Portfolio Analysis'!$F$121*AH93</f>
        <v>1.473408E-2</v>
      </c>
      <c r="AM93" s="91"/>
      <c r="AN93" s="90">
        <v>44781</v>
      </c>
      <c r="AO93" s="91">
        <v>17401.5</v>
      </c>
      <c r="AP93" s="91">
        <v>17525.099610000001</v>
      </c>
      <c r="AQ93" s="91">
        <v>17525.099610000001</v>
      </c>
      <c r="AR93" s="91">
        <v>257000</v>
      </c>
      <c r="AS93" s="91">
        <v>7.3000000000000001E-3</v>
      </c>
    </row>
    <row r="94" spans="1:45" x14ac:dyDescent="0.55000000000000004">
      <c r="A94" s="90">
        <v>44783</v>
      </c>
      <c r="B94" s="91">
        <v>9649</v>
      </c>
      <c r="C94" s="91">
        <v>9461.5</v>
      </c>
      <c r="D94" s="91">
        <v>9193.2744139999995</v>
      </c>
      <c r="E94" s="91">
        <v>366217</v>
      </c>
      <c r="F94" s="91">
        <v>-9.7999999999999997E-3</v>
      </c>
      <c r="H94" s="90">
        <v>44783</v>
      </c>
      <c r="I94" s="91">
        <v>1189.2388920000001</v>
      </c>
      <c r="J94" s="91">
        <v>1191.8233640000001</v>
      </c>
      <c r="K94" s="91">
        <v>1175.068726</v>
      </c>
      <c r="L94" s="91">
        <v>10724688</v>
      </c>
      <c r="M94" s="91">
        <v>6.0000000000000001E-3</v>
      </c>
      <c r="O94" s="90">
        <v>44783</v>
      </c>
      <c r="P94" s="91">
        <v>730.67498780000005</v>
      </c>
      <c r="Q94" s="91">
        <v>733.15002440000001</v>
      </c>
      <c r="R94" s="91">
        <v>705.53631589999998</v>
      </c>
      <c r="S94" s="91">
        <v>17353102</v>
      </c>
      <c r="T94" s="91">
        <v>2.8999999999999998E-3</v>
      </c>
      <c r="V94" s="90">
        <v>44783</v>
      </c>
      <c r="W94" s="91">
        <v>1621.1999510000001</v>
      </c>
      <c r="X94" s="91">
        <v>1602.4499510000001</v>
      </c>
      <c r="Y94" s="91">
        <v>1453.763062</v>
      </c>
      <c r="Z94" s="91">
        <v>4423829</v>
      </c>
      <c r="AA94" s="91">
        <v>-1.0500000000000001E-2</v>
      </c>
      <c r="AB94" s="91"/>
      <c r="AC94" s="90">
        <v>44783</v>
      </c>
      <c r="AD94" s="91">
        <v>1319.4499510000001</v>
      </c>
      <c r="AE94" s="91">
        <v>1311.25</v>
      </c>
      <c r="AF94" s="91">
        <v>1307.294678</v>
      </c>
      <c r="AG94" s="91">
        <v>313632</v>
      </c>
      <c r="AH94" s="91">
        <v>-5.5999999999999999E-3</v>
      </c>
      <c r="AI94" s="91"/>
      <c r="AJ94" s="91">
        <f>(F94*'Part 3 Portfolio Analysis'!$B$8+M94*'Part 3 Portfolio Analysis'!$C$8+T94*'Part 3 Portfolio Analysis'!$D$8+AA94*'Part 3 Portfolio Analysis'!$E$8+AH94*'Part 3 Portfolio Analysis'!$F$8)/100</f>
        <v>-2.0258969975166991E-3</v>
      </c>
      <c r="AK94" s="91">
        <f>'Part 3 Portfolio Analysis'!$B$107*F94+M94*'Part 3 Portfolio Analysis'!$C$107+T94*'Part 3 Portfolio Analysis'!$D$107+AA94*'Part 3 Portfolio Analysis'!$E$107+AH94*'Part 3 Portfolio Analysis'!$F$107</f>
        <v>-1.8977E-3</v>
      </c>
      <c r="AL94" s="91">
        <f>F94*'Part 3 Portfolio Analysis'!$B$121+M94*'Part 3 Portfolio Analysis'!$C$121+'Part 3 Portfolio Analysis'!$D$121*T94+AA94*'Part 3 Portfolio Analysis'!$E$121+'Part 3 Portfolio Analysis'!$F$121*AH94</f>
        <v>2.5411999999999993E-4</v>
      </c>
      <c r="AM94" s="91"/>
      <c r="AN94" s="90">
        <v>44783</v>
      </c>
      <c r="AO94" s="91">
        <v>17566.099610000001</v>
      </c>
      <c r="AP94" s="91">
        <v>17534.75</v>
      </c>
      <c r="AQ94" s="91">
        <v>17534.75</v>
      </c>
      <c r="AR94" s="91">
        <v>312700</v>
      </c>
      <c r="AS94" s="91">
        <v>5.9999999999999995E-4</v>
      </c>
    </row>
    <row r="95" spans="1:45" x14ac:dyDescent="0.55000000000000004">
      <c r="A95" s="90">
        <v>44784</v>
      </c>
      <c r="B95" s="91">
        <v>9501.25</v>
      </c>
      <c r="C95" s="91">
        <v>9498.6503909999992</v>
      </c>
      <c r="D95" s="91">
        <v>9229.3720699999994</v>
      </c>
      <c r="E95" s="91">
        <v>241351</v>
      </c>
      <c r="F95" s="91">
        <v>3.8999999999999998E-3</v>
      </c>
      <c r="H95" s="90">
        <v>44784</v>
      </c>
      <c r="I95" s="91">
        <v>1201.3302000000001</v>
      </c>
      <c r="J95" s="91">
        <v>1195.792236</v>
      </c>
      <c r="K95" s="91">
        <v>1178.981689</v>
      </c>
      <c r="L95" s="91">
        <v>8198226</v>
      </c>
      <c r="M95" s="91">
        <v>3.3E-3</v>
      </c>
      <c r="O95" s="90">
        <v>44784</v>
      </c>
      <c r="P95" s="91">
        <v>743.25</v>
      </c>
      <c r="Q95" s="91">
        <v>742.84997559999999</v>
      </c>
      <c r="R95" s="91">
        <v>714.87097170000004</v>
      </c>
      <c r="S95" s="91">
        <v>18301766</v>
      </c>
      <c r="T95" s="91">
        <v>1.32E-2</v>
      </c>
      <c r="V95" s="90">
        <v>44784</v>
      </c>
      <c r="W95" s="91">
        <v>1630</v>
      </c>
      <c r="X95" s="91">
        <v>1619.9499510000001</v>
      </c>
      <c r="Y95" s="91">
        <v>1469.639404</v>
      </c>
      <c r="Z95" s="91">
        <v>3462090</v>
      </c>
      <c r="AA95" s="91">
        <v>1.09E-2</v>
      </c>
      <c r="AB95" s="91"/>
      <c r="AC95" s="90">
        <v>44784</v>
      </c>
      <c r="AD95" s="91">
        <v>1329</v>
      </c>
      <c r="AE95" s="91">
        <v>1340.150024</v>
      </c>
      <c r="AF95" s="91">
        <v>1336.107544</v>
      </c>
      <c r="AG95" s="91">
        <v>1702218</v>
      </c>
      <c r="AH95" s="91">
        <v>2.1999999999999999E-2</v>
      </c>
      <c r="AI95" s="91"/>
      <c r="AJ95" s="91">
        <f>(F95*'Part 3 Portfolio Analysis'!$B$8+M95*'Part 3 Portfolio Analysis'!$C$8+T95*'Part 3 Portfolio Analysis'!$D$8+AA95*'Part 3 Portfolio Analysis'!$E$8+AH95*'Part 3 Portfolio Analysis'!$F$8)/100</f>
        <v>6.5373071257212676E-3</v>
      </c>
      <c r="AK95" s="91">
        <f>'Part 3 Portfolio Analysis'!$B$107*F95+M95*'Part 3 Portfolio Analysis'!$C$107+T95*'Part 3 Portfolio Analysis'!$D$107+AA95*'Part 3 Portfolio Analysis'!$E$107+AH95*'Part 3 Portfolio Analysis'!$F$107</f>
        <v>1.04149E-2</v>
      </c>
      <c r="AL95" s="91">
        <f>F95*'Part 3 Portfolio Analysis'!$B$121+M95*'Part 3 Portfolio Analysis'!$C$121+'Part 3 Portfolio Analysis'!$D$121*T95+AA95*'Part 3 Portfolio Analysis'!$E$121+'Part 3 Portfolio Analysis'!$F$121*AH95</f>
        <v>8.0520599999999998E-3</v>
      </c>
      <c r="AM95" s="91"/>
      <c r="AN95" s="90">
        <v>44784</v>
      </c>
      <c r="AO95" s="91">
        <v>17711.650389999999</v>
      </c>
      <c r="AP95" s="91">
        <v>17659</v>
      </c>
      <c r="AQ95" s="91">
        <v>17659</v>
      </c>
      <c r="AR95" s="91">
        <v>311200</v>
      </c>
      <c r="AS95" s="91">
        <v>7.1000000000000004E-3</v>
      </c>
    </row>
    <row r="96" spans="1:45" x14ac:dyDescent="0.55000000000000004">
      <c r="A96" s="90">
        <v>44785</v>
      </c>
      <c r="B96" s="91">
        <v>9500</v>
      </c>
      <c r="C96" s="91">
        <v>10238.049800000001</v>
      </c>
      <c r="D96" s="91">
        <v>9947.8095699999994</v>
      </c>
      <c r="E96" s="91">
        <v>1945184</v>
      </c>
      <c r="F96" s="91">
        <v>7.7799999999999994E-2</v>
      </c>
      <c r="H96" s="90">
        <v>44785</v>
      </c>
      <c r="I96" s="91">
        <v>1195.4229740000001</v>
      </c>
      <c r="J96" s="91">
        <v>1215.1290280000001</v>
      </c>
      <c r="K96" s="91">
        <v>1198.0466309999999</v>
      </c>
      <c r="L96" s="91">
        <v>12650587</v>
      </c>
      <c r="M96" s="91">
        <v>1.6199999999999999E-2</v>
      </c>
      <c r="O96" s="90">
        <v>44785</v>
      </c>
      <c r="P96" s="91">
        <v>742.5</v>
      </c>
      <c r="Q96" s="91">
        <v>742.57501219999995</v>
      </c>
      <c r="R96" s="91">
        <v>714.60632320000002</v>
      </c>
      <c r="S96" s="91">
        <v>8850370</v>
      </c>
      <c r="T96" s="91">
        <v>-4.0000000000000002E-4</v>
      </c>
      <c r="V96" s="90">
        <v>44785</v>
      </c>
      <c r="W96" s="91">
        <v>1613.3000489999999</v>
      </c>
      <c r="X96" s="91">
        <v>1594.099976</v>
      </c>
      <c r="Y96" s="91">
        <v>1446.1879879999999</v>
      </c>
      <c r="Z96" s="91">
        <v>3562286</v>
      </c>
      <c r="AA96" s="91">
        <v>-1.6E-2</v>
      </c>
      <c r="AB96" s="91"/>
      <c r="AC96" s="90">
        <v>44785</v>
      </c>
      <c r="AD96" s="91">
        <v>1347</v>
      </c>
      <c r="AE96" s="91">
        <v>1382.75</v>
      </c>
      <c r="AF96" s="91">
        <v>1378.5789789999999</v>
      </c>
      <c r="AG96" s="91">
        <v>1159339</v>
      </c>
      <c r="AH96" s="91">
        <v>3.1800000000000002E-2</v>
      </c>
      <c r="AI96" s="91"/>
      <c r="AJ96" s="91">
        <f>(F96*'Part 3 Portfolio Analysis'!$B$8+M96*'Part 3 Portfolio Analysis'!$C$8+T96*'Part 3 Portfolio Analysis'!$D$8+AA96*'Part 3 Portfolio Analysis'!$E$8+AH96*'Part 3 Portfolio Analysis'!$F$8)/100</f>
        <v>2.6881316332387377E-2</v>
      </c>
      <c r="AK96" s="91">
        <f>'Part 3 Portfolio Analysis'!$B$107*F96+M96*'Part 3 Portfolio Analysis'!$C$107+T96*'Part 3 Portfolio Analysis'!$D$107+AA96*'Part 3 Portfolio Analysis'!$E$107+AH96*'Part 3 Portfolio Analysis'!$F$107</f>
        <v>2.5426199999999996E-2</v>
      </c>
      <c r="AL96" s="91">
        <f>F96*'Part 3 Portfolio Analysis'!$B$121+M96*'Part 3 Portfolio Analysis'!$C$121+'Part 3 Portfolio Analysis'!$D$121*T96+AA96*'Part 3 Portfolio Analysis'!$E$121+'Part 3 Portfolio Analysis'!$F$121*AH96</f>
        <v>1.0717039999999999E-2</v>
      </c>
      <c r="AM96" s="91"/>
      <c r="AN96" s="90">
        <v>44785</v>
      </c>
      <c r="AO96" s="91">
        <v>17659.650389999999</v>
      </c>
      <c r="AP96" s="91">
        <v>17698.150389999999</v>
      </c>
      <c r="AQ96" s="91">
        <v>17698.150389999999</v>
      </c>
      <c r="AR96" s="91">
        <v>303900</v>
      </c>
      <c r="AS96" s="91">
        <v>2.2000000000000001E-3</v>
      </c>
    </row>
    <row r="97" spans="1:45" x14ac:dyDescent="0.55000000000000004">
      <c r="A97" s="90">
        <v>44789</v>
      </c>
      <c r="B97" s="91">
        <v>10430</v>
      </c>
      <c r="C97" s="91">
        <v>10579.099609999999</v>
      </c>
      <c r="D97" s="91">
        <v>10279.191409999999</v>
      </c>
      <c r="E97" s="91">
        <v>885284</v>
      </c>
      <c r="F97" s="91">
        <v>3.3300000000000003E-2</v>
      </c>
      <c r="H97" s="90">
        <v>44789</v>
      </c>
      <c r="I97" s="91">
        <v>1221.2208250000001</v>
      </c>
      <c r="J97" s="91">
        <v>1223.5744629999999</v>
      </c>
      <c r="K97" s="91">
        <v>1206.373413</v>
      </c>
      <c r="L97" s="91">
        <v>6607378</v>
      </c>
      <c r="M97" s="91">
        <v>7.0000000000000001E-3</v>
      </c>
      <c r="O97" s="90">
        <v>44789</v>
      </c>
      <c r="P97" s="91">
        <v>747.40002440000001</v>
      </c>
      <c r="Q97" s="91">
        <v>751.07501219999995</v>
      </c>
      <c r="R97" s="91">
        <v>722.78613280000002</v>
      </c>
      <c r="S97" s="91">
        <v>12563756</v>
      </c>
      <c r="T97" s="91">
        <v>1.14E-2</v>
      </c>
      <c r="V97" s="90">
        <v>44789</v>
      </c>
      <c r="W97" s="91">
        <v>1609</v>
      </c>
      <c r="X97" s="91">
        <v>1596.4499510000001</v>
      </c>
      <c r="Y97" s="91">
        <v>1448.3198239999999</v>
      </c>
      <c r="Z97" s="91">
        <v>3004430</v>
      </c>
      <c r="AA97" s="91">
        <v>1.5E-3</v>
      </c>
      <c r="AB97" s="91"/>
      <c r="AC97" s="90">
        <v>44789</v>
      </c>
      <c r="AD97" s="91">
        <v>1390.599976</v>
      </c>
      <c r="AE97" s="91">
        <v>1409.9499510000001</v>
      </c>
      <c r="AF97" s="91">
        <v>1405.696899</v>
      </c>
      <c r="AG97" s="91">
        <v>1476050</v>
      </c>
      <c r="AH97" s="91">
        <v>1.9699999999999999E-2</v>
      </c>
      <c r="AI97" s="91"/>
      <c r="AJ97" s="91">
        <f>(F97*'Part 3 Portfolio Analysis'!$B$8+M97*'Part 3 Portfolio Analysis'!$C$8+T97*'Part 3 Portfolio Analysis'!$D$8+AA97*'Part 3 Portfolio Analysis'!$E$8+AH97*'Part 3 Portfolio Analysis'!$F$8)/100</f>
        <v>1.4862965926907556E-2</v>
      </c>
      <c r="AK97" s="91">
        <f>'Part 3 Portfolio Analysis'!$B$107*F97+M97*'Part 3 Portfolio Analysis'!$C$107+T97*'Part 3 Portfolio Analysis'!$D$107+AA97*'Part 3 Portfolio Analysis'!$E$107+AH97*'Part 3 Portfolio Analysis'!$F$107</f>
        <v>1.5066400000000001E-2</v>
      </c>
      <c r="AL97" s="91">
        <f>F97*'Part 3 Portfolio Analysis'!$B$121+M97*'Part 3 Portfolio Analysis'!$C$121+'Part 3 Portfolio Analysis'!$D$121*T97+AA97*'Part 3 Portfolio Analysis'!$E$121+'Part 3 Portfolio Analysis'!$F$121*AH97</f>
        <v>9.5913999999999999E-3</v>
      </c>
      <c r="AM97" s="91"/>
      <c r="AN97" s="90">
        <v>44789</v>
      </c>
      <c r="AO97" s="91">
        <v>17797.199219999999</v>
      </c>
      <c r="AP97" s="91">
        <v>17825.25</v>
      </c>
      <c r="AQ97" s="91">
        <v>17825.25</v>
      </c>
      <c r="AR97" s="91">
        <v>0</v>
      </c>
      <c r="AS97" s="91">
        <v>7.1999999999999998E-3</v>
      </c>
    </row>
    <row r="98" spans="1:45" x14ac:dyDescent="0.55000000000000004">
      <c r="A98" s="90">
        <v>44790</v>
      </c>
      <c r="B98" s="91">
        <v>10623</v>
      </c>
      <c r="C98" s="91">
        <v>10684.900390000001</v>
      </c>
      <c r="D98" s="91">
        <v>10381.992190000001</v>
      </c>
      <c r="E98" s="91">
        <v>612250</v>
      </c>
      <c r="F98" s="91">
        <v>0.01</v>
      </c>
      <c r="H98" s="90">
        <v>44790</v>
      </c>
      <c r="I98" s="91">
        <v>1229.897095</v>
      </c>
      <c r="J98" s="91">
        <v>1229.9663089999999</v>
      </c>
      <c r="K98" s="91">
        <v>1212.675293</v>
      </c>
      <c r="L98" s="91">
        <v>6595965</v>
      </c>
      <c r="M98" s="91">
        <v>5.1999999999999998E-3</v>
      </c>
      <c r="O98" s="90">
        <v>44790</v>
      </c>
      <c r="P98" s="91">
        <v>750</v>
      </c>
      <c r="Q98" s="91">
        <v>754.95001219999995</v>
      </c>
      <c r="R98" s="91">
        <v>726.51513669999997</v>
      </c>
      <c r="S98" s="91">
        <v>12384350</v>
      </c>
      <c r="T98" s="91">
        <v>5.1999999999999998E-3</v>
      </c>
      <c r="V98" s="90">
        <v>44790</v>
      </c>
      <c r="W98" s="91">
        <v>1596.4499510000001</v>
      </c>
      <c r="X98" s="91">
        <v>1606.25</v>
      </c>
      <c r="Y98" s="91">
        <v>1457.210693</v>
      </c>
      <c r="Z98" s="91">
        <v>4067324</v>
      </c>
      <c r="AA98" s="91">
        <v>6.1000000000000004E-3</v>
      </c>
      <c r="AB98" s="91"/>
      <c r="AC98" s="90">
        <v>44790</v>
      </c>
      <c r="AD98" s="91">
        <v>1410.3000489999999</v>
      </c>
      <c r="AE98" s="91">
        <v>1474.6999510000001</v>
      </c>
      <c r="AF98" s="91">
        <v>1470.251587</v>
      </c>
      <c r="AG98" s="91">
        <v>1594684</v>
      </c>
      <c r="AH98" s="91">
        <v>4.5900000000000003E-2</v>
      </c>
      <c r="AI98" s="91"/>
      <c r="AJ98" s="91">
        <f>(F98*'Part 3 Portfolio Analysis'!$B$8+M98*'Part 3 Portfolio Analysis'!$C$8+T98*'Part 3 Portfolio Analysis'!$D$8+AA98*'Part 3 Portfolio Analysis'!$E$8+AH98*'Part 3 Portfolio Analysis'!$F$8)/100</f>
        <v>7.1826256028433722E-3</v>
      </c>
      <c r="AK98" s="91">
        <f>'Part 3 Portfolio Analysis'!$B$107*F98+M98*'Part 3 Portfolio Analysis'!$C$107+T98*'Part 3 Portfolio Analysis'!$D$107+AA98*'Part 3 Portfolio Analysis'!$E$107+AH98*'Part 3 Portfolio Analysis'!$F$107</f>
        <v>1.6410399999999999E-2</v>
      </c>
      <c r="AL98" s="91">
        <f>F98*'Part 3 Portfolio Analysis'!$B$121+M98*'Part 3 Portfolio Analysis'!$C$121+'Part 3 Portfolio Analysis'!$D$121*T98+AA98*'Part 3 Portfolio Analysis'!$E$121+'Part 3 Portfolio Analysis'!$F$121*AH98</f>
        <v>6.8409000000000005E-3</v>
      </c>
      <c r="AM98" s="91"/>
      <c r="AN98" s="90">
        <v>44790</v>
      </c>
      <c r="AO98" s="91">
        <v>17868.150389999999</v>
      </c>
      <c r="AP98" s="91">
        <v>17944.25</v>
      </c>
      <c r="AQ98" s="91">
        <v>17944.25</v>
      </c>
      <c r="AR98" s="91">
        <v>262800</v>
      </c>
      <c r="AS98" s="91">
        <v>6.7000000000000002E-3</v>
      </c>
    </row>
    <row r="99" spans="1:45" x14ac:dyDescent="0.55000000000000004">
      <c r="A99" s="90">
        <v>44791</v>
      </c>
      <c r="B99" s="91">
        <v>10688</v>
      </c>
      <c r="C99" s="91">
        <v>10614.150390000001</v>
      </c>
      <c r="D99" s="91">
        <v>10313.24805</v>
      </c>
      <c r="E99" s="91">
        <v>251023</v>
      </c>
      <c r="F99" s="91">
        <v>-6.6E-3</v>
      </c>
      <c r="H99" s="90">
        <v>44791</v>
      </c>
      <c r="I99" s="91">
        <v>1227.5896</v>
      </c>
      <c r="J99" s="91">
        <v>1228.1895750000001</v>
      </c>
      <c r="K99" s="91">
        <v>1214.8745120000001</v>
      </c>
      <c r="L99" s="91">
        <v>7410035</v>
      </c>
      <c r="M99" s="91">
        <v>1.8E-3</v>
      </c>
      <c r="O99" s="90">
        <v>44791</v>
      </c>
      <c r="P99" s="91">
        <v>750</v>
      </c>
      <c r="Q99" s="91">
        <v>755.84997559999999</v>
      </c>
      <c r="R99" s="91">
        <v>727.38128659999995</v>
      </c>
      <c r="S99" s="91">
        <v>8342138</v>
      </c>
      <c r="T99" s="91">
        <v>1.1999999999999999E-3</v>
      </c>
      <c r="V99" s="90">
        <v>44791</v>
      </c>
      <c r="W99" s="91">
        <v>1594.099976</v>
      </c>
      <c r="X99" s="91">
        <v>1582.9499510000001</v>
      </c>
      <c r="Y99" s="91">
        <v>1436.07251</v>
      </c>
      <c r="Z99" s="91">
        <v>4635706</v>
      </c>
      <c r="AA99" s="91">
        <v>-1.4500000000000001E-2</v>
      </c>
      <c r="AB99" s="91"/>
      <c r="AC99" s="90">
        <v>44791</v>
      </c>
      <c r="AD99" s="91">
        <v>1481</v>
      </c>
      <c r="AE99" s="91">
        <v>1455.5</v>
      </c>
      <c r="AF99" s="91">
        <v>1451.1096190000001</v>
      </c>
      <c r="AG99" s="91">
        <v>1748382</v>
      </c>
      <c r="AH99" s="91">
        <v>-1.2999999999999999E-2</v>
      </c>
      <c r="AI99" s="91"/>
      <c r="AJ99" s="91">
        <f>(F99*'Part 3 Portfolio Analysis'!$B$8+M99*'Part 3 Portfolio Analysis'!$C$8+T99*'Part 3 Portfolio Analysis'!$D$8+AA99*'Part 3 Portfolio Analysis'!$E$8+AH99*'Part 3 Portfolio Analysis'!$F$8)/100</f>
        <v>-3.5879540422291871E-3</v>
      </c>
      <c r="AK99" s="91">
        <f>'Part 3 Portfolio Analysis'!$B$107*F99+M99*'Part 3 Portfolio Analysis'!$C$107+T99*'Part 3 Portfolio Analysis'!$D$107+AA99*'Part 3 Portfolio Analysis'!$E$107+AH99*'Part 3 Portfolio Analysis'!$F$107</f>
        <v>-5.1646000000000001E-3</v>
      </c>
      <c r="AL99" s="91">
        <f>F99*'Part 3 Portfolio Analysis'!$B$121+M99*'Part 3 Portfolio Analysis'!$C$121+'Part 3 Portfolio Analysis'!$D$121*T99+AA99*'Part 3 Portfolio Analysis'!$E$121+'Part 3 Portfolio Analysis'!$F$121*AH99</f>
        <v>-2.7014400000000003E-3</v>
      </c>
      <c r="AM99" s="91"/>
      <c r="AN99" s="90">
        <v>44791</v>
      </c>
      <c r="AO99" s="91">
        <v>17898.650389999999</v>
      </c>
      <c r="AP99" s="91">
        <v>17956.5</v>
      </c>
      <c r="AQ99" s="91">
        <v>17956.5</v>
      </c>
      <c r="AR99" s="91">
        <v>263900</v>
      </c>
      <c r="AS99" s="91">
        <v>6.9999999999999999E-4</v>
      </c>
    </row>
    <row r="100" spans="1:45" x14ac:dyDescent="0.55000000000000004">
      <c r="A100" s="90">
        <v>44792</v>
      </c>
      <c r="B100" s="91">
        <v>10614.150390000001</v>
      </c>
      <c r="C100" s="91">
        <v>10138.75</v>
      </c>
      <c r="D100" s="91">
        <v>9851.3242190000001</v>
      </c>
      <c r="E100" s="91">
        <v>501778</v>
      </c>
      <c r="F100" s="91">
        <v>-4.48E-2</v>
      </c>
      <c r="H100" s="90">
        <v>44792</v>
      </c>
      <c r="I100" s="91">
        <v>1222.9746090000001</v>
      </c>
      <c r="J100" s="91">
        <v>1206.2913820000001</v>
      </c>
      <c r="K100" s="91">
        <v>1193.2136230000001</v>
      </c>
      <c r="L100" s="91">
        <v>9460724</v>
      </c>
      <c r="M100" s="91">
        <v>-1.78E-2</v>
      </c>
      <c r="O100" s="90">
        <v>44792</v>
      </c>
      <c r="P100" s="91">
        <v>755</v>
      </c>
      <c r="Q100" s="91">
        <v>746.52502440000001</v>
      </c>
      <c r="R100" s="91">
        <v>718.40747069999998</v>
      </c>
      <c r="S100" s="91">
        <v>8063702</v>
      </c>
      <c r="T100" s="91">
        <v>-1.23E-2</v>
      </c>
      <c r="V100" s="90">
        <v>44792</v>
      </c>
      <c r="W100" s="91">
        <v>1585.3000489999999</v>
      </c>
      <c r="X100" s="91">
        <v>1597.099976</v>
      </c>
      <c r="Y100" s="91">
        <v>1448.9095460000001</v>
      </c>
      <c r="Z100" s="91">
        <v>4739884</v>
      </c>
      <c r="AA100" s="91">
        <v>8.8999999999999999E-3</v>
      </c>
      <c r="AB100" s="91"/>
      <c r="AC100" s="90">
        <v>44792</v>
      </c>
      <c r="AD100" s="91">
        <v>1464.900024</v>
      </c>
      <c r="AE100" s="91">
        <v>1398.150024</v>
      </c>
      <c r="AF100" s="91">
        <v>1393.9326169999999</v>
      </c>
      <c r="AG100" s="91">
        <v>1284783</v>
      </c>
      <c r="AH100" s="91">
        <v>-3.9399999999999998E-2</v>
      </c>
      <c r="AI100" s="91"/>
      <c r="AJ100" s="91">
        <f>(F100*'Part 3 Portfolio Analysis'!$B$8+M100*'Part 3 Portfolio Analysis'!$C$8+T100*'Part 3 Portfolio Analysis'!$D$8+AA100*'Part 3 Portfolio Analysis'!$E$8+AH100*'Part 3 Portfolio Analysis'!$F$8)/100</f>
        <v>-2.0896713522436165E-2</v>
      </c>
      <c r="AK100" s="91">
        <f>'Part 3 Portfolio Analysis'!$B$107*F100+M100*'Part 3 Portfolio Analysis'!$C$107+T100*'Part 3 Portfolio Analysis'!$D$107+AA100*'Part 3 Portfolio Analysis'!$E$107+AH100*'Part 3 Portfolio Analysis'!$F$107</f>
        <v>-2.4580699999999997E-2</v>
      </c>
      <c r="AL100" s="91">
        <f>F100*'Part 3 Portfolio Analysis'!$B$121+M100*'Part 3 Portfolio Analysis'!$C$121+'Part 3 Portfolio Analysis'!$D$121*T100+AA100*'Part 3 Portfolio Analysis'!$E$121+'Part 3 Portfolio Analysis'!$F$121*AH100</f>
        <v>-1.3749319999999999E-2</v>
      </c>
      <c r="AM100" s="91"/>
      <c r="AN100" s="90">
        <v>44792</v>
      </c>
      <c r="AO100" s="91">
        <v>17966.550780000001</v>
      </c>
      <c r="AP100" s="91">
        <v>17758.449219999999</v>
      </c>
      <c r="AQ100" s="91">
        <v>17758.449219999999</v>
      </c>
      <c r="AR100" s="91">
        <v>295600</v>
      </c>
      <c r="AS100" s="91">
        <v>-1.0999999999999999E-2</v>
      </c>
    </row>
    <row r="101" spans="1:45" x14ac:dyDescent="0.55000000000000004">
      <c r="A101" s="90">
        <v>44795</v>
      </c>
      <c r="B101" s="91">
        <v>10099.450199999999</v>
      </c>
      <c r="C101" s="91">
        <v>9788.7001949999994</v>
      </c>
      <c r="D101" s="91">
        <v>9511.1992190000001</v>
      </c>
      <c r="E101" s="91">
        <v>415816</v>
      </c>
      <c r="F101" s="91">
        <v>-3.4500000000000003E-2</v>
      </c>
      <c r="H101" s="90">
        <v>44795</v>
      </c>
      <c r="I101" s="91">
        <v>1207.7451169999999</v>
      </c>
      <c r="J101" s="91">
        <v>1202.9454350000001</v>
      </c>
      <c r="K101" s="91">
        <v>1189.904053</v>
      </c>
      <c r="L101" s="91">
        <v>9471680</v>
      </c>
      <c r="M101" s="91">
        <v>-2.8E-3</v>
      </c>
      <c r="O101" s="90">
        <v>44795</v>
      </c>
      <c r="P101" s="91">
        <v>742.40002440000001</v>
      </c>
      <c r="Q101" s="91">
        <v>735.17498780000005</v>
      </c>
      <c r="R101" s="91">
        <v>707.48498540000003</v>
      </c>
      <c r="S101" s="91">
        <v>8234066</v>
      </c>
      <c r="T101" s="91">
        <v>-1.52E-2</v>
      </c>
      <c r="V101" s="90">
        <v>44795</v>
      </c>
      <c r="W101" s="91">
        <v>1586</v>
      </c>
      <c r="X101" s="91">
        <v>1575.650024</v>
      </c>
      <c r="Y101" s="91">
        <v>1429.450073</v>
      </c>
      <c r="Z101" s="91">
        <v>3950555</v>
      </c>
      <c r="AA101" s="91">
        <v>-1.34E-2</v>
      </c>
      <c r="AB101" s="91"/>
      <c r="AC101" s="90">
        <v>44795</v>
      </c>
      <c r="AD101" s="91">
        <v>1398.150024</v>
      </c>
      <c r="AE101" s="91">
        <v>1314.099976</v>
      </c>
      <c r="AF101" s="91">
        <v>1310.1361079999999</v>
      </c>
      <c r="AG101" s="91">
        <v>3129067</v>
      </c>
      <c r="AH101" s="91">
        <v>-6.0100000000000001E-2</v>
      </c>
      <c r="AI101" s="91"/>
      <c r="AJ101" s="91">
        <f>(F101*'Part 3 Portfolio Analysis'!$B$8+M101*'Part 3 Portfolio Analysis'!$C$8+T101*'Part 3 Portfolio Analysis'!$D$8+AA101*'Part 3 Portfolio Analysis'!$E$8+AH101*'Part 3 Portfolio Analysis'!$F$8)/100</f>
        <v>-1.6644400423134656E-2</v>
      </c>
      <c r="AK101" s="91">
        <f>'Part 3 Portfolio Analysis'!$B$107*F101+M101*'Part 3 Portfolio Analysis'!$C$107+T101*'Part 3 Portfolio Analysis'!$D$107+AA101*'Part 3 Portfolio Analysis'!$E$107+AH101*'Part 3 Portfolio Analysis'!$F$107</f>
        <v>-2.5927600000000002E-2</v>
      </c>
      <c r="AL101" s="91">
        <f>F101*'Part 3 Portfolio Analysis'!$B$121+M101*'Part 3 Portfolio Analysis'!$C$121+'Part 3 Portfolio Analysis'!$D$121*T101+AA101*'Part 3 Portfolio Analysis'!$E$121+'Part 3 Portfolio Analysis'!$F$121*AH101</f>
        <v>-1.2399800000000001E-2</v>
      </c>
      <c r="AM101" s="91"/>
      <c r="AN101" s="90">
        <v>44795</v>
      </c>
      <c r="AO101" s="91">
        <v>17682.900389999999</v>
      </c>
      <c r="AP101" s="91">
        <v>17490.699219999999</v>
      </c>
      <c r="AQ101" s="91">
        <v>17490.699219999999</v>
      </c>
      <c r="AR101" s="91">
        <v>287600</v>
      </c>
      <c r="AS101" s="91">
        <v>-1.5100000000000001E-2</v>
      </c>
    </row>
    <row r="102" spans="1:45" x14ac:dyDescent="0.55000000000000004">
      <c r="A102" s="90">
        <v>44796</v>
      </c>
      <c r="B102" s="91">
        <v>9570</v>
      </c>
      <c r="C102" s="91">
        <v>9618.75</v>
      </c>
      <c r="D102" s="91">
        <v>9346.0664059999999</v>
      </c>
      <c r="E102" s="91">
        <v>602319</v>
      </c>
      <c r="F102" s="91">
        <v>-1.7399999999999999E-2</v>
      </c>
      <c r="H102" s="90">
        <v>44796</v>
      </c>
      <c r="I102" s="91">
        <v>1197.130615</v>
      </c>
      <c r="J102" s="91">
        <v>1221.497803</v>
      </c>
      <c r="K102" s="91">
        <v>1208.255249</v>
      </c>
      <c r="L102" s="91">
        <v>9678484</v>
      </c>
      <c r="M102" s="91">
        <v>1.54E-2</v>
      </c>
      <c r="O102" s="90">
        <v>44796</v>
      </c>
      <c r="P102" s="91">
        <v>726.65002440000001</v>
      </c>
      <c r="Q102" s="91">
        <v>732.90002440000001</v>
      </c>
      <c r="R102" s="91">
        <v>705.29571529999998</v>
      </c>
      <c r="S102" s="91">
        <v>14966884</v>
      </c>
      <c r="T102" s="91">
        <v>-3.0999999999999999E-3</v>
      </c>
      <c r="V102" s="90">
        <v>44796</v>
      </c>
      <c r="W102" s="91">
        <v>1548</v>
      </c>
      <c r="X102" s="91">
        <v>1542.400024</v>
      </c>
      <c r="Y102" s="91">
        <v>1399.2851559999999</v>
      </c>
      <c r="Z102" s="91">
        <v>5551574</v>
      </c>
      <c r="AA102" s="91">
        <v>-2.1100000000000001E-2</v>
      </c>
      <c r="AB102" s="91"/>
      <c r="AC102" s="90">
        <v>44796</v>
      </c>
      <c r="AD102" s="91">
        <v>1309.400024</v>
      </c>
      <c r="AE102" s="91">
        <v>1346.8000489999999</v>
      </c>
      <c r="AF102" s="91">
        <v>1342.7375489999999</v>
      </c>
      <c r="AG102" s="91">
        <v>2092763</v>
      </c>
      <c r="AH102" s="91">
        <v>2.4899999999999999E-2</v>
      </c>
      <c r="AI102" s="91"/>
      <c r="AJ102" s="91">
        <f>(F102*'Part 3 Portfolio Analysis'!$B$8+M102*'Part 3 Portfolio Analysis'!$C$8+T102*'Part 3 Portfolio Analysis'!$D$8+AA102*'Part 3 Portfolio Analysis'!$E$8+AH102*'Part 3 Portfolio Analysis'!$F$8)/100</f>
        <v>-3.3072610894845527E-3</v>
      </c>
      <c r="AK102" s="91">
        <f>'Part 3 Portfolio Analysis'!$B$107*F102+M102*'Part 3 Portfolio Analysis'!$C$107+T102*'Part 3 Portfolio Analysis'!$D$107+AA102*'Part 3 Portfolio Analysis'!$E$107+AH102*'Part 3 Portfolio Analysis'!$F$107</f>
        <v>5.3724999999999997E-3</v>
      </c>
      <c r="AL102" s="91">
        <f>F102*'Part 3 Portfolio Analysis'!$B$121+M102*'Part 3 Portfolio Analysis'!$C$121+'Part 3 Portfolio Analysis'!$D$121*T102+AA102*'Part 3 Portfolio Analysis'!$E$121+'Part 3 Portfolio Analysis'!$F$121*AH102</f>
        <v>6.2073999999999973E-4</v>
      </c>
      <c r="AM102" s="91"/>
      <c r="AN102" s="90">
        <v>44796</v>
      </c>
      <c r="AO102" s="91">
        <v>17357.349610000001</v>
      </c>
      <c r="AP102" s="91">
        <v>17577.5</v>
      </c>
      <c r="AQ102" s="91">
        <v>17577.5</v>
      </c>
      <c r="AR102" s="91">
        <v>285600</v>
      </c>
      <c r="AS102" s="91">
        <v>5.0000000000000001E-3</v>
      </c>
    </row>
    <row r="103" spans="1:45" x14ac:dyDescent="0.55000000000000004">
      <c r="A103" s="90">
        <v>44797</v>
      </c>
      <c r="B103" s="91">
        <v>9510</v>
      </c>
      <c r="C103" s="91">
        <v>9861</v>
      </c>
      <c r="D103" s="91">
        <v>9581.4492190000001</v>
      </c>
      <c r="E103" s="91">
        <v>845080</v>
      </c>
      <c r="F103" s="91">
        <v>2.52E-2</v>
      </c>
      <c r="H103" s="90">
        <v>44797</v>
      </c>
      <c r="I103" s="91">
        <v>1218.4057620000001</v>
      </c>
      <c r="J103" s="91">
        <v>1218.2441409999999</v>
      </c>
      <c r="K103" s="91">
        <v>1205.036987</v>
      </c>
      <c r="L103" s="91">
        <v>10369622</v>
      </c>
      <c r="M103" s="91">
        <v>-2.7000000000000001E-3</v>
      </c>
      <c r="O103" s="90">
        <v>44797</v>
      </c>
      <c r="P103" s="91">
        <v>730.95001219999995</v>
      </c>
      <c r="Q103" s="91">
        <v>736.42498780000005</v>
      </c>
      <c r="R103" s="91">
        <v>708.68786620000003</v>
      </c>
      <c r="S103" s="91">
        <v>13455520</v>
      </c>
      <c r="T103" s="91">
        <v>4.7999999999999996E-3</v>
      </c>
      <c r="V103" s="90">
        <v>44797</v>
      </c>
      <c r="W103" s="91">
        <v>1535</v>
      </c>
      <c r="X103" s="91">
        <v>1537.5</v>
      </c>
      <c r="Y103" s="91">
        <v>1394.8397219999999</v>
      </c>
      <c r="Z103" s="91">
        <v>2888426</v>
      </c>
      <c r="AA103" s="91">
        <v>-3.2000000000000002E-3</v>
      </c>
      <c r="AB103" s="91"/>
      <c r="AC103" s="90">
        <v>44797</v>
      </c>
      <c r="AD103" s="91">
        <v>1350</v>
      </c>
      <c r="AE103" s="91">
        <v>1344.900024</v>
      </c>
      <c r="AF103" s="91">
        <v>1340.8431399999999</v>
      </c>
      <c r="AG103" s="91">
        <v>633681</v>
      </c>
      <c r="AH103" s="91">
        <v>-1.4E-3</v>
      </c>
      <c r="AI103" s="91"/>
      <c r="AJ103" s="91">
        <f>(F103*'Part 3 Portfolio Analysis'!$B$8+M103*'Part 3 Portfolio Analysis'!$C$8+T103*'Part 3 Portfolio Analysis'!$D$8+AA103*'Part 3 Portfolio Analysis'!$E$8+AH103*'Part 3 Portfolio Analysis'!$F$8)/100</f>
        <v>6.8533341441476782E-3</v>
      </c>
      <c r="AK103" s="91">
        <f>'Part 3 Portfolio Analysis'!$B$107*F103+M103*'Part 3 Portfolio Analysis'!$C$107+T103*'Part 3 Portfolio Analysis'!$D$107+AA103*'Part 3 Portfolio Analysis'!$E$107+AH103*'Part 3 Portfolio Analysis'!$F$107</f>
        <v>3.7621000000000004E-3</v>
      </c>
      <c r="AL103" s="91">
        <f>F103*'Part 3 Portfolio Analysis'!$B$121+M103*'Part 3 Portfolio Analysis'!$C$121+'Part 3 Portfolio Analysis'!$D$121*T103+AA103*'Part 3 Portfolio Analysis'!$E$121+'Part 3 Portfolio Analysis'!$F$121*AH103</f>
        <v>1.56744E-3</v>
      </c>
      <c r="AM103" s="91"/>
      <c r="AN103" s="90">
        <v>44797</v>
      </c>
      <c r="AO103" s="91">
        <v>17525.449219999999</v>
      </c>
      <c r="AP103" s="91">
        <v>17604.949219999999</v>
      </c>
      <c r="AQ103" s="91">
        <v>17604.949219999999</v>
      </c>
      <c r="AR103" s="91">
        <v>262000</v>
      </c>
      <c r="AS103" s="91">
        <v>1.6000000000000001E-3</v>
      </c>
    </row>
    <row r="104" spans="1:45" x14ac:dyDescent="0.55000000000000004">
      <c r="A104" s="90">
        <v>44798</v>
      </c>
      <c r="B104" s="91">
        <v>9974.9003909999992</v>
      </c>
      <c r="C104" s="91">
        <v>9656.5996090000008</v>
      </c>
      <c r="D104" s="91">
        <v>9382.84375</v>
      </c>
      <c r="E104" s="91">
        <v>374149</v>
      </c>
      <c r="F104" s="91">
        <v>-2.07E-2</v>
      </c>
      <c r="H104" s="90">
        <v>44798</v>
      </c>
      <c r="I104" s="91">
        <v>1222.48999</v>
      </c>
      <c r="J104" s="91">
        <v>1214.6906739999999</v>
      </c>
      <c r="K104" s="91">
        <v>1201.521851</v>
      </c>
      <c r="L104" s="91">
        <v>7871946</v>
      </c>
      <c r="M104" s="91">
        <v>-2.8999999999999998E-3</v>
      </c>
      <c r="O104" s="90">
        <v>44798</v>
      </c>
      <c r="P104" s="91">
        <v>739.95001219999995</v>
      </c>
      <c r="Q104" s="91">
        <v>732.42498780000005</v>
      </c>
      <c r="R104" s="91">
        <v>704.83856200000002</v>
      </c>
      <c r="S104" s="91">
        <v>11823040</v>
      </c>
      <c r="T104" s="91">
        <v>-5.4000000000000003E-3</v>
      </c>
      <c r="V104" s="90">
        <v>44798</v>
      </c>
      <c r="W104" s="91">
        <v>1548</v>
      </c>
      <c r="X104" s="91">
        <v>1518.150024</v>
      </c>
      <c r="Y104" s="91">
        <v>1377.2851559999999</v>
      </c>
      <c r="Z104" s="91">
        <v>4331088</v>
      </c>
      <c r="AA104" s="91">
        <v>-1.26E-2</v>
      </c>
      <c r="AB104" s="91"/>
      <c r="AC104" s="90">
        <v>44798</v>
      </c>
      <c r="AD104" s="91">
        <v>1357.25</v>
      </c>
      <c r="AE104" s="91">
        <v>1359.400024</v>
      </c>
      <c r="AF104" s="91">
        <v>1355.299438</v>
      </c>
      <c r="AG104" s="91">
        <v>1144010</v>
      </c>
      <c r="AH104" s="91">
        <v>1.0800000000000001E-2</v>
      </c>
      <c r="AI104" s="91"/>
      <c r="AJ104" s="91">
        <f>(F104*'Part 3 Portfolio Analysis'!$B$8+M104*'Part 3 Portfolio Analysis'!$C$8+T104*'Part 3 Portfolio Analysis'!$D$8+AA104*'Part 3 Portfolio Analysis'!$E$8+AH104*'Part 3 Portfolio Analysis'!$F$8)/100</f>
        <v>-1.0084189102829568E-2</v>
      </c>
      <c r="AK104" s="91">
        <f>'Part 3 Portfolio Analysis'!$B$107*F104+M104*'Part 3 Portfolio Analysis'!$C$107+T104*'Part 3 Portfolio Analysis'!$D$107+AA104*'Part 3 Portfolio Analysis'!$E$107+AH104*'Part 3 Portfolio Analysis'!$F$107</f>
        <v>-4.0090999999999989E-3</v>
      </c>
      <c r="AL104" s="91">
        <f>F104*'Part 3 Portfolio Analysis'!$B$121+M104*'Part 3 Portfolio Analysis'!$C$121+'Part 3 Portfolio Analysis'!$D$121*T104+AA104*'Part 3 Portfolio Analysis'!$E$121+'Part 3 Portfolio Analysis'!$F$121*AH104</f>
        <v>-6.624220000000001E-3</v>
      </c>
      <c r="AM104" s="91"/>
      <c r="AN104" s="90">
        <v>44798</v>
      </c>
      <c r="AO104" s="91">
        <v>17679</v>
      </c>
      <c r="AP104" s="91">
        <v>17522.449219999999</v>
      </c>
      <c r="AQ104" s="91">
        <v>17522.449219999999</v>
      </c>
      <c r="AR104" s="91">
        <v>230200</v>
      </c>
      <c r="AS104" s="91">
        <v>-4.7000000000000002E-3</v>
      </c>
    </row>
    <row r="105" spans="1:45" x14ac:dyDescent="0.55000000000000004">
      <c r="A105" s="90">
        <v>44799</v>
      </c>
      <c r="B105" s="91">
        <v>9600</v>
      </c>
      <c r="C105" s="91">
        <v>9349</v>
      </c>
      <c r="D105" s="91">
        <v>9083.9638670000004</v>
      </c>
      <c r="E105" s="91">
        <v>625870</v>
      </c>
      <c r="F105" s="91">
        <v>-3.1899999999999998E-2</v>
      </c>
      <c r="H105" s="90">
        <v>44799</v>
      </c>
      <c r="I105" s="91">
        <v>1215.1290280000001</v>
      </c>
      <c r="J105" s="91">
        <v>1208.206543</v>
      </c>
      <c r="K105" s="91">
        <v>1195.108154</v>
      </c>
      <c r="L105" s="91">
        <v>10742038</v>
      </c>
      <c r="M105" s="91">
        <v>-5.3E-3</v>
      </c>
      <c r="O105" s="90">
        <v>44799</v>
      </c>
      <c r="P105" s="91">
        <v>736.02502440000001</v>
      </c>
      <c r="Q105" s="91">
        <v>732.54998780000005</v>
      </c>
      <c r="R105" s="91">
        <v>704.95886229999996</v>
      </c>
      <c r="S105" s="91">
        <v>7706176</v>
      </c>
      <c r="T105" s="91">
        <v>2.0000000000000001E-4</v>
      </c>
      <c r="V105" s="90">
        <v>44799</v>
      </c>
      <c r="W105" s="91">
        <v>1535.150024</v>
      </c>
      <c r="X105" s="91">
        <v>1521.5500489999999</v>
      </c>
      <c r="Y105" s="91">
        <v>1380.369751</v>
      </c>
      <c r="Z105" s="91">
        <v>3079136</v>
      </c>
      <c r="AA105" s="91">
        <v>2.2000000000000001E-3</v>
      </c>
      <c r="AB105" s="91"/>
      <c r="AC105" s="90">
        <v>44799</v>
      </c>
      <c r="AD105" s="91">
        <v>1366</v>
      </c>
      <c r="AE105" s="91">
        <v>1390.599976</v>
      </c>
      <c r="AF105" s="91">
        <v>1386.4052730000001</v>
      </c>
      <c r="AG105" s="91">
        <v>1047852</v>
      </c>
      <c r="AH105" s="91">
        <v>2.3E-2</v>
      </c>
      <c r="AI105" s="91"/>
      <c r="AJ105" s="91">
        <f>(F105*'Part 3 Portfolio Analysis'!$B$8+M105*'Part 3 Portfolio Analysis'!$C$8+T105*'Part 3 Portfolio Analysis'!$D$8+AA105*'Part 3 Portfolio Analysis'!$E$8+AH105*'Part 3 Portfolio Analysis'!$F$8)/100</f>
        <v>-1.0878935583851716E-2</v>
      </c>
      <c r="AK105" s="91">
        <f>'Part 3 Portfolio Analysis'!$B$107*F105+M105*'Part 3 Portfolio Analysis'!$C$107+T105*'Part 3 Portfolio Analysis'!$D$107+AA105*'Part 3 Portfolio Analysis'!$E$107+AH105*'Part 3 Portfolio Analysis'!$F$107</f>
        <v>-1.3539000000000008E-3</v>
      </c>
      <c r="AL105" s="91">
        <f>F105*'Part 3 Portfolio Analysis'!$B$121+M105*'Part 3 Portfolio Analysis'!$C$121+'Part 3 Portfolio Analysis'!$D$121*T105+AA105*'Part 3 Portfolio Analysis'!$E$121+'Part 3 Portfolio Analysis'!$F$121*AH105</f>
        <v>-3.7490599999999994E-3</v>
      </c>
      <c r="AM105" s="91"/>
      <c r="AN105" s="90">
        <v>44799</v>
      </c>
      <c r="AO105" s="91">
        <v>17619.300780000001</v>
      </c>
      <c r="AP105" s="91">
        <v>17558.900389999999</v>
      </c>
      <c r="AQ105" s="91">
        <v>17558.900389999999</v>
      </c>
      <c r="AR105" s="91">
        <v>266600</v>
      </c>
      <c r="AS105" s="91">
        <v>2.0999999999999999E-3</v>
      </c>
    </row>
    <row r="106" spans="1:45" x14ac:dyDescent="0.55000000000000004">
      <c r="A106" s="90">
        <v>44802</v>
      </c>
      <c r="B106" s="91">
        <v>8870.0498050000006</v>
      </c>
      <c r="C106" s="91">
        <v>8870.8496090000008</v>
      </c>
      <c r="D106" s="91">
        <v>8619.3681639999995</v>
      </c>
      <c r="E106" s="91">
        <v>616555</v>
      </c>
      <c r="F106" s="91">
        <v>-5.11E-2</v>
      </c>
      <c r="H106" s="90">
        <v>44802</v>
      </c>
      <c r="I106" s="91">
        <v>1192.9770510000001</v>
      </c>
      <c r="J106" s="91">
        <v>1198.815063</v>
      </c>
      <c r="K106" s="91">
        <v>1185.818481</v>
      </c>
      <c r="L106" s="91">
        <v>19838975</v>
      </c>
      <c r="M106" s="91">
        <v>-7.7999999999999996E-3</v>
      </c>
      <c r="O106" s="90">
        <v>44802</v>
      </c>
      <c r="P106" s="91">
        <v>718.5</v>
      </c>
      <c r="Q106" s="91">
        <v>719.70001219999995</v>
      </c>
      <c r="R106" s="91">
        <v>692.59295650000001</v>
      </c>
      <c r="S106" s="91">
        <v>8653178</v>
      </c>
      <c r="T106" s="91">
        <v>-1.7500000000000002E-2</v>
      </c>
      <c r="V106" s="90">
        <v>44802</v>
      </c>
      <c r="W106" s="91">
        <v>1468.5500489999999</v>
      </c>
      <c r="X106" s="91">
        <v>1461.75</v>
      </c>
      <c r="Y106" s="91">
        <v>1326.1182859999999</v>
      </c>
      <c r="Z106" s="91">
        <v>8079050</v>
      </c>
      <c r="AA106" s="91">
        <v>-3.9300000000000002E-2</v>
      </c>
      <c r="AB106" s="91"/>
      <c r="AC106" s="90">
        <v>44802</v>
      </c>
      <c r="AD106" s="91">
        <v>1352</v>
      </c>
      <c r="AE106" s="91">
        <v>1360.650024</v>
      </c>
      <c r="AF106" s="91">
        <v>1356.5457759999999</v>
      </c>
      <c r="AG106" s="91">
        <v>575626</v>
      </c>
      <c r="AH106" s="91">
        <v>-2.1499999999999998E-2</v>
      </c>
      <c r="AI106" s="91"/>
      <c r="AJ106" s="91">
        <f>(F106*'Part 3 Portfolio Analysis'!$B$8+M106*'Part 3 Portfolio Analysis'!$C$8+T106*'Part 3 Portfolio Analysis'!$D$8+AA106*'Part 3 Portfolio Analysis'!$E$8+AH106*'Part 3 Portfolio Analysis'!$F$8)/100</f>
        <v>-2.7611388922067371E-2</v>
      </c>
      <c r="AK106" s="91">
        <f>'Part 3 Portfolio Analysis'!$B$107*F106+M106*'Part 3 Portfolio Analysis'!$C$107+T106*'Part 3 Portfolio Analysis'!$D$107+AA106*'Part 3 Portfolio Analysis'!$E$107+AH106*'Part 3 Portfolio Analysis'!$F$107</f>
        <v>-2.3699899999999999E-2</v>
      </c>
      <c r="AL106" s="91">
        <f>F106*'Part 3 Portfolio Analysis'!$B$121+M106*'Part 3 Portfolio Analysis'!$C$121+'Part 3 Portfolio Analysis'!$D$121*T106+AA106*'Part 3 Portfolio Analysis'!$E$121+'Part 3 Portfolio Analysis'!$F$121*AH106</f>
        <v>-2.0656600000000001E-2</v>
      </c>
      <c r="AM106" s="91"/>
      <c r="AN106" s="90">
        <v>44802</v>
      </c>
      <c r="AO106" s="91">
        <v>17188.650389999999</v>
      </c>
      <c r="AP106" s="91">
        <v>17312.900389999999</v>
      </c>
      <c r="AQ106" s="91">
        <v>17312.900389999999</v>
      </c>
      <c r="AR106" s="91">
        <v>244900</v>
      </c>
      <c r="AS106" s="91">
        <v>-1.4E-2</v>
      </c>
    </row>
    <row r="107" spans="1:45" x14ac:dyDescent="0.55000000000000004">
      <c r="A107" s="90">
        <v>44803</v>
      </c>
      <c r="B107" s="91">
        <v>9025</v>
      </c>
      <c r="C107" s="91">
        <v>9019.25</v>
      </c>
      <c r="D107" s="91">
        <v>8763.5625</v>
      </c>
      <c r="E107" s="91">
        <v>543634</v>
      </c>
      <c r="F107" s="91">
        <v>1.67E-2</v>
      </c>
      <c r="H107" s="90">
        <v>44803</v>
      </c>
      <c r="I107" s="91">
        <v>1206.360596</v>
      </c>
      <c r="J107" s="91">
        <v>1217.413452</v>
      </c>
      <c r="K107" s="91">
        <v>1204.215332</v>
      </c>
      <c r="L107" s="91">
        <v>23139054</v>
      </c>
      <c r="M107" s="91">
        <v>1.55E-2</v>
      </c>
      <c r="O107" s="90">
        <v>44803</v>
      </c>
      <c r="P107" s="91">
        <v>723.22497559999999</v>
      </c>
      <c r="Q107" s="91">
        <v>743.04998780000005</v>
      </c>
      <c r="R107" s="91">
        <v>715.06335449999995</v>
      </c>
      <c r="S107" s="91">
        <v>10135400</v>
      </c>
      <c r="T107" s="91">
        <v>3.2399999999999998E-2</v>
      </c>
      <c r="V107" s="90">
        <v>44803</v>
      </c>
      <c r="W107" s="91">
        <v>1473.099976</v>
      </c>
      <c r="X107" s="91">
        <v>1492.9499510000001</v>
      </c>
      <c r="Y107" s="91">
        <v>1354.4233400000001</v>
      </c>
      <c r="Z107" s="91">
        <v>6725875</v>
      </c>
      <c r="AA107" s="91">
        <v>2.1299999999999999E-2</v>
      </c>
      <c r="AB107" s="91"/>
      <c r="AC107" s="90">
        <v>44803</v>
      </c>
      <c r="AD107" s="91">
        <v>1362.5500489999999</v>
      </c>
      <c r="AE107" s="91">
        <v>1407.25</v>
      </c>
      <c r="AF107" s="91">
        <v>1403.0051269999999</v>
      </c>
      <c r="AG107" s="91">
        <v>1311053</v>
      </c>
      <c r="AH107" s="91">
        <v>3.4200000000000001E-2</v>
      </c>
      <c r="AI107" s="91"/>
      <c r="AJ107" s="91">
        <f>(F107*'Part 3 Portfolio Analysis'!$B$8+M107*'Part 3 Portfolio Analysis'!$C$8+T107*'Part 3 Portfolio Analysis'!$D$8+AA107*'Part 3 Portfolio Analysis'!$E$8+AH107*'Part 3 Portfolio Analysis'!$F$8)/100</f>
        <v>1.9795315602945087E-2</v>
      </c>
      <c r="AK107" s="91">
        <f>'Part 3 Portfolio Analysis'!$B$107*F107+M107*'Part 3 Portfolio Analysis'!$C$107+T107*'Part 3 Portfolio Analysis'!$D$107+AA107*'Part 3 Portfolio Analysis'!$E$107+AH107*'Part 3 Portfolio Analysis'!$F$107</f>
        <v>2.36279E-2</v>
      </c>
      <c r="AL107" s="91">
        <f>F107*'Part 3 Portfolio Analysis'!$B$121+M107*'Part 3 Portfolio Analysis'!$C$121+'Part 3 Portfolio Analysis'!$D$121*T107+AA107*'Part 3 Portfolio Analysis'!$E$121+'Part 3 Portfolio Analysis'!$F$121*AH107</f>
        <v>2.1845380000000001E-2</v>
      </c>
      <c r="AM107" s="91"/>
      <c r="AN107" s="90">
        <v>44803</v>
      </c>
      <c r="AO107" s="91">
        <v>17414.949219999999</v>
      </c>
      <c r="AP107" s="91">
        <v>17759.300780000001</v>
      </c>
      <c r="AQ107" s="91">
        <v>17759.300780000001</v>
      </c>
      <c r="AR107" s="91">
        <v>324700</v>
      </c>
      <c r="AS107" s="91">
        <v>2.58E-2</v>
      </c>
    </row>
    <row r="108" spans="1:45" x14ac:dyDescent="0.55000000000000004">
      <c r="A108" s="90">
        <v>44805</v>
      </c>
      <c r="B108" s="91">
        <v>8964</v>
      </c>
      <c r="C108" s="91">
        <v>9020.2998050000006</v>
      </c>
      <c r="D108" s="91">
        <v>8764.5820309999999</v>
      </c>
      <c r="E108" s="91">
        <v>374381</v>
      </c>
      <c r="F108" s="91">
        <v>1E-4</v>
      </c>
      <c r="H108" s="90">
        <v>44805</v>
      </c>
      <c r="I108" s="91">
        <v>1191.892578</v>
      </c>
      <c r="J108" s="91">
        <v>1181.6241460000001</v>
      </c>
      <c r="K108" s="91">
        <v>1168.8139650000001</v>
      </c>
      <c r="L108" s="91">
        <v>19909939</v>
      </c>
      <c r="M108" s="91">
        <v>-2.9399999999999999E-2</v>
      </c>
      <c r="O108" s="90">
        <v>44805</v>
      </c>
      <c r="P108" s="91">
        <v>732.375</v>
      </c>
      <c r="Q108" s="91">
        <v>736.07501219999995</v>
      </c>
      <c r="R108" s="91">
        <v>708.35113530000001</v>
      </c>
      <c r="S108" s="91">
        <v>22403136</v>
      </c>
      <c r="T108" s="91">
        <v>-9.4000000000000004E-3</v>
      </c>
      <c r="V108" s="90">
        <v>44805</v>
      </c>
      <c r="W108" s="91">
        <v>1460.0500489999999</v>
      </c>
      <c r="X108" s="91">
        <v>1464.1999510000001</v>
      </c>
      <c r="Y108" s="91">
        <v>1328.341187</v>
      </c>
      <c r="Z108" s="91">
        <v>8140604</v>
      </c>
      <c r="AA108" s="91">
        <v>-1.9300000000000001E-2</v>
      </c>
      <c r="AB108" s="91"/>
      <c r="AC108" s="90">
        <v>44805</v>
      </c>
      <c r="AD108" s="91">
        <v>1394.5</v>
      </c>
      <c r="AE108" s="91">
        <v>1414</v>
      </c>
      <c r="AF108" s="91">
        <v>1409.734741</v>
      </c>
      <c r="AG108" s="91">
        <v>738051</v>
      </c>
      <c r="AH108" s="91">
        <v>4.7999999999999996E-3</v>
      </c>
      <c r="AI108" s="91"/>
      <c r="AJ108" s="91">
        <f>(F108*'Part 3 Portfolio Analysis'!$B$8+M108*'Part 3 Portfolio Analysis'!$C$8+T108*'Part 3 Portfolio Analysis'!$D$8+AA108*'Part 3 Portfolio Analysis'!$E$8+AH108*'Part 3 Portfolio Analysis'!$F$8)/100</f>
        <v>-1.5254059924701793E-2</v>
      </c>
      <c r="AK108" s="91">
        <f>'Part 3 Portfolio Analysis'!$B$107*F108+M108*'Part 3 Portfolio Analysis'!$C$107+T108*'Part 3 Portfolio Analysis'!$D$107+AA108*'Part 3 Portfolio Analysis'!$E$107+AH108*'Part 3 Portfolio Analysis'!$F$107</f>
        <v>-1.1361599999999998E-2</v>
      </c>
      <c r="AL108" s="91">
        <f>F108*'Part 3 Portfolio Analysis'!$B$121+M108*'Part 3 Portfolio Analysis'!$C$121+'Part 3 Portfolio Analysis'!$D$121*T108+AA108*'Part 3 Portfolio Analysis'!$E$121+'Part 3 Portfolio Analysis'!$F$121*AH108</f>
        <v>-1.861906E-2</v>
      </c>
      <c r="AM108" s="91"/>
      <c r="AN108" s="90">
        <v>44805</v>
      </c>
      <c r="AO108" s="91">
        <v>17485.699219999999</v>
      </c>
      <c r="AP108" s="91">
        <v>17542.800780000001</v>
      </c>
      <c r="AQ108" s="91">
        <v>17542.800780000001</v>
      </c>
      <c r="AR108" s="91">
        <v>308500</v>
      </c>
      <c r="AS108" s="91">
        <v>-1.2200000000000001E-2</v>
      </c>
    </row>
    <row r="109" spans="1:45" x14ac:dyDescent="0.55000000000000004">
      <c r="A109" s="90">
        <v>44806</v>
      </c>
      <c r="B109" s="91">
        <v>9099</v>
      </c>
      <c r="C109" s="91">
        <v>8707.25</v>
      </c>
      <c r="D109" s="91">
        <v>8460.4072269999997</v>
      </c>
      <c r="E109" s="91">
        <v>534396</v>
      </c>
      <c r="F109" s="91">
        <v>-3.4700000000000002E-2</v>
      </c>
      <c r="H109" s="90">
        <v>44806</v>
      </c>
      <c r="I109" s="91">
        <v>1181.6241460000001</v>
      </c>
      <c r="J109" s="91">
        <v>1167.825317</v>
      </c>
      <c r="K109" s="91">
        <v>1155.164673</v>
      </c>
      <c r="L109" s="91">
        <v>12999345</v>
      </c>
      <c r="M109" s="91">
        <v>-1.17E-2</v>
      </c>
      <c r="O109" s="90">
        <v>44806</v>
      </c>
      <c r="P109" s="91">
        <v>736.07501219999995</v>
      </c>
      <c r="Q109" s="91">
        <v>742.75</v>
      </c>
      <c r="R109" s="91">
        <v>714.77465819999998</v>
      </c>
      <c r="S109" s="91">
        <v>12038086</v>
      </c>
      <c r="T109" s="91">
        <v>9.1000000000000004E-3</v>
      </c>
      <c r="V109" s="90">
        <v>44806</v>
      </c>
      <c r="W109" s="91">
        <v>1478</v>
      </c>
      <c r="X109" s="91">
        <v>1453</v>
      </c>
      <c r="Y109" s="91">
        <v>1318.1801760000001</v>
      </c>
      <c r="Z109" s="91">
        <v>5175653</v>
      </c>
      <c r="AA109" s="91">
        <v>-7.6E-3</v>
      </c>
      <c r="AB109" s="91"/>
      <c r="AC109" s="90">
        <v>44806</v>
      </c>
      <c r="AD109" s="91">
        <v>1419</v>
      </c>
      <c r="AE109" s="91">
        <v>1391.099976</v>
      </c>
      <c r="AF109" s="91">
        <v>1386.903687</v>
      </c>
      <c r="AG109" s="91">
        <v>462018</v>
      </c>
      <c r="AH109" s="91">
        <v>-1.6199999999999999E-2</v>
      </c>
      <c r="AI109" s="91"/>
      <c r="AJ109" s="91">
        <f>(F109*'Part 3 Portfolio Analysis'!$B$8+M109*'Part 3 Portfolio Analysis'!$C$8+T109*'Part 3 Portfolio Analysis'!$D$8+AA109*'Part 3 Portfolio Analysis'!$E$8+AH109*'Part 3 Portfolio Analysis'!$F$8)/100</f>
        <v>-1.4514449380046703E-2</v>
      </c>
      <c r="AK109" s="91">
        <f>'Part 3 Portfolio Analysis'!$B$107*F109+M109*'Part 3 Portfolio Analysis'!$C$107+T109*'Part 3 Portfolio Analysis'!$D$107+AA109*'Part 3 Portfolio Analysis'!$E$107+AH109*'Part 3 Portfolio Analysis'!$F$107</f>
        <v>-1.3339999999999999E-2</v>
      </c>
      <c r="AL109" s="91">
        <f>F109*'Part 3 Portfolio Analysis'!$B$121+M109*'Part 3 Portfolio Analysis'!$C$121+'Part 3 Portfolio Analysis'!$D$121*T109+AA109*'Part 3 Portfolio Analysis'!$E$121+'Part 3 Portfolio Analysis'!$F$121*AH109</f>
        <v>-7.2309000000000002E-3</v>
      </c>
      <c r="AM109" s="91"/>
      <c r="AN109" s="90">
        <v>44806</v>
      </c>
      <c r="AO109" s="91">
        <v>17598.400389999999</v>
      </c>
      <c r="AP109" s="91">
        <v>17539.449219999999</v>
      </c>
      <c r="AQ109" s="91">
        <v>17539.449219999999</v>
      </c>
      <c r="AR109" s="91">
        <v>256300</v>
      </c>
      <c r="AS109" s="91">
        <v>-2.0000000000000001E-4</v>
      </c>
    </row>
    <row r="110" spans="1:45" x14ac:dyDescent="0.55000000000000004">
      <c r="A110" s="90">
        <v>44809</v>
      </c>
      <c r="B110" s="91">
        <v>8759</v>
      </c>
      <c r="C110" s="91">
        <v>8872.8496090000008</v>
      </c>
      <c r="D110" s="91">
        <v>8621.3115230000003</v>
      </c>
      <c r="E110" s="91">
        <v>291672</v>
      </c>
      <c r="F110" s="91">
        <v>1.9E-2</v>
      </c>
      <c r="H110" s="90">
        <v>44809</v>
      </c>
      <c r="I110" s="91">
        <v>1168.05603</v>
      </c>
      <c r="J110" s="91">
        <v>1185.96228</v>
      </c>
      <c r="K110" s="91">
        <v>1173.1051030000001</v>
      </c>
      <c r="L110" s="91">
        <v>11327815</v>
      </c>
      <c r="M110" s="91">
        <v>1.55E-2</v>
      </c>
      <c r="O110" s="90">
        <v>44809</v>
      </c>
      <c r="P110" s="91">
        <v>743.04998780000005</v>
      </c>
      <c r="Q110" s="91">
        <v>747.52502440000001</v>
      </c>
      <c r="R110" s="91">
        <v>719.36987299999998</v>
      </c>
      <c r="S110" s="91">
        <v>12131932</v>
      </c>
      <c r="T110" s="91">
        <v>6.4000000000000003E-3</v>
      </c>
      <c r="V110" s="90">
        <v>44809</v>
      </c>
      <c r="W110" s="91">
        <v>1451</v>
      </c>
      <c r="X110" s="91">
        <v>1461.3000489999999</v>
      </c>
      <c r="Y110" s="91">
        <v>1325.7100829999999</v>
      </c>
      <c r="Z110" s="91">
        <v>3669352</v>
      </c>
      <c r="AA110" s="91">
        <v>5.7000000000000002E-3</v>
      </c>
      <c r="AB110" s="91"/>
      <c r="AC110" s="90">
        <v>44809</v>
      </c>
      <c r="AD110" s="91">
        <v>1390</v>
      </c>
      <c r="AE110" s="91">
        <v>1398.25</v>
      </c>
      <c r="AF110" s="91">
        <v>1394.0322269999999</v>
      </c>
      <c r="AG110" s="91">
        <v>633249</v>
      </c>
      <c r="AH110" s="91">
        <v>5.1000000000000004E-3</v>
      </c>
      <c r="AI110" s="91"/>
      <c r="AJ110" s="91">
        <f>(F110*'Part 3 Portfolio Analysis'!$B$8+M110*'Part 3 Portfolio Analysis'!$C$8+T110*'Part 3 Portfolio Analysis'!$D$8+AA110*'Part 3 Portfolio Analysis'!$E$8+AH110*'Part 3 Portfolio Analysis'!$F$8)/100</f>
        <v>1.3353210034336099E-2</v>
      </c>
      <c r="AK110" s="91">
        <f>'Part 3 Portfolio Analysis'!$B$107*F110+M110*'Part 3 Portfolio Analysis'!$C$107+T110*'Part 3 Portfolio Analysis'!$D$107+AA110*'Part 3 Portfolio Analysis'!$E$107+AH110*'Part 3 Portfolio Analysis'!$F$107</f>
        <v>1.1118699999999999E-2</v>
      </c>
      <c r="AL110" s="91">
        <f>F110*'Part 3 Portfolio Analysis'!$B$121+M110*'Part 3 Portfolio Analysis'!$C$121+'Part 3 Portfolio Analysis'!$D$121*T110+AA110*'Part 3 Portfolio Analysis'!$E$121+'Part 3 Portfolio Analysis'!$F$121*AH110</f>
        <v>1.1080019999999999E-2</v>
      </c>
      <c r="AM110" s="91"/>
      <c r="AN110" s="90">
        <v>44809</v>
      </c>
      <c r="AO110" s="91">
        <v>17546.449219999999</v>
      </c>
      <c r="AP110" s="91">
        <v>17665.800780000001</v>
      </c>
      <c r="AQ110" s="91">
        <v>17665.800780000001</v>
      </c>
      <c r="AR110" s="91">
        <v>230300</v>
      </c>
      <c r="AS110" s="91">
        <v>7.1999999999999998E-3</v>
      </c>
    </row>
    <row r="111" spans="1:45" x14ac:dyDescent="0.55000000000000004">
      <c r="A111" s="90">
        <v>44810</v>
      </c>
      <c r="B111" s="91">
        <v>8939</v>
      </c>
      <c r="C111" s="91">
        <v>8846.4501949999994</v>
      </c>
      <c r="D111" s="91">
        <v>8595.6611329999996</v>
      </c>
      <c r="E111" s="91">
        <v>240148</v>
      </c>
      <c r="F111" s="91">
        <v>-3.0000000000000001E-3</v>
      </c>
      <c r="H111" s="90">
        <v>44810</v>
      </c>
      <c r="I111" s="91">
        <v>1187.439087</v>
      </c>
      <c r="J111" s="91">
        <v>1198.4458010000001</v>
      </c>
      <c r="K111" s="91">
        <v>1185.4532469999999</v>
      </c>
      <c r="L111" s="91">
        <v>10899618</v>
      </c>
      <c r="M111" s="91">
        <v>1.0500000000000001E-2</v>
      </c>
      <c r="O111" s="90">
        <v>44810</v>
      </c>
      <c r="P111" s="91">
        <v>749.45001219999995</v>
      </c>
      <c r="Q111" s="91">
        <v>744.67498780000005</v>
      </c>
      <c r="R111" s="91">
        <v>716.62719730000003</v>
      </c>
      <c r="S111" s="91">
        <v>12238696</v>
      </c>
      <c r="T111" s="91">
        <v>-3.8E-3</v>
      </c>
      <c r="V111" s="90">
        <v>44810</v>
      </c>
      <c r="W111" s="91">
        <v>1461.3000489999999</v>
      </c>
      <c r="X111" s="91">
        <v>1455.099976</v>
      </c>
      <c r="Y111" s="91">
        <v>1320.0854489999999</v>
      </c>
      <c r="Z111" s="91">
        <v>3428442</v>
      </c>
      <c r="AA111" s="91">
        <v>-4.1999999999999997E-3</v>
      </c>
      <c r="AB111" s="91"/>
      <c r="AC111" s="90">
        <v>44810</v>
      </c>
      <c r="AD111" s="91">
        <v>1405</v>
      </c>
      <c r="AE111" s="91">
        <v>1389.9499510000001</v>
      </c>
      <c r="AF111" s="91">
        <v>1385.757202</v>
      </c>
      <c r="AG111" s="91">
        <v>342940</v>
      </c>
      <c r="AH111" s="91">
        <v>-5.8999999999999999E-3</v>
      </c>
      <c r="AI111" s="91"/>
      <c r="AJ111" s="91">
        <f>(F111*'Part 3 Portfolio Analysis'!$B$8+M111*'Part 3 Portfolio Analysis'!$C$8+T111*'Part 3 Portfolio Analysis'!$D$8+AA111*'Part 3 Portfolio Analysis'!$E$8+AH111*'Part 3 Portfolio Analysis'!$F$8)/100</f>
        <v>1.5385679187790702E-3</v>
      </c>
      <c r="AK111" s="91">
        <f>'Part 3 Portfolio Analysis'!$B$107*F111+M111*'Part 3 Portfolio Analysis'!$C$107+T111*'Part 3 Portfolio Analysis'!$D$107+AA111*'Part 3 Portfolio Analysis'!$E$107+AH111*'Part 3 Portfolio Analysis'!$F$107</f>
        <v>2.5070000000000018E-4</v>
      </c>
      <c r="AL111" s="91">
        <f>F111*'Part 3 Portfolio Analysis'!$B$121+M111*'Part 3 Portfolio Analysis'!$C$121+'Part 3 Portfolio Analysis'!$D$121*T111+AA111*'Part 3 Portfolio Analysis'!$E$121+'Part 3 Portfolio Analysis'!$F$121*AH111</f>
        <v>2.13102E-3</v>
      </c>
      <c r="AM111" s="91"/>
      <c r="AN111" s="90">
        <v>44810</v>
      </c>
      <c r="AO111" s="91">
        <v>17695.699219999999</v>
      </c>
      <c r="AP111" s="91">
        <v>17655.599610000001</v>
      </c>
      <c r="AQ111" s="91">
        <v>17655.599610000001</v>
      </c>
      <c r="AR111" s="91">
        <v>251200</v>
      </c>
      <c r="AS111" s="91">
        <v>-5.9999999999999995E-4</v>
      </c>
    </row>
    <row r="112" spans="1:45" x14ac:dyDescent="0.55000000000000004">
      <c r="A112" s="90">
        <v>44811</v>
      </c>
      <c r="B112" s="91">
        <v>8828</v>
      </c>
      <c r="C112" s="91">
        <v>8813.2001949999994</v>
      </c>
      <c r="D112" s="91">
        <v>8563.3535159999992</v>
      </c>
      <c r="E112" s="91">
        <v>174174</v>
      </c>
      <c r="F112" s="91">
        <v>-3.8E-3</v>
      </c>
      <c r="H112" s="90">
        <v>44811</v>
      </c>
      <c r="I112" s="91">
        <v>1188.362061</v>
      </c>
      <c r="J112" s="91">
        <v>1191.477173</v>
      </c>
      <c r="K112" s="91">
        <v>1178.5601810000001</v>
      </c>
      <c r="L112" s="91">
        <v>7488501</v>
      </c>
      <c r="M112" s="91">
        <v>-5.7999999999999996E-3</v>
      </c>
      <c r="O112" s="90">
        <v>44811</v>
      </c>
      <c r="P112" s="91">
        <v>735.65002440000001</v>
      </c>
      <c r="Q112" s="91">
        <v>741.15002440000001</v>
      </c>
      <c r="R112" s="91">
        <v>713.23504639999999</v>
      </c>
      <c r="S112" s="91">
        <v>9776206</v>
      </c>
      <c r="T112" s="91">
        <v>-4.7000000000000002E-3</v>
      </c>
      <c r="V112" s="90">
        <v>44811</v>
      </c>
      <c r="W112" s="91">
        <v>1440</v>
      </c>
      <c r="X112" s="91">
        <v>1457.650024</v>
      </c>
      <c r="Y112" s="91">
        <v>1322.3989260000001</v>
      </c>
      <c r="Z112" s="91">
        <v>3600574</v>
      </c>
      <c r="AA112" s="91">
        <v>1.8E-3</v>
      </c>
      <c r="AB112" s="91"/>
      <c r="AC112" s="90">
        <v>44811</v>
      </c>
      <c r="AD112" s="91">
        <v>1389.849976</v>
      </c>
      <c r="AE112" s="91">
        <v>1413.1999510000001</v>
      </c>
      <c r="AF112" s="91">
        <v>1408.937134</v>
      </c>
      <c r="AG112" s="91">
        <v>887074</v>
      </c>
      <c r="AH112" s="91">
        <v>1.67E-2</v>
      </c>
      <c r="AI112" s="91"/>
      <c r="AJ112" s="91">
        <f>(F112*'Part 3 Portfolio Analysis'!$B$8+M112*'Part 3 Portfolio Analysis'!$C$8+T112*'Part 3 Portfolio Analysis'!$D$8+AA112*'Part 3 Portfolio Analysis'!$E$8+AH112*'Part 3 Portfolio Analysis'!$F$8)/100</f>
        <v>-3.5735049702338133E-3</v>
      </c>
      <c r="AK112" s="91">
        <f>'Part 3 Portfolio Analysis'!$B$107*F112+M112*'Part 3 Portfolio Analysis'!$C$107+T112*'Part 3 Portfolio Analysis'!$D$107+AA112*'Part 3 Portfolio Analysis'!$E$107+AH112*'Part 3 Portfolio Analysis'!$F$107</f>
        <v>1.1605000000000005E-3</v>
      </c>
      <c r="AL112" s="91">
        <f>F112*'Part 3 Portfolio Analysis'!$B$121+M112*'Part 3 Portfolio Analysis'!$C$121+'Part 3 Portfolio Analysis'!$D$121*T112+AA112*'Part 3 Portfolio Analysis'!$E$121+'Part 3 Portfolio Analysis'!$F$121*AH112</f>
        <v>-3.2268999999999996E-3</v>
      </c>
      <c r="AM112" s="91"/>
      <c r="AN112" s="90">
        <v>44811</v>
      </c>
      <c r="AO112" s="91">
        <v>17519.400389999999</v>
      </c>
      <c r="AP112" s="91">
        <v>17624.400389999999</v>
      </c>
      <c r="AQ112" s="91">
        <v>17624.400389999999</v>
      </c>
      <c r="AR112" s="91">
        <v>354100</v>
      </c>
      <c r="AS112" s="91">
        <v>-1.8E-3</v>
      </c>
    </row>
    <row r="113" spans="1:45" x14ac:dyDescent="0.55000000000000004">
      <c r="A113" s="90">
        <v>44812</v>
      </c>
      <c r="B113" s="91">
        <v>8835.5996090000008</v>
      </c>
      <c r="C113" s="91">
        <v>8766.4003909999992</v>
      </c>
      <c r="D113" s="91">
        <v>8517.8798829999996</v>
      </c>
      <c r="E113" s="91">
        <v>170017</v>
      </c>
      <c r="F113" s="91">
        <v>-5.3E-3</v>
      </c>
      <c r="H113" s="90">
        <v>44812</v>
      </c>
      <c r="I113" s="91">
        <v>1194.4769289999999</v>
      </c>
      <c r="J113" s="91">
        <v>1193.161621</v>
      </c>
      <c r="K113" s="91">
        <v>1180.226318</v>
      </c>
      <c r="L113" s="91">
        <v>7057077</v>
      </c>
      <c r="M113" s="91">
        <v>1.4E-3</v>
      </c>
      <c r="O113" s="90">
        <v>44812</v>
      </c>
      <c r="P113" s="91">
        <v>745.04998780000005</v>
      </c>
      <c r="Q113" s="91">
        <v>748.79998780000005</v>
      </c>
      <c r="R113" s="91">
        <v>720.59686280000005</v>
      </c>
      <c r="S113" s="91">
        <v>11164690</v>
      </c>
      <c r="T113" s="91">
        <v>1.03E-2</v>
      </c>
      <c r="V113" s="90">
        <v>44812</v>
      </c>
      <c r="W113" s="91">
        <v>1475</v>
      </c>
      <c r="X113" s="91">
        <v>1475.900024</v>
      </c>
      <c r="Y113" s="91">
        <v>1338.9555660000001</v>
      </c>
      <c r="Z113" s="91">
        <v>4061475</v>
      </c>
      <c r="AA113" s="91">
        <v>1.2500000000000001E-2</v>
      </c>
      <c r="AB113" s="91"/>
      <c r="AC113" s="90">
        <v>44812</v>
      </c>
      <c r="AD113" s="91">
        <v>1427.900024</v>
      </c>
      <c r="AE113" s="91">
        <v>1407.0500489999999</v>
      </c>
      <c r="AF113" s="91">
        <v>1402.8057859999999</v>
      </c>
      <c r="AG113" s="91">
        <v>604853</v>
      </c>
      <c r="AH113" s="91">
        <v>-4.4000000000000003E-3</v>
      </c>
      <c r="AI113" s="91"/>
      <c r="AJ113" s="91">
        <f>(F113*'Part 3 Portfolio Analysis'!$B$8+M113*'Part 3 Portfolio Analysis'!$C$8+T113*'Part 3 Portfolio Analysis'!$D$8+AA113*'Part 3 Portfolio Analysis'!$E$8+AH113*'Part 3 Portfolio Analysis'!$F$8)/100</f>
        <v>2.6043087982074897E-3</v>
      </c>
      <c r="AK113" s="91">
        <f>'Part 3 Portfolio Analysis'!$B$107*F113+M113*'Part 3 Portfolio Analysis'!$C$107+T113*'Part 3 Portfolio Analysis'!$D$107+AA113*'Part 3 Portfolio Analysis'!$E$107+AH113*'Part 3 Portfolio Analysis'!$F$107</f>
        <v>1.2219000000000002E-3</v>
      </c>
      <c r="AL113" s="91">
        <f>F113*'Part 3 Portfolio Analysis'!$B$121+M113*'Part 3 Portfolio Analysis'!$C$121+'Part 3 Portfolio Analysis'!$D$121*T113+AA113*'Part 3 Portfolio Analysis'!$E$121+'Part 3 Portfolio Analysis'!$F$121*AH113</f>
        <v>5.338100000000001E-3</v>
      </c>
      <c r="AM113" s="91"/>
      <c r="AN113" s="90">
        <v>44812</v>
      </c>
      <c r="AO113" s="91">
        <v>17748.150389999999</v>
      </c>
      <c r="AP113" s="91">
        <v>17798.75</v>
      </c>
      <c r="AQ113" s="91">
        <v>17798.75</v>
      </c>
      <c r="AR113" s="91">
        <v>279800</v>
      </c>
      <c r="AS113" s="91">
        <v>9.9000000000000008E-3</v>
      </c>
    </row>
    <row r="114" spans="1:45" x14ac:dyDescent="0.55000000000000004">
      <c r="A114" s="90">
        <v>44813</v>
      </c>
      <c r="B114" s="91">
        <v>8844</v>
      </c>
      <c r="C114" s="91">
        <v>8816.7998050000006</v>
      </c>
      <c r="D114" s="91">
        <v>8566.8505860000005</v>
      </c>
      <c r="E114" s="91">
        <v>294045</v>
      </c>
      <c r="F114" s="91">
        <v>5.7000000000000002E-3</v>
      </c>
      <c r="H114" s="90">
        <v>44813</v>
      </c>
      <c r="I114" s="91">
        <v>1204.5145259999999</v>
      </c>
      <c r="J114" s="91">
        <v>1185.731567</v>
      </c>
      <c r="K114" s="91">
        <v>1172.876831</v>
      </c>
      <c r="L114" s="91">
        <v>8314850</v>
      </c>
      <c r="M114" s="91">
        <v>-6.1999999999999998E-3</v>
      </c>
      <c r="O114" s="90">
        <v>44813</v>
      </c>
      <c r="P114" s="91">
        <v>748.09997559999999</v>
      </c>
      <c r="Q114" s="91">
        <v>749.29998780000005</v>
      </c>
      <c r="R114" s="91">
        <v>721.07794190000004</v>
      </c>
      <c r="S114" s="91">
        <v>15128888</v>
      </c>
      <c r="T114" s="91">
        <v>6.9999999999999999E-4</v>
      </c>
      <c r="V114" s="90">
        <v>44813</v>
      </c>
      <c r="W114" s="91">
        <v>1488</v>
      </c>
      <c r="X114" s="91">
        <v>1511.650024</v>
      </c>
      <c r="Y114" s="91">
        <v>1371.3883060000001</v>
      </c>
      <c r="Z114" s="91">
        <v>4816910</v>
      </c>
      <c r="AA114" s="91">
        <v>2.4199999999999999E-2</v>
      </c>
      <c r="AB114" s="91"/>
      <c r="AC114" s="90">
        <v>44813</v>
      </c>
      <c r="AD114" s="91">
        <v>1414.5</v>
      </c>
      <c r="AE114" s="91">
        <v>1379.349976</v>
      </c>
      <c r="AF114" s="91">
        <v>1375.1892089999999</v>
      </c>
      <c r="AG114" s="91">
        <v>594999</v>
      </c>
      <c r="AH114" s="91">
        <v>-1.9699999999999999E-2</v>
      </c>
      <c r="AI114" s="91"/>
      <c r="AJ114" s="91">
        <f>(F114*'Part 3 Portfolio Analysis'!$B$8+M114*'Part 3 Portfolio Analysis'!$C$8+T114*'Part 3 Portfolio Analysis'!$D$8+AA114*'Part 3 Portfolio Analysis'!$E$8+AH114*'Part 3 Portfolio Analysis'!$F$8)/100</f>
        <v>3.2814446008918963E-3</v>
      </c>
      <c r="AK114" s="91">
        <f>'Part 3 Portfolio Analysis'!$B$107*F114+M114*'Part 3 Portfolio Analysis'!$C$107+T114*'Part 3 Portfolio Analysis'!$D$107+AA114*'Part 3 Portfolio Analysis'!$E$107+AH114*'Part 3 Portfolio Analysis'!$F$107</f>
        <v>-3.3504999999999997E-3</v>
      </c>
      <c r="AL114" s="91">
        <f>F114*'Part 3 Portfolio Analysis'!$B$121+M114*'Part 3 Portfolio Analysis'!$C$121+'Part 3 Portfolio Analysis'!$D$121*T114+AA114*'Part 3 Portfolio Analysis'!$E$121+'Part 3 Portfolio Analysis'!$F$121*AH114</f>
        <v>2.3812800000000012E-3</v>
      </c>
      <c r="AM114" s="91"/>
      <c r="AN114" s="90">
        <v>44813</v>
      </c>
      <c r="AO114" s="91">
        <v>17923.349610000001</v>
      </c>
      <c r="AP114" s="91">
        <v>17833.349610000001</v>
      </c>
      <c r="AQ114" s="91">
        <v>17833.349610000001</v>
      </c>
      <c r="AR114" s="91">
        <v>270300</v>
      </c>
      <c r="AS114" s="91">
        <v>1.9E-3</v>
      </c>
    </row>
    <row r="115" spans="1:45" x14ac:dyDescent="0.55000000000000004">
      <c r="A115" s="90">
        <v>44816</v>
      </c>
      <c r="B115" s="91">
        <v>8873.7998050000006</v>
      </c>
      <c r="C115" s="91">
        <v>8885.4003909999992</v>
      </c>
      <c r="D115" s="91">
        <v>8633.5068360000005</v>
      </c>
      <c r="E115" s="91">
        <v>191956</v>
      </c>
      <c r="F115" s="91">
        <v>7.7999999999999996E-3</v>
      </c>
      <c r="H115" s="90">
        <v>44816</v>
      </c>
      <c r="I115" s="91">
        <v>1186.30835</v>
      </c>
      <c r="J115" s="91">
        <v>1198.999634</v>
      </c>
      <c r="K115" s="91">
        <v>1186.0010990000001</v>
      </c>
      <c r="L115" s="91">
        <v>7435419</v>
      </c>
      <c r="M115" s="91">
        <v>1.12E-2</v>
      </c>
      <c r="O115" s="90">
        <v>44816</v>
      </c>
      <c r="P115" s="91">
        <v>750</v>
      </c>
      <c r="Q115" s="91">
        <v>746.77502440000001</v>
      </c>
      <c r="R115" s="91">
        <v>718.64813230000004</v>
      </c>
      <c r="S115" s="91">
        <v>11080492</v>
      </c>
      <c r="T115" s="91">
        <v>-3.3999999999999998E-3</v>
      </c>
      <c r="V115" s="90">
        <v>44816</v>
      </c>
      <c r="W115" s="91">
        <v>1525.8000489999999</v>
      </c>
      <c r="X115" s="91">
        <v>1536.1999510000001</v>
      </c>
      <c r="Y115" s="91">
        <v>1393.6604</v>
      </c>
      <c r="Z115" s="91">
        <v>5494819</v>
      </c>
      <c r="AA115" s="91">
        <v>1.6199999999999999E-2</v>
      </c>
      <c r="AB115" s="91"/>
      <c r="AC115" s="90">
        <v>44816</v>
      </c>
      <c r="AD115" s="91">
        <v>1385</v>
      </c>
      <c r="AE115" s="91">
        <v>1400.3000489999999</v>
      </c>
      <c r="AF115" s="91">
        <v>1396.0760499999999</v>
      </c>
      <c r="AG115" s="91">
        <v>733357</v>
      </c>
      <c r="AH115" s="91">
        <v>1.52E-2</v>
      </c>
      <c r="AI115" s="91"/>
      <c r="AJ115" s="91">
        <f>(F115*'Part 3 Portfolio Analysis'!$B$8+M115*'Part 3 Portfolio Analysis'!$C$8+T115*'Part 3 Portfolio Analysis'!$D$8+AA115*'Part 3 Portfolio Analysis'!$E$8+AH115*'Part 3 Portfolio Analysis'!$F$8)/100</f>
        <v>8.5882968103609854E-3</v>
      </c>
      <c r="AK115" s="91">
        <f>'Part 3 Portfolio Analysis'!$B$107*F115+M115*'Part 3 Portfolio Analysis'!$C$107+T115*'Part 3 Portfolio Analysis'!$D$107+AA115*'Part 3 Portfolio Analysis'!$E$107+AH115*'Part 3 Portfolio Analysis'!$F$107</f>
        <v>9.8329999999999997E-3</v>
      </c>
      <c r="AL115" s="91">
        <f>F115*'Part 3 Portfolio Analysis'!$B$121+M115*'Part 3 Portfolio Analysis'!$C$121+'Part 3 Portfolio Analysis'!$D$121*T115+AA115*'Part 3 Portfolio Analysis'!$E$121+'Part 3 Portfolio Analysis'!$F$121*AH115</f>
        <v>8.0541199999999997E-3</v>
      </c>
      <c r="AM115" s="91"/>
      <c r="AN115" s="90">
        <v>44816</v>
      </c>
      <c r="AO115" s="91">
        <v>17890.849610000001</v>
      </c>
      <c r="AP115" s="91">
        <v>17936.349610000001</v>
      </c>
      <c r="AQ115" s="91">
        <v>17936.349610000001</v>
      </c>
      <c r="AR115" s="91">
        <v>228200</v>
      </c>
      <c r="AS115" s="91">
        <v>5.7999999999999996E-3</v>
      </c>
    </row>
    <row r="116" spans="1:45" x14ac:dyDescent="0.55000000000000004">
      <c r="A116" s="90">
        <v>44817</v>
      </c>
      <c r="B116" s="91">
        <v>8940</v>
      </c>
      <c r="C116" s="91">
        <v>9089.2001949999994</v>
      </c>
      <c r="D116" s="91">
        <v>8831.5292969999991</v>
      </c>
      <c r="E116" s="91">
        <v>580345</v>
      </c>
      <c r="F116" s="91">
        <v>2.29E-2</v>
      </c>
      <c r="H116" s="90">
        <v>44817</v>
      </c>
      <c r="I116" s="91">
        <v>1208.206543</v>
      </c>
      <c r="J116" s="91">
        <v>1209.0141599999999</v>
      </c>
      <c r="K116" s="91">
        <v>1195.906982</v>
      </c>
      <c r="L116" s="91">
        <v>8888657</v>
      </c>
      <c r="M116" s="91">
        <v>8.3999999999999995E-3</v>
      </c>
      <c r="O116" s="90">
        <v>44817</v>
      </c>
      <c r="P116" s="91">
        <v>749.45001219999995</v>
      </c>
      <c r="Q116" s="91">
        <v>756.54998780000005</v>
      </c>
      <c r="R116" s="91">
        <v>728.05493160000003</v>
      </c>
      <c r="S116" s="91">
        <v>13001966</v>
      </c>
      <c r="T116" s="91">
        <v>1.3100000000000001E-2</v>
      </c>
      <c r="V116" s="90">
        <v>44817</v>
      </c>
      <c r="W116" s="91">
        <v>1551.900024</v>
      </c>
      <c r="X116" s="91">
        <v>1544.9499510000001</v>
      </c>
      <c r="Y116" s="91">
        <v>1401.5985109999999</v>
      </c>
      <c r="Z116" s="91">
        <v>4947158</v>
      </c>
      <c r="AA116" s="91">
        <v>5.7000000000000002E-3</v>
      </c>
      <c r="AB116" s="91"/>
      <c r="AC116" s="90">
        <v>44817</v>
      </c>
      <c r="AD116" s="91">
        <v>1407.6999510000001</v>
      </c>
      <c r="AE116" s="91">
        <v>1460.349976</v>
      </c>
      <c r="AF116" s="91">
        <v>1455.9449460000001</v>
      </c>
      <c r="AG116" s="91">
        <v>934852</v>
      </c>
      <c r="AH116" s="91">
        <v>4.2900000000000001E-2</v>
      </c>
      <c r="AI116" s="91"/>
      <c r="AJ116" s="91">
        <f>(F116*'Part 3 Portfolio Analysis'!$B$8+M116*'Part 3 Portfolio Analysis'!$C$8+T116*'Part 3 Portfolio Analysis'!$D$8+AA116*'Part 3 Portfolio Analysis'!$E$8+AH116*'Part 3 Portfolio Analysis'!$F$8)/100</f>
        <v>1.3436688143075312E-2</v>
      </c>
      <c r="AK116" s="91">
        <f>'Part 3 Portfolio Analysis'!$B$107*F116+M116*'Part 3 Portfolio Analysis'!$C$107+T116*'Part 3 Portfolio Analysis'!$D$107+AA116*'Part 3 Portfolio Analysis'!$E$107+AH116*'Part 3 Portfolio Analysis'!$F$107</f>
        <v>2.01625E-2</v>
      </c>
      <c r="AL116" s="91">
        <f>F116*'Part 3 Portfolio Analysis'!$B$121+M116*'Part 3 Portfolio Analysis'!$C$121+'Part 3 Portfolio Analysis'!$D$121*T116+AA116*'Part 3 Portfolio Analysis'!$E$121+'Part 3 Portfolio Analysis'!$F$121*AH116</f>
        <v>1.12342E-2</v>
      </c>
      <c r="AM116" s="91"/>
      <c r="AN116" s="90">
        <v>44817</v>
      </c>
      <c r="AO116" s="91">
        <v>18044.449219999999</v>
      </c>
      <c r="AP116" s="91">
        <v>18070.050780000001</v>
      </c>
      <c r="AQ116" s="91">
        <v>18070.050780000001</v>
      </c>
      <c r="AR116" s="91">
        <v>259900</v>
      </c>
      <c r="AS116" s="91">
        <v>7.4999999999999997E-3</v>
      </c>
    </row>
    <row r="117" spans="1:45" x14ac:dyDescent="0.55000000000000004">
      <c r="A117" s="90">
        <v>44818</v>
      </c>
      <c r="B117" s="91">
        <v>8900</v>
      </c>
      <c r="C117" s="91">
        <v>8914.7001949999994</v>
      </c>
      <c r="D117" s="91">
        <v>8661.9765630000002</v>
      </c>
      <c r="E117" s="91">
        <v>267989</v>
      </c>
      <c r="F117" s="91">
        <v>-1.9199999999999998E-2</v>
      </c>
      <c r="H117" s="90">
        <v>44818</v>
      </c>
      <c r="I117" s="91">
        <v>1188.362061</v>
      </c>
      <c r="J117" s="91">
        <v>1194.5230710000001</v>
      </c>
      <c r="K117" s="91">
        <v>1181.5729980000001</v>
      </c>
      <c r="L117" s="91">
        <v>8678219</v>
      </c>
      <c r="M117" s="91">
        <v>-1.2E-2</v>
      </c>
      <c r="O117" s="90">
        <v>44818</v>
      </c>
      <c r="P117" s="91">
        <v>747.02502440000001</v>
      </c>
      <c r="Q117" s="91">
        <v>764.32501219999995</v>
      </c>
      <c r="R117" s="91">
        <v>735.53710939999996</v>
      </c>
      <c r="S117" s="91">
        <v>20219760</v>
      </c>
      <c r="T117" s="91">
        <v>1.03E-2</v>
      </c>
      <c r="V117" s="90">
        <v>44818</v>
      </c>
      <c r="W117" s="91">
        <v>1497</v>
      </c>
      <c r="X117" s="91">
        <v>1475.400024</v>
      </c>
      <c r="Y117" s="91">
        <v>1338.5017089999999</v>
      </c>
      <c r="Z117" s="91">
        <v>14332197</v>
      </c>
      <c r="AA117" s="91">
        <v>-4.4999999999999998E-2</v>
      </c>
      <c r="AB117" s="91"/>
      <c r="AC117" s="90">
        <v>44818</v>
      </c>
      <c r="AD117" s="91">
        <v>1443.9499510000001</v>
      </c>
      <c r="AE117" s="91">
        <v>1430.599976</v>
      </c>
      <c r="AF117" s="91">
        <v>1426.284668</v>
      </c>
      <c r="AG117" s="91">
        <v>786238</v>
      </c>
      <c r="AH117" s="91">
        <v>-2.0400000000000001E-2</v>
      </c>
      <c r="AI117" s="91"/>
      <c r="AJ117" s="91">
        <f>(F117*'Part 3 Portfolio Analysis'!$B$8+M117*'Part 3 Portfolio Analysis'!$C$8+T117*'Part 3 Portfolio Analysis'!$D$8+AA117*'Part 3 Portfolio Analysis'!$E$8+AH117*'Part 3 Portfolio Analysis'!$F$8)/100</f>
        <v>-1.5832982799983141E-2</v>
      </c>
      <c r="AK117" s="91">
        <f>'Part 3 Portfolio Analysis'!$B$107*F117+M117*'Part 3 Portfolio Analysis'!$C$107+T117*'Part 3 Portfolio Analysis'!$D$107+AA117*'Part 3 Portfolio Analysis'!$E$107+AH117*'Part 3 Portfolio Analysis'!$F$107</f>
        <v>-1.52563E-2</v>
      </c>
      <c r="AL117" s="91">
        <f>F117*'Part 3 Portfolio Analysis'!$B$121+M117*'Part 3 Portfolio Analysis'!$C$121+'Part 3 Portfolio Analysis'!$D$121*T117+AA117*'Part 3 Portfolio Analysis'!$E$121+'Part 3 Portfolio Analysis'!$F$121*AH117</f>
        <v>-1.3346319999999998E-2</v>
      </c>
      <c r="AM117" s="91"/>
      <c r="AN117" s="90">
        <v>44818</v>
      </c>
      <c r="AO117" s="91">
        <v>17771.150389999999</v>
      </c>
      <c r="AP117" s="91">
        <v>18003.75</v>
      </c>
      <c r="AQ117" s="91">
        <v>18003.75</v>
      </c>
      <c r="AR117" s="91">
        <v>365900</v>
      </c>
      <c r="AS117" s="91">
        <v>-3.7000000000000002E-3</v>
      </c>
    </row>
    <row r="118" spans="1:45" x14ac:dyDescent="0.55000000000000004">
      <c r="A118" s="90">
        <v>44819</v>
      </c>
      <c r="B118" s="91">
        <v>9000</v>
      </c>
      <c r="C118" s="91">
        <v>8885.25</v>
      </c>
      <c r="D118" s="91">
        <v>8633.3613280000009</v>
      </c>
      <c r="E118" s="91">
        <v>183525</v>
      </c>
      <c r="F118" s="91">
        <v>-3.3E-3</v>
      </c>
      <c r="H118" s="90">
        <v>44819</v>
      </c>
      <c r="I118" s="91">
        <v>1192.054077</v>
      </c>
      <c r="J118" s="91">
        <v>1182.685669</v>
      </c>
      <c r="K118" s="91">
        <v>1169.8638920000001</v>
      </c>
      <c r="L118" s="91">
        <v>10365600</v>
      </c>
      <c r="M118" s="91">
        <v>-9.9000000000000008E-3</v>
      </c>
      <c r="O118" s="90">
        <v>44819</v>
      </c>
      <c r="P118" s="91">
        <v>765</v>
      </c>
      <c r="Q118" s="91">
        <v>760.34997559999999</v>
      </c>
      <c r="R118" s="91">
        <v>731.71185300000002</v>
      </c>
      <c r="S118" s="91">
        <v>13539372</v>
      </c>
      <c r="T118" s="91">
        <v>-5.1999999999999998E-3</v>
      </c>
      <c r="V118" s="90">
        <v>44819</v>
      </c>
      <c r="W118" s="91">
        <v>1475</v>
      </c>
      <c r="X118" s="91">
        <v>1432.8000489999999</v>
      </c>
      <c r="Y118" s="91">
        <v>1299.8546140000001</v>
      </c>
      <c r="Z118" s="91">
        <v>12784100</v>
      </c>
      <c r="AA118" s="91">
        <v>-2.8899999999999999E-2</v>
      </c>
      <c r="AB118" s="91"/>
      <c r="AC118" s="90">
        <v>44819</v>
      </c>
      <c r="AD118" s="91">
        <v>1444.25</v>
      </c>
      <c r="AE118" s="91">
        <v>1435.1999510000001</v>
      </c>
      <c r="AF118" s="91">
        <v>1430.8707280000001</v>
      </c>
      <c r="AG118" s="91">
        <v>552868</v>
      </c>
      <c r="AH118" s="91">
        <v>3.2000000000000002E-3</v>
      </c>
      <c r="AI118" s="91"/>
      <c r="AJ118" s="91">
        <f>(F118*'Part 3 Portfolio Analysis'!$B$8+M118*'Part 3 Portfolio Analysis'!$C$8+T118*'Part 3 Portfolio Analysis'!$D$8+AA118*'Part 3 Portfolio Analysis'!$E$8+AH118*'Part 3 Portfolio Analysis'!$F$8)/100</f>
        <v>-1.006568401780304E-2</v>
      </c>
      <c r="AK118" s="91">
        <f>'Part 3 Portfolio Analysis'!$B$107*F118+M118*'Part 3 Portfolio Analysis'!$C$107+T118*'Part 3 Portfolio Analysis'!$D$107+AA118*'Part 3 Portfolio Analysis'!$E$107+AH118*'Part 3 Portfolio Analysis'!$F$107</f>
        <v>-6.582300000000001E-3</v>
      </c>
      <c r="AL118" s="91">
        <f>F118*'Part 3 Portfolio Analysis'!$B$121+M118*'Part 3 Portfolio Analysis'!$C$121+'Part 3 Portfolio Analysis'!$D$121*T118+AA118*'Part 3 Portfolio Analysis'!$E$121+'Part 3 Portfolio Analysis'!$F$121*AH118</f>
        <v>-1.153586E-2</v>
      </c>
      <c r="AM118" s="91"/>
      <c r="AN118" s="90">
        <v>44819</v>
      </c>
      <c r="AO118" s="91">
        <v>18046.349610000001</v>
      </c>
      <c r="AP118" s="91">
        <v>17877.400389999999</v>
      </c>
      <c r="AQ118" s="91">
        <v>17877.400389999999</v>
      </c>
      <c r="AR118" s="91">
        <v>289600</v>
      </c>
      <c r="AS118" s="91">
        <v>-7.0000000000000001E-3</v>
      </c>
    </row>
    <row r="119" spans="1:45" x14ac:dyDescent="0.55000000000000004">
      <c r="A119" s="90">
        <v>44820</v>
      </c>
      <c r="B119" s="91">
        <v>8890</v>
      </c>
      <c r="C119" s="91">
        <v>8730.2998050000006</v>
      </c>
      <c r="D119" s="91">
        <v>8482.8037110000005</v>
      </c>
      <c r="E119" s="91">
        <v>210484</v>
      </c>
      <c r="F119" s="91">
        <v>-1.7399999999999999E-2</v>
      </c>
      <c r="H119" s="90">
        <v>44820</v>
      </c>
      <c r="I119" s="91">
        <v>1173.940186</v>
      </c>
      <c r="J119" s="91">
        <v>1153.380371</v>
      </c>
      <c r="K119" s="91">
        <v>1140.8763429999999</v>
      </c>
      <c r="L119" s="91">
        <v>20217708</v>
      </c>
      <c r="M119" s="91">
        <v>-2.4799999999999999E-2</v>
      </c>
      <c r="O119" s="90">
        <v>44820</v>
      </c>
      <c r="P119" s="91">
        <v>751.54998780000005</v>
      </c>
      <c r="Q119" s="91">
        <v>746.375</v>
      </c>
      <c r="R119" s="91">
        <v>718.26318360000005</v>
      </c>
      <c r="S119" s="91">
        <v>20560046</v>
      </c>
      <c r="T119" s="91">
        <v>-1.84E-2</v>
      </c>
      <c r="V119" s="90">
        <v>44820</v>
      </c>
      <c r="W119" s="91">
        <v>1425</v>
      </c>
      <c r="X119" s="91">
        <v>1377.0500489999999</v>
      </c>
      <c r="Y119" s="91">
        <v>1249.2775879999999</v>
      </c>
      <c r="Z119" s="91">
        <v>20464045</v>
      </c>
      <c r="AA119" s="91">
        <v>-3.8899999999999997E-2</v>
      </c>
      <c r="AB119" s="91"/>
      <c r="AC119" s="90">
        <v>44820</v>
      </c>
      <c r="AD119" s="91">
        <v>1439</v>
      </c>
      <c r="AE119" s="91">
        <v>1432.6999510000001</v>
      </c>
      <c r="AF119" s="91">
        <v>1428.3782960000001</v>
      </c>
      <c r="AG119" s="91">
        <v>936253</v>
      </c>
      <c r="AH119" s="91">
        <v>-1.6999999999999999E-3</v>
      </c>
      <c r="AI119" s="91"/>
      <c r="AJ119" s="91">
        <f>(F119*'Part 3 Portfolio Analysis'!$B$8+M119*'Part 3 Portfolio Analysis'!$C$8+T119*'Part 3 Portfolio Analysis'!$D$8+AA119*'Part 3 Portfolio Analysis'!$E$8+AH119*'Part 3 Portfolio Analysis'!$F$8)/100</f>
        <v>-2.3555791966544462E-2</v>
      </c>
      <c r="AK119" s="91">
        <f>'Part 3 Portfolio Analysis'!$B$107*F119+M119*'Part 3 Portfolio Analysis'!$C$107+T119*'Part 3 Portfolio Analysis'!$D$107+AA119*'Part 3 Portfolio Analysis'!$E$107+AH119*'Part 3 Portfolio Analysis'!$F$107</f>
        <v>-1.8064799999999999E-2</v>
      </c>
      <c r="AL119" s="91">
        <f>F119*'Part 3 Portfolio Analysis'!$B$121+M119*'Part 3 Portfolio Analysis'!$C$121+'Part 3 Portfolio Analysis'!$D$121*T119+AA119*'Part 3 Portfolio Analysis'!$E$121+'Part 3 Portfolio Analysis'!$F$121*AH119</f>
        <v>-2.4665699999999995E-2</v>
      </c>
      <c r="AM119" s="91"/>
      <c r="AN119" s="90">
        <v>44820</v>
      </c>
      <c r="AO119" s="91">
        <v>17796.800780000001</v>
      </c>
      <c r="AP119" s="91">
        <v>17530.849610000001</v>
      </c>
      <c r="AQ119" s="91">
        <v>17530.849610000001</v>
      </c>
      <c r="AR119" s="91">
        <v>468500</v>
      </c>
      <c r="AS119" s="91">
        <v>-1.9400000000000001E-2</v>
      </c>
    </row>
    <row r="120" spans="1:45" x14ac:dyDescent="0.55000000000000004">
      <c r="A120" s="90">
        <v>44823</v>
      </c>
      <c r="B120" s="91">
        <v>8769.9501949999994</v>
      </c>
      <c r="C120" s="91">
        <v>8696.4003909999992</v>
      </c>
      <c r="D120" s="91">
        <v>8449.8652340000008</v>
      </c>
      <c r="E120" s="91">
        <v>177584</v>
      </c>
      <c r="F120" s="91">
        <v>-3.8999999999999998E-3</v>
      </c>
      <c r="H120" s="90">
        <v>44823</v>
      </c>
      <c r="I120" s="91">
        <v>1153.380371</v>
      </c>
      <c r="J120" s="91">
        <v>1154.880249</v>
      </c>
      <c r="K120" s="91">
        <v>1142.3598629999999</v>
      </c>
      <c r="L120" s="91">
        <v>7580254</v>
      </c>
      <c r="M120" s="91">
        <v>1.2999999999999999E-3</v>
      </c>
      <c r="O120" s="90">
        <v>44823</v>
      </c>
      <c r="P120" s="91">
        <v>744.5</v>
      </c>
      <c r="Q120" s="91">
        <v>751.29998780000005</v>
      </c>
      <c r="R120" s="91">
        <v>723.00268549999998</v>
      </c>
      <c r="S120" s="91">
        <v>12076038</v>
      </c>
      <c r="T120" s="91">
        <v>6.6E-3</v>
      </c>
      <c r="V120" s="90">
        <v>44823</v>
      </c>
      <c r="W120" s="91">
        <v>1392</v>
      </c>
      <c r="X120" s="91">
        <v>1390.3000489999999</v>
      </c>
      <c r="Y120" s="91">
        <v>1261.2979740000001</v>
      </c>
      <c r="Z120" s="91">
        <v>6595241</v>
      </c>
      <c r="AA120" s="91">
        <v>9.5999999999999992E-3</v>
      </c>
      <c r="AB120" s="91"/>
      <c r="AC120" s="90">
        <v>44823</v>
      </c>
      <c r="AD120" s="91">
        <v>1433.400024</v>
      </c>
      <c r="AE120" s="91">
        <v>1421.8000489999999</v>
      </c>
      <c r="AF120" s="91">
        <v>1417.5112300000001</v>
      </c>
      <c r="AG120" s="91">
        <v>625902</v>
      </c>
      <c r="AH120" s="91">
        <v>-7.6E-3</v>
      </c>
      <c r="AI120" s="91"/>
      <c r="AJ120" s="91">
        <f>(F120*'Part 3 Portfolio Analysis'!$B$8+M120*'Part 3 Portfolio Analysis'!$C$8+T120*'Part 3 Portfolio Analysis'!$D$8+AA120*'Part 3 Portfolio Analysis'!$E$8+AH120*'Part 3 Portfolio Analysis'!$F$8)/100</f>
        <v>1.872870930852648E-3</v>
      </c>
      <c r="AK120" s="91">
        <f>'Part 3 Portfolio Analysis'!$B$107*F120+M120*'Part 3 Portfolio Analysis'!$C$107+T120*'Part 3 Portfolio Analysis'!$D$107+AA120*'Part 3 Portfolio Analysis'!$E$107+AH120*'Part 3 Portfolio Analysis'!$F$107</f>
        <v>-2.2729999999999994E-4</v>
      </c>
      <c r="AL120" s="91">
        <f>F120*'Part 3 Portfolio Analysis'!$B$121+M120*'Part 3 Portfolio Analysis'!$C$121+'Part 3 Portfolio Analysis'!$D$121*T120+AA120*'Part 3 Portfolio Analysis'!$E$121+'Part 3 Portfolio Analysis'!$F$121*AH120</f>
        <v>3.7409800000000001E-3</v>
      </c>
      <c r="AM120" s="91"/>
      <c r="AN120" s="90">
        <v>44823</v>
      </c>
      <c r="AO120" s="91">
        <v>17540.650389999999</v>
      </c>
      <c r="AP120" s="91">
        <v>17622.25</v>
      </c>
      <c r="AQ120" s="91">
        <v>17622.25</v>
      </c>
      <c r="AR120" s="91">
        <v>258300</v>
      </c>
      <c r="AS120" s="91">
        <v>5.1999999999999998E-3</v>
      </c>
    </row>
    <row r="121" spans="1:45" x14ac:dyDescent="0.55000000000000004">
      <c r="A121" s="90">
        <v>44824</v>
      </c>
      <c r="B121" s="91">
        <v>8725</v>
      </c>
      <c r="C121" s="91">
        <v>8901.5498050000006</v>
      </c>
      <c r="D121" s="91">
        <v>8649.1982420000004</v>
      </c>
      <c r="E121" s="91">
        <v>237315</v>
      </c>
      <c r="F121" s="91">
        <v>2.3599999999999999E-2</v>
      </c>
      <c r="H121" s="90">
        <v>44824</v>
      </c>
      <c r="I121" s="91">
        <v>1164.1102289999999</v>
      </c>
      <c r="J121" s="91">
        <v>1155.0648189999999</v>
      </c>
      <c r="K121" s="91">
        <v>1142.5424800000001</v>
      </c>
      <c r="L121" s="91">
        <v>8411448</v>
      </c>
      <c r="M121" s="91">
        <v>2.0000000000000001E-4</v>
      </c>
      <c r="O121" s="90">
        <v>44824</v>
      </c>
      <c r="P121" s="91">
        <v>757</v>
      </c>
      <c r="Q121" s="91">
        <v>760.34997559999999</v>
      </c>
      <c r="R121" s="91">
        <v>731.71185300000002</v>
      </c>
      <c r="S121" s="91">
        <v>10781668</v>
      </c>
      <c r="T121" s="91">
        <v>1.2E-2</v>
      </c>
      <c r="V121" s="90">
        <v>44824</v>
      </c>
      <c r="W121" s="91">
        <v>1407.9499510000001</v>
      </c>
      <c r="X121" s="91">
        <v>1388.5500489999999</v>
      </c>
      <c r="Y121" s="91">
        <v>1259.7104489999999</v>
      </c>
      <c r="Z121" s="91">
        <v>7219797</v>
      </c>
      <c r="AA121" s="91">
        <v>-1.2999999999999999E-3</v>
      </c>
      <c r="AB121" s="91"/>
      <c r="AC121" s="90">
        <v>44824</v>
      </c>
      <c r="AD121" s="91">
        <v>1427</v>
      </c>
      <c r="AE121" s="91">
        <v>1445.5500489999999</v>
      </c>
      <c r="AF121" s="91">
        <v>1441.189697</v>
      </c>
      <c r="AG121" s="91">
        <v>551632</v>
      </c>
      <c r="AH121" s="91">
        <v>1.67E-2</v>
      </c>
      <c r="AI121" s="91"/>
      <c r="AJ121" s="91">
        <f>(F121*'Part 3 Portfolio Analysis'!$B$8+M121*'Part 3 Portfolio Analysis'!$C$8+T121*'Part 3 Portfolio Analysis'!$D$8+AA121*'Part 3 Portfolio Analysis'!$E$8+AH121*'Part 3 Portfolio Analysis'!$F$8)/100</f>
        <v>9.1082538575436977E-3</v>
      </c>
      <c r="AK121" s="91">
        <f>'Part 3 Portfolio Analysis'!$B$107*F121+M121*'Part 3 Portfolio Analysis'!$C$107+T121*'Part 3 Portfolio Analysis'!$D$107+AA121*'Part 3 Portfolio Analysis'!$E$107+AH121*'Part 3 Portfolio Analysis'!$F$107</f>
        <v>1.0249000000000001E-2</v>
      </c>
      <c r="AL121" s="91">
        <f>F121*'Part 3 Portfolio Analysis'!$B$121+M121*'Part 3 Portfolio Analysis'!$C$121+'Part 3 Portfolio Analysis'!$D$121*T121+AA121*'Part 3 Portfolio Analysis'!$E$121+'Part 3 Portfolio Analysis'!$F$121*AH121</f>
        <v>5.4653800000000006E-3</v>
      </c>
      <c r="AM121" s="91"/>
      <c r="AN121" s="90">
        <v>44824</v>
      </c>
      <c r="AO121" s="91">
        <v>17770.400389999999</v>
      </c>
      <c r="AP121" s="91">
        <v>17816.25</v>
      </c>
      <c r="AQ121" s="91">
        <v>17816.25</v>
      </c>
      <c r="AR121" s="91">
        <v>263100</v>
      </c>
      <c r="AS121" s="91">
        <v>1.0999999999999999E-2</v>
      </c>
    </row>
    <row r="122" spans="1:45" x14ac:dyDescent="0.55000000000000004">
      <c r="A122" s="90">
        <v>44825</v>
      </c>
      <c r="B122" s="91">
        <v>8904.9003909999992</v>
      </c>
      <c r="C122" s="91">
        <v>8817.5</v>
      </c>
      <c r="D122" s="91">
        <v>8567.53125</v>
      </c>
      <c r="E122" s="91">
        <v>125832</v>
      </c>
      <c r="F122" s="91">
        <v>-9.4000000000000004E-3</v>
      </c>
      <c r="H122" s="90">
        <v>44825</v>
      </c>
      <c r="I122" s="91">
        <v>1152.2497559999999</v>
      </c>
      <c r="J122" s="91">
        <v>1158.249268</v>
      </c>
      <c r="K122" s="91">
        <v>1145.692505</v>
      </c>
      <c r="L122" s="91">
        <v>9207309</v>
      </c>
      <c r="M122" s="91">
        <v>2.8E-3</v>
      </c>
      <c r="O122" s="90">
        <v>44825</v>
      </c>
      <c r="P122" s="91">
        <v>754</v>
      </c>
      <c r="Q122" s="91">
        <v>759.17498780000005</v>
      </c>
      <c r="R122" s="91">
        <v>730.58105469999998</v>
      </c>
      <c r="S122" s="91">
        <v>9072304</v>
      </c>
      <c r="T122" s="91">
        <v>-1.5E-3</v>
      </c>
      <c r="V122" s="90">
        <v>44825</v>
      </c>
      <c r="W122" s="91">
        <v>1379.900024</v>
      </c>
      <c r="X122" s="91">
        <v>1377.25</v>
      </c>
      <c r="Y122" s="91">
        <v>1249.4589840000001</v>
      </c>
      <c r="Z122" s="91">
        <v>7917054</v>
      </c>
      <c r="AA122" s="91">
        <v>-8.0999999999999996E-3</v>
      </c>
      <c r="AB122" s="91"/>
      <c r="AC122" s="90">
        <v>44825</v>
      </c>
      <c r="AD122" s="91">
        <v>1451</v>
      </c>
      <c r="AE122" s="91">
        <v>1461.9499510000001</v>
      </c>
      <c r="AF122" s="91">
        <v>1457.540039</v>
      </c>
      <c r="AG122" s="91">
        <v>1496404</v>
      </c>
      <c r="AH122" s="91">
        <v>1.1299999999999999E-2</v>
      </c>
      <c r="AI122" s="91"/>
      <c r="AJ122" s="91">
        <f>(F122*'Part 3 Portfolio Analysis'!$B$8+M122*'Part 3 Portfolio Analysis'!$C$8+T122*'Part 3 Portfolio Analysis'!$D$8+AA122*'Part 3 Portfolio Analysis'!$E$8+AH122*'Part 3 Portfolio Analysis'!$F$8)/100</f>
        <v>-3.2483949508643607E-3</v>
      </c>
      <c r="AK122" s="91">
        <f>'Part 3 Portfolio Analysis'!$B$107*F122+M122*'Part 3 Portfolio Analysis'!$C$107+T122*'Part 3 Portfolio Analysis'!$D$107+AA122*'Part 3 Portfolio Analysis'!$E$107+AH122*'Part 3 Portfolio Analysis'!$F$107</f>
        <v>9.8950000000000015E-4</v>
      </c>
      <c r="AL122" s="91">
        <f>F122*'Part 3 Portfolio Analysis'!$B$121+M122*'Part 3 Portfolio Analysis'!$C$121+'Part 3 Portfolio Analysis'!$D$121*T122+AA122*'Part 3 Portfolio Analysis'!$E$121+'Part 3 Portfolio Analysis'!$F$121*AH122</f>
        <v>-1.3297400000000003E-3</v>
      </c>
      <c r="AM122" s="91"/>
      <c r="AN122" s="90">
        <v>44825</v>
      </c>
      <c r="AO122" s="91">
        <v>17766.349610000001</v>
      </c>
      <c r="AP122" s="91">
        <v>17718.349610000001</v>
      </c>
      <c r="AQ122" s="91">
        <v>17718.349610000001</v>
      </c>
      <c r="AR122" s="91">
        <v>245500</v>
      </c>
      <c r="AS122" s="91">
        <v>-5.4999999999999997E-3</v>
      </c>
    </row>
    <row r="123" spans="1:45" x14ac:dyDescent="0.55000000000000004">
      <c r="A123" s="90">
        <v>44826</v>
      </c>
      <c r="B123" s="91">
        <v>8800</v>
      </c>
      <c r="C123" s="91">
        <v>8990.6503909999992</v>
      </c>
      <c r="D123" s="91">
        <v>8735.7734380000002</v>
      </c>
      <c r="E123" s="91">
        <v>287232</v>
      </c>
      <c r="F123" s="91">
        <v>1.9599999999999999E-2</v>
      </c>
      <c r="H123" s="90">
        <v>44826</v>
      </c>
      <c r="I123" s="91">
        <v>1147.2885739999999</v>
      </c>
      <c r="J123" s="91">
        <v>1147.334717</v>
      </c>
      <c r="K123" s="91">
        <v>1134.89624</v>
      </c>
      <c r="L123" s="91">
        <v>10308170</v>
      </c>
      <c r="M123" s="91">
        <v>-9.4000000000000004E-3</v>
      </c>
      <c r="O123" s="90">
        <v>44826</v>
      </c>
      <c r="P123" s="91">
        <v>751</v>
      </c>
      <c r="Q123" s="91">
        <v>743</v>
      </c>
      <c r="R123" s="91">
        <v>715.01525879999997</v>
      </c>
      <c r="S123" s="91">
        <v>12048144</v>
      </c>
      <c r="T123" s="91">
        <v>-2.1299999999999999E-2</v>
      </c>
      <c r="V123" s="90">
        <v>44826</v>
      </c>
      <c r="W123" s="91">
        <v>1366.349976</v>
      </c>
      <c r="X123" s="91">
        <v>1367.9499510000001</v>
      </c>
      <c r="Y123" s="91">
        <v>1241.021851</v>
      </c>
      <c r="Z123" s="91">
        <v>9168498</v>
      </c>
      <c r="AA123" s="91">
        <v>-6.7999999999999996E-3</v>
      </c>
      <c r="AB123" s="91"/>
      <c r="AC123" s="90">
        <v>44826</v>
      </c>
      <c r="AD123" s="91">
        <v>1461.9499510000001</v>
      </c>
      <c r="AE123" s="91">
        <v>1486.75</v>
      </c>
      <c r="AF123" s="91">
        <v>1482.265259</v>
      </c>
      <c r="AG123" s="91">
        <v>878084</v>
      </c>
      <c r="AH123" s="91">
        <v>1.7000000000000001E-2</v>
      </c>
      <c r="AI123" s="91"/>
      <c r="AJ123" s="91">
        <f>(F123*'Part 3 Portfolio Analysis'!$B$8+M123*'Part 3 Portfolio Analysis'!$C$8+T123*'Part 3 Portfolio Analysis'!$D$8+AA123*'Part 3 Portfolio Analysis'!$E$8+AH123*'Part 3 Portfolio Analysis'!$F$8)/100</f>
        <v>-2.0086208977952535E-3</v>
      </c>
      <c r="AK123" s="91">
        <f>'Part 3 Portfolio Analysis'!$B$107*F123+M123*'Part 3 Portfolio Analysis'!$C$107+T123*'Part 3 Portfolio Analysis'!$D$107+AA123*'Part 3 Portfolio Analysis'!$E$107+AH123*'Part 3 Portfolio Analysis'!$F$107</f>
        <v>8.8830000000000029E-4</v>
      </c>
      <c r="AL123" s="91">
        <f>F123*'Part 3 Portfolio Analysis'!$B$121+M123*'Part 3 Portfolio Analysis'!$C$121+'Part 3 Portfolio Analysis'!$D$121*T123+AA123*'Part 3 Portfolio Analysis'!$E$121+'Part 3 Portfolio Analysis'!$F$121*AH123</f>
        <v>-9.0413200000000003E-3</v>
      </c>
      <c r="AM123" s="91"/>
      <c r="AN123" s="90">
        <v>44826</v>
      </c>
      <c r="AO123" s="91">
        <v>17609.650389999999</v>
      </c>
      <c r="AP123" s="91">
        <v>17629.800780000001</v>
      </c>
      <c r="AQ123" s="91">
        <v>17629.800780000001</v>
      </c>
      <c r="AR123" s="91">
        <v>284100</v>
      </c>
      <c r="AS123" s="91">
        <v>-5.0000000000000001E-3</v>
      </c>
    </row>
    <row r="124" spans="1:45" x14ac:dyDescent="0.55000000000000004">
      <c r="A124" s="90">
        <v>44827</v>
      </c>
      <c r="B124" s="91">
        <v>8965</v>
      </c>
      <c r="C124" s="91">
        <v>8857.0996090000008</v>
      </c>
      <c r="D124" s="91">
        <v>8606.0078130000002</v>
      </c>
      <c r="E124" s="91">
        <v>175906</v>
      </c>
      <c r="F124" s="91">
        <v>-1.49E-2</v>
      </c>
      <c r="H124" s="90">
        <v>44827</v>
      </c>
      <c r="I124" s="91">
        <v>1146.8271480000001</v>
      </c>
      <c r="J124" s="91">
        <v>1125.828857</v>
      </c>
      <c r="K124" s="91">
        <v>1113.6235349999999</v>
      </c>
      <c r="L124" s="91">
        <v>9528051</v>
      </c>
      <c r="M124" s="91">
        <v>-1.8700000000000001E-2</v>
      </c>
      <c r="O124" s="90">
        <v>44827</v>
      </c>
      <c r="P124" s="91">
        <v>736.17498780000005</v>
      </c>
      <c r="Q124" s="91">
        <v>723.07501219999995</v>
      </c>
      <c r="R124" s="91">
        <v>695.84075929999995</v>
      </c>
      <c r="S124" s="91">
        <v>15806252</v>
      </c>
      <c r="T124" s="91">
        <v>-2.6800000000000001E-2</v>
      </c>
      <c r="V124" s="90">
        <v>44827</v>
      </c>
      <c r="W124" s="91">
        <v>1367.5</v>
      </c>
      <c r="X124" s="91">
        <v>1365.4499510000001</v>
      </c>
      <c r="Y124" s="91">
        <v>1238.7536620000001</v>
      </c>
      <c r="Z124" s="91">
        <v>10426200</v>
      </c>
      <c r="AA124" s="91">
        <v>-1.8E-3</v>
      </c>
      <c r="AB124" s="91"/>
      <c r="AC124" s="90">
        <v>44827</v>
      </c>
      <c r="AD124" s="91">
        <v>1490</v>
      </c>
      <c r="AE124" s="91">
        <v>1433.650024</v>
      </c>
      <c r="AF124" s="91">
        <v>1429.325439</v>
      </c>
      <c r="AG124" s="91">
        <v>743035</v>
      </c>
      <c r="AH124" s="91">
        <v>-3.5700000000000003E-2</v>
      </c>
      <c r="AI124" s="91"/>
      <c r="AJ124" s="91">
        <f>(F124*'Part 3 Portfolio Analysis'!$B$8+M124*'Part 3 Portfolio Analysis'!$C$8+T124*'Part 3 Portfolio Analysis'!$D$8+AA124*'Part 3 Portfolio Analysis'!$E$8+AH124*'Part 3 Portfolio Analysis'!$F$8)/100</f>
        <v>-1.6357556687983235E-2</v>
      </c>
      <c r="AK124" s="91">
        <f>'Part 3 Portfolio Analysis'!$B$107*F124+M124*'Part 3 Portfolio Analysis'!$C$107+T124*'Part 3 Portfolio Analysis'!$D$107+AA124*'Part 3 Portfolio Analysis'!$E$107+AH124*'Part 3 Portfolio Analysis'!$F$107</f>
        <v>-2.18655E-2</v>
      </c>
      <c r="AL124" s="91">
        <f>F124*'Part 3 Portfolio Analysis'!$B$121+M124*'Part 3 Portfolio Analysis'!$C$121+'Part 3 Portfolio Analysis'!$D$121*T124+AA124*'Part 3 Portfolio Analysis'!$E$121+'Part 3 Portfolio Analysis'!$F$121*AH124</f>
        <v>-1.765624E-2</v>
      </c>
      <c r="AM124" s="91"/>
      <c r="AN124" s="90">
        <v>44827</v>
      </c>
      <c r="AO124" s="91">
        <v>17593.849610000001</v>
      </c>
      <c r="AP124" s="91">
        <v>17327.349610000001</v>
      </c>
      <c r="AQ124" s="91">
        <v>17327.349610000001</v>
      </c>
      <c r="AR124" s="91">
        <v>390800</v>
      </c>
      <c r="AS124" s="91">
        <v>-1.72E-2</v>
      </c>
    </row>
    <row r="125" spans="1:45" x14ac:dyDescent="0.55000000000000004">
      <c r="A125" s="90">
        <v>44830</v>
      </c>
      <c r="B125" s="91">
        <v>8744</v>
      </c>
      <c r="C125" s="91">
        <v>8534.7998050000006</v>
      </c>
      <c r="D125" s="91">
        <v>8292.8447269999997</v>
      </c>
      <c r="E125" s="91">
        <v>244456</v>
      </c>
      <c r="F125" s="91">
        <v>-3.6400000000000002E-2</v>
      </c>
      <c r="H125" s="90">
        <v>44830</v>
      </c>
      <c r="I125" s="91">
        <v>1104.853638</v>
      </c>
      <c r="J125" s="91">
        <v>1097.146606</v>
      </c>
      <c r="K125" s="91">
        <v>1085.252197</v>
      </c>
      <c r="L125" s="91">
        <v>12479523</v>
      </c>
      <c r="M125" s="91">
        <v>-2.5499999999999998E-2</v>
      </c>
      <c r="O125" s="90">
        <v>44830</v>
      </c>
      <c r="P125" s="91">
        <v>712.67498780000005</v>
      </c>
      <c r="Q125" s="91">
        <v>713.32501219999995</v>
      </c>
      <c r="R125" s="91">
        <v>686.45794679999995</v>
      </c>
      <c r="S125" s="91">
        <v>8923486</v>
      </c>
      <c r="T125" s="91">
        <v>-1.35E-2</v>
      </c>
      <c r="V125" s="90">
        <v>44830</v>
      </c>
      <c r="W125" s="91">
        <v>1360</v>
      </c>
      <c r="X125" s="91">
        <v>1380.25</v>
      </c>
      <c r="Y125" s="91">
        <v>1252.1805420000001</v>
      </c>
      <c r="Z125" s="91">
        <v>9414587</v>
      </c>
      <c r="AA125" s="91">
        <v>1.0800000000000001E-2</v>
      </c>
      <c r="AB125" s="91"/>
      <c r="AC125" s="90">
        <v>44830</v>
      </c>
      <c r="AD125" s="91">
        <v>1420</v>
      </c>
      <c r="AE125" s="91">
        <v>1408.9499510000001</v>
      </c>
      <c r="AF125" s="91">
        <v>1404.6999510000001</v>
      </c>
      <c r="AG125" s="91">
        <v>877826</v>
      </c>
      <c r="AH125" s="91">
        <v>-1.72E-2</v>
      </c>
      <c r="AI125" s="91"/>
      <c r="AJ125" s="91">
        <f>(F125*'Part 3 Portfolio Analysis'!$B$8+M125*'Part 3 Portfolio Analysis'!$C$8+T125*'Part 3 Portfolio Analysis'!$D$8+AA125*'Part 3 Portfolio Analysis'!$E$8+AH125*'Part 3 Portfolio Analysis'!$F$8)/100</f>
        <v>-2.0845238154191308E-2</v>
      </c>
      <c r="AK125" s="91">
        <f>'Part 3 Portfolio Analysis'!$B$107*F125+M125*'Part 3 Portfolio Analysis'!$C$107+T125*'Part 3 Portfolio Analysis'!$D$107+AA125*'Part 3 Portfolio Analysis'!$E$107+AH125*'Part 3 Portfolio Analysis'!$F$107</f>
        <v>-1.9880399999999999E-2</v>
      </c>
      <c r="AL125" s="91">
        <f>F125*'Part 3 Portfolio Analysis'!$B$121+M125*'Part 3 Portfolio Analysis'!$C$121+'Part 3 Portfolio Analysis'!$D$121*T125+AA125*'Part 3 Portfolio Analysis'!$E$121+'Part 3 Portfolio Analysis'!$F$121*AH125</f>
        <v>-1.5654519999999998E-2</v>
      </c>
      <c r="AM125" s="91"/>
      <c r="AN125" s="90">
        <v>44830</v>
      </c>
      <c r="AO125" s="91">
        <v>17156.300780000001</v>
      </c>
      <c r="AP125" s="91">
        <v>17016.300780000001</v>
      </c>
      <c r="AQ125" s="91">
        <v>17016.300780000001</v>
      </c>
      <c r="AR125" s="91">
        <v>492000</v>
      </c>
      <c r="AS125" s="91">
        <v>-1.7999999999999999E-2</v>
      </c>
    </row>
    <row r="126" spans="1:45" x14ac:dyDescent="0.55000000000000004">
      <c r="A126" s="90">
        <v>44831</v>
      </c>
      <c r="B126" s="91">
        <v>8581</v>
      </c>
      <c r="C126" s="91">
        <v>8336.4501949999994</v>
      </c>
      <c r="D126" s="91">
        <v>8100.1186520000001</v>
      </c>
      <c r="E126" s="91">
        <v>235819</v>
      </c>
      <c r="F126" s="91">
        <v>-2.3199999999999998E-2</v>
      </c>
      <c r="H126" s="90">
        <v>44831</v>
      </c>
      <c r="I126" s="91">
        <v>1104.8305660000001</v>
      </c>
      <c r="J126" s="91">
        <v>1105.869019</v>
      </c>
      <c r="K126" s="91">
        <v>1093.880005</v>
      </c>
      <c r="L126" s="91">
        <v>16154822</v>
      </c>
      <c r="M126" s="91">
        <v>8.0000000000000002E-3</v>
      </c>
      <c r="O126" s="90">
        <v>44831</v>
      </c>
      <c r="P126" s="91">
        <v>716.20001219999995</v>
      </c>
      <c r="Q126" s="91">
        <v>706.92498780000005</v>
      </c>
      <c r="R126" s="91">
        <v>680.29907230000003</v>
      </c>
      <c r="S126" s="91">
        <v>12639700</v>
      </c>
      <c r="T126" s="91">
        <v>-8.9999999999999993E-3</v>
      </c>
      <c r="V126" s="90">
        <v>44831</v>
      </c>
      <c r="W126" s="91">
        <v>1393.4499510000001</v>
      </c>
      <c r="X126" s="91">
        <v>1393.5500489999999</v>
      </c>
      <c r="Y126" s="91">
        <v>1264.246582</v>
      </c>
      <c r="Z126" s="91">
        <v>8561254</v>
      </c>
      <c r="AA126" s="91">
        <v>9.5999999999999992E-3</v>
      </c>
      <c r="AB126" s="91"/>
      <c r="AC126" s="90">
        <v>44831</v>
      </c>
      <c r="AD126" s="91">
        <v>1419.400024</v>
      </c>
      <c r="AE126" s="91">
        <v>1396.0500489999999</v>
      </c>
      <c r="AF126" s="91">
        <v>1391.8388669999999</v>
      </c>
      <c r="AG126" s="91">
        <v>599701</v>
      </c>
      <c r="AH126" s="91">
        <v>-9.1999999999999998E-3</v>
      </c>
      <c r="AI126" s="91"/>
      <c r="AJ126" s="91">
        <f>(F126*'Part 3 Portfolio Analysis'!$B$8+M126*'Part 3 Portfolio Analysis'!$C$8+T126*'Part 3 Portfolio Analysis'!$D$8+AA126*'Part 3 Portfolio Analysis'!$E$8+AH126*'Part 3 Portfolio Analysis'!$F$8)/100</f>
        <v>-4.1064280605698656E-3</v>
      </c>
      <c r="AK126" s="91">
        <f>'Part 3 Portfolio Analysis'!$B$107*F126+M126*'Part 3 Portfolio Analysis'!$C$107+T126*'Part 3 Portfolio Analysis'!$D$107+AA126*'Part 3 Portfolio Analysis'!$E$107+AH126*'Part 3 Portfolio Analysis'!$F$107</f>
        <v>-4.4253999999999995E-3</v>
      </c>
      <c r="AL126" s="91">
        <f>F126*'Part 3 Portfolio Analysis'!$B$121+M126*'Part 3 Portfolio Analysis'!$C$121+'Part 3 Portfolio Analysis'!$D$121*T126+AA126*'Part 3 Portfolio Analysis'!$E$121+'Part 3 Portfolio Analysis'!$F$121*AH126</f>
        <v>6.8072E-4</v>
      </c>
      <c r="AM126" s="91"/>
      <c r="AN126" s="90">
        <v>44831</v>
      </c>
      <c r="AO126" s="91">
        <v>17110.900389999999</v>
      </c>
      <c r="AP126" s="91">
        <v>17007.400389999999</v>
      </c>
      <c r="AQ126" s="91">
        <v>17007.400389999999</v>
      </c>
      <c r="AR126" s="91">
        <v>359900</v>
      </c>
      <c r="AS126" s="91">
        <v>-5.0000000000000001E-4</v>
      </c>
    </row>
    <row r="127" spans="1:45" x14ac:dyDescent="0.55000000000000004">
      <c r="A127" s="90">
        <v>44832</v>
      </c>
      <c r="B127" s="91">
        <v>8279.9003909999992</v>
      </c>
      <c r="C127" s="91">
        <v>8422.4501949999994</v>
      </c>
      <c r="D127" s="91">
        <v>8183.6806640000004</v>
      </c>
      <c r="E127" s="91">
        <v>230368</v>
      </c>
      <c r="F127" s="91">
        <v>1.03E-2</v>
      </c>
      <c r="H127" s="90">
        <v>44832</v>
      </c>
      <c r="I127" s="91">
        <v>1089.3011469999999</v>
      </c>
      <c r="J127" s="91">
        <v>1076.425293</v>
      </c>
      <c r="K127" s="91">
        <v>1064.7554929999999</v>
      </c>
      <c r="L127" s="91">
        <v>16997059</v>
      </c>
      <c r="M127" s="91">
        <v>-2.6599999999999999E-2</v>
      </c>
      <c r="O127" s="90">
        <v>44832</v>
      </c>
      <c r="P127" s="91">
        <v>703</v>
      </c>
      <c r="Q127" s="91">
        <v>694.77502440000001</v>
      </c>
      <c r="R127" s="91">
        <v>668.60662839999998</v>
      </c>
      <c r="S127" s="91">
        <v>11816132</v>
      </c>
      <c r="T127" s="91">
        <v>-1.72E-2</v>
      </c>
      <c r="V127" s="90">
        <v>44832</v>
      </c>
      <c r="W127" s="91">
        <v>1379</v>
      </c>
      <c r="X127" s="91">
        <v>1394.6999510000001</v>
      </c>
      <c r="Y127" s="91">
        <v>1265.289673</v>
      </c>
      <c r="Z127" s="91">
        <v>7022098</v>
      </c>
      <c r="AA127" s="91">
        <v>8.0000000000000004E-4</v>
      </c>
      <c r="AB127" s="91"/>
      <c r="AC127" s="90">
        <v>44832</v>
      </c>
      <c r="AD127" s="91">
        <v>1387</v>
      </c>
      <c r="AE127" s="91">
        <v>1388.150024</v>
      </c>
      <c r="AF127" s="91">
        <v>1383.962769</v>
      </c>
      <c r="AG127" s="91">
        <v>341570</v>
      </c>
      <c r="AH127" s="91">
        <v>-5.7000000000000002E-3</v>
      </c>
      <c r="AI127" s="91"/>
      <c r="AJ127" s="91">
        <f>(F127*'Part 3 Portfolio Analysis'!$B$8+M127*'Part 3 Portfolio Analysis'!$C$8+T127*'Part 3 Portfolio Analysis'!$D$8+AA127*'Part 3 Portfolio Analysis'!$E$8+AH127*'Part 3 Portfolio Analysis'!$F$8)/100</f>
        <v>-9.3481126276342367E-3</v>
      </c>
      <c r="AK127" s="91">
        <f>'Part 3 Portfolio Analysis'!$B$107*F127+M127*'Part 3 Portfolio Analysis'!$C$107+T127*'Part 3 Portfolio Analysis'!$D$107+AA127*'Part 3 Portfolio Analysis'!$E$107+AH127*'Part 3 Portfolio Analysis'!$F$107</f>
        <v>-1.0494199999999999E-2</v>
      </c>
      <c r="AL127" s="91">
        <f>F127*'Part 3 Portfolio Analysis'!$B$121+M127*'Part 3 Portfolio Analysis'!$C$121+'Part 3 Portfolio Analysis'!$D$121*T127+AA127*'Part 3 Portfolio Analysis'!$E$121+'Part 3 Portfolio Analysis'!$F$121*AH127</f>
        <v>-1.4982439999999998E-2</v>
      </c>
      <c r="AM127" s="91"/>
      <c r="AN127" s="90">
        <v>44832</v>
      </c>
      <c r="AO127" s="91">
        <v>16870.550780000001</v>
      </c>
      <c r="AP127" s="91">
        <v>16858.599610000001</v>
      </c>
      <c r="AQ127" s="91">
        <v>16858.599610000001</v>
      </c>
      <c r="AR127" s="91">
        <v>323900</v>
      </c>
      <c r="AS127" s="91">
        <v>-8.6999999999999994E-3</v>
      </c>
    </row>
    <row r="128" spans="1:45" x14ac:dyDescent="0.55000000000000004">
      <c r="A128" s="90">
        <v>44833</v>
      </c>
      <c r="B128" s="91">
        <v>8500</v>
      </c>
      <c r="C128" s="91">
        <v>8428.5996090000008</v>
      </c>
      <c r="D128" s="91">
        <v>8189.6557620000003</v>
      </c>
      <c r="E128" s="91">
        <v>147171</v>
      </c>
      <c r="F128" s="91">
        <v>6.9999999999999999E-4</v>
      </c>
      <c r="H128" s="90">
        <v>44833</v>
      </c>
      <c r="I128" s="91">
        <v>1089.1396480000001</v>
      </c>
      <c r="J128" s="91">
        <v>1073.1256100000001</v>
      </c>
      <c r="K128" s="91">
        <v>1061.491577</v>
      </c>
      <c r="L128" s="91">
        <v>14671827</v>
      </c>
      <c r="M128" s="91">
        <v>-3.0999999999999999E-3</v>
      </c>
      <c r="O128" s="90">
        <v>44833</v>
      </c>
      <c r="P128" s="91">
        <v>698.15002440000001</v>
      </c>
      <c r="Q128" s="91">
        <v>691.17498780000005</v>
      </c>
      <c r="R128" s="91">
        <v>665.14221190000001</v>
      </c>
      <c r="S128" s="91">
        <v>14410388</v>
      </c>
      <c r="T128" s="91">
        <v>-5.1999999999999998E-3</v>
      </c>
      <c r="V128" s="90">
        <v>44833</v>
      </c>
      <c r="W128" s="91">
        <v>1404.900024</v>
      </c>
      <c r="X128" s="91">
        <v>1398.650024</v>
      </c>
      <c r="Y128" s="91">
        <v>1268.8732910000001</v>
      </c>
      <c r="Z128" s="91">
        <v>6119965</v>
      </c>
      <c r="AA128" s="91">
        <v>2.8E-3</v>
      </c>
      <c r="AB128" s="91"/>
      <c r="AC128" s="90">
        <v>44833</v>
      </c>
      <c r="AD128" s="91">
        <v>1403</v>
      </c>
      <c r="AE128" s="91">
        <v>1397.650024</v>
      </c>
      <c r="AF128" s="91">
        <v>1393.434082</v>
      </c>
      <c r="AG128" s="91">
        <v>513074</v>
      </c>
      <c r="AH128" s="91">
        <v>6.7999999999999996E-3</v>
      </c>
      <c r="AI128" s="91"/>
      <c r="AJ128" s="91">
        <f>(F128*'Part 3 Portfolio Analysis'!$B$8+M128*'Part 3 Portfolio Analysis'!$C$8+T128*'Part 3 Portfolio Analysis'!$D$8+AA128*'Part 3 Portfolio Analysis'!$E$8+AH128*'Part 3 Portfolio Analysis'!$F$8)/100</f>
        <v>-1.2640400001743687E-3</v>
      </c>
      <c r="AK128" s="91">
        <f>'Part 3 Portfolio Analysis'!$B$107*F128+M128*'Part 3 Portfolio Analysis'!$C$107+T128*'Part 3 Portfolio Analysis'!$D$107+AA128*'Part 3 Portfolio Analysis'!$E$107+AH128*'Part 3 Portfolio Analysis'!$F$107</f>
        <v>3.4330000000000016E-4</v>
      </c>
      <c r="AL128" s="91">
        <f>F128*'Part 3 Portfolio Analysis'!$B$121+M128*'Part 3 Portfolio Analysis'!$C$121+'Part 3 Portfolio Analysis'!$D$121*T128+AA128*'Part 3 Portfolio Analysis'!$E$121+'Part 3 Portfolio Analysis'!$F$121*AH128</f>
        <v>-1.9194599999999998E-3</v>
      </c>
      <c r="AM128" s="91"/>
      <c r="AN128" s="90">
        <v>44833</v>
      </c>
      <c r="AO128" s="91">
        <v>16993.599610000001</v>
      </c>
      <c r="AP128" s="91">
        <v>16818.099610000001</v>
      </c>
      <c r="AQ128" s="91">
        <v>16818.099610000001</v>
      </c>
      <c r="AR128" s="91">
        <v>340000</v>
      </c>
      <c r="AS128" s="91">
        <v>-2.3999999999999998E-3</v>
      </c>
    </row>
    <row r="129" spans="1:45" x14ac:dyDescent="0.55000000000000004">
      <c r="A129" s="90">
        <v>44834</v>
      </c>
      <c r="B129" s="91">
        <v>8397</v>
      </c>
      <c r="C129" s="91">
        <v>8556.4501949999994</v>
      </c>
      <c r="D129" s="91">
        <v>8313.8818360000005</v>
      </c>
      <c r="E129" s="91">
        <v>183744</v>
      </c>
      <c r="F129" s="91">
        <v>1.52E-2</v>
      </c>
      <c r="H129" s="90">
        <v>44834</v>
      </c>
      <c r="I129" s="91">
        <v>1066.5261230000001</v>
      </c>
      <c r="J129" s="91">
        <v>1097.3312989999999</v>
      </c>
      <c r="K129" s="91">
        <v>1085.434814</v>
      </c>
      <c r="L129" s="91">
        <v>18613024</v>
      </c>
      <c r="M129" s="91">
        <v>2.2599999999999999E-2</v>
      </c>
      <c r="O129" s="90">
        <v>44834</v>
      </c>
      <c r="P129" s="91">
        <v>689.40002440000001</v>
      </c>
      <c r="Q129" s="91">
        <v>710.67498780000005</v>
      </c>
      <c r="R129" s="91">
        <v>683.90783690000001</v>
      </c>
      <c r="S129" s="91">
        <v>15781756</v>
      </c>
      <c r="T129" s="91">
        <v>2.8199999999999999E-2</v>
      </c>
      <c r="V129" s="90">
        <v>44834</v>
      </c>
      <c r="W129" s="91">
        <v>1388.9499510000001</v>
      </c>
      <c r="X129" s="91">
        <v>1413.4499510000001</v>
      </c>
      <c r="Y129" s="91">
        <v>1282.299927</v>
      </c>
      <c r="Z129" s="91">
        <v>8120130</v>
      </c>
      <c r="AA129" s="91">
        <v>1.06E-2</v>
      </c>
      <c r="AB129" s="91"/>
      <c r="AC129" s="90">
        <v>44834</v>
      </c>
      <c r="AD129" s="91">
        <v>1397.6999510000001</v>
      </c>
      <c r="AE129" s="91">
        <v>1420</v>
      </c>
      <c r="AF129" s="91">
        <v>1415.7166749999999</v>
      </c>
      <c r="AG129" s="91">
        <v>721128</v>
      </c>
      <c r="AH129" s="91">
        <v>1.6E-2</v>
      </c>
      <c r="AI129" s="91"/>
      <c r="AJ129" s="91">
        <f>(F129*'Part 3 Portfolio Analysis'!$B$8+M129*'Part 3 Portfolio Analysis'!$C$8+T129*'Part 3 Portfolio Analysis'!$D$8+AA129*'Part 3 Portfolio Analysis'!$E$8+AH129*'Part 3 Portfolio Analysis'!$F$8)/100</f>
        <v>1.9318442544794586E-2</v>
      </c>
      <c r="AK129" s="91">
        <f>'Part 3 Portfolio Analysis'!$B$107*F129+M129*'Part 3 Portfolio Analysis'!$C$107+T129*'Part 3 Portfolio Analysis'!$D$107+AA129*'Part 3 Portfolio Analysis'!$E$107+AH129*'Part 3 Portfolio Analysis'!$F$107</f>
        <v>1.92728E-2</v>
      </c>
      <c r="AL129" s="91">
        <f>F129*'Part 3 Portfolio Analysis'!$B$121+M129*'Part 3 Portfolio Analysis'!$C$121+'Part 3 Portfolio Analysis'!$D$121*T129+AA129*'Part 3 Portfolio Analysis'!$E$121+'Part 3 Portfolio Analysis'!$F$121*AH129</f>
        <v>2.0941999999999999E-2</v>
      </c>
      <c r="AM129" s="91"/>
      <c r="AN129" s="90">
        <v>44834</v>
      </c>
      <c r="AO129" s="91">
        <v>16798.050780000001</v>
      </c>
      <c r="AP129" s="91">
        <v>17094.349610000001</v>
      </c>
      <c r="AQ129" s="91">
        <v>17094.349610000001</v>
      </c>
      <c r="AR129" s="91">
        <v>376100</v>
      </c>
      <c r="AS129" s="91">
        <v>1.6400000000000001E-2</v>
      </c>
    </row>
    <row r="130" spans="1:45" x14ac:dyDescent="0.55000000000000004">
      <c r="A130" s="90">
        <v>44837</v>
      </c>
      <c r="B130" s="91">
        <v>8480</v>
      </c>
      <c r="C130" s="91">
        <v>8312.5</v>
      </c>
      <c r="D130" s="91">
        <v>8076.8481449999999</v>
      </c>
      <c r="E130" s="91">
        <v>188648</v>
      </c>
      <c r="F130" s="91">
        <v>-2.8500000000000001E-2</v>
      </c>
      <c r="H130" s="90">
        <v>44837</v>
      </c>
      <c r="I130" s="91">
        <v>1103.67688</v>
      </c>
      <c r="J130" s="91">
        <v>1093.5239260000001</v>
      </c>
      <c r="K130" s="91">
        <v>1081.668823</v>
      </c>
      <c r="L130" s="91">
        <v>11852723</v>
      </c>
      <c r="M130" s="91">
        <v>-3.5000000000000001E-3</v>
      </c>
      <c r="O130" s="90">
        <v>44837</v>
      </c>
      <c r="P130" s="91">
        <v>704.97497559999999</v>
      </c>
      <c r="Q130" s="91">
        <v>706.59997559999999</v>
      </c>
      <c r="R130" s="91">
        <v>679.98626709999996</v>
      </c>
      <c r="S130" s="91">
        <v>11541112</v>
      </c>
      <c r="T130" s="91">
        <v>-5.7000000000000002E-3</v>
      </c>
      <c r="V130" s="90">
        <v>44837</v>
      </c>
      <c r="W130" s="91">
        <v>1412</v>
      </c>
      <c r="X130" s="91">
        <v>1393.75</v>
      </c>
      <c r="Y130" s="91">
        <v>1264.4279790000001</v>
      </c>
      <c r="Z130" s="91">
        <v>4943169</v>
      </c>
      <c r="AA130" s="91">
        <v>-1.3899999999999999E-2</v>
      </c>
      <c r="AB130" s="91"/>
      <c r="AC130" s="90">
        <v>44837</v>
      </c>
      <c r="AD130" s="91">
        <v>1419</v>
      </c>
      <c r="AE130" s="91">
        <v>1389.8000489999999</v>
      </c>
      <c r="AF130" s="91">
        <v>1385.6076660000001</v>
      </c>
      <c r="AG130" s="91">
        <v>487553</v>
      </c>
      <c r="AH130" s="91">
        <v>-2.1299999999999999E-2</v>
      </c>
      <c r="AI130" s="91"/>
      <c r="AJ130" s="91">
        <f>(F130*'Part 3 Portfolio Analysis'!$B$8+M130*'Part 3 Portfolio Analysis'!$C$8+T130*'Part 3 Portfolio Analysis'!$D$8+AA130*'Part 3 Portfolio Analysis'!$E$8+AH130*'Part 3 Portfolio Analysis'!$F$8)/100</f>
        <v>-1.3214667090963781E-2</v>
      </c>
      <c r="AK130" s="91">
        <f>'Part 3 Portfolio Analysis'!$B$107*F130+M130*'Part 3 Portfolio Analysis'!$C$107+T130*'Part 3 Portfolio Analysis'!$D$107+AA130*'Part 3 Portfolio Analysis'!$E$107+AH130*'Part 3 Portfolio Analysis'!$F$107</f>
        <v>-1.38666E-2</v>
      </c>
      <c r="AL130" s="91">
        <f>F130*'Part 3 Portfolio Analysis'!$B$121+M130*'Part 3 Portfolio Analysis'!$C$121+'Part 3 Portfolio Analysis'!$D$121*T130+AA130*'Part 3 Portfolio Analysis'!$E$121+'Part 3 Portfolio Analysis'!$F$121*AH130</f>
        <v>-8.6997600000000008E-3</v>
      </c>
      <c r="AM130" s="91"/>
      <c r="AN130" s="90">
        <v>44837</v>
      </c>
      <c r="AO130" s="91">
        <v>17102.099610000001</v>
      </c>
      <c r="AP130" s="91">
        <v>16887.349610000001</v>
      </c>
      <c r="AQ130" s="91">
        <v>16887.349610000001</v>
      </c>
      <c r="AR130" s="91">
        <v>278400</v>
      </c>
      <c r="AS130" s="91">
        <v>-1.21E-2</v>
      </c>
    </row>
    <row r="131" spans="1:45" x14ac:dyDescent="0.55000000000000004">
      <c r="A131" s="90">
        <v>44838</v>
      </c>
      <c r="B131" s="91">
        <v>8488</v>
      </c>
      <c r="C131" s="91">
        <v>8489.2998050000006</v>
      </c>
      <c r="D131" s="91">
        <v>8248.6357420000004</v>
      </c>
      <c r="E131" s="91">
        <v>139119</v>
      </c>
      <c r="F131" s="91">
        <v>2.1299999999999999E-2</v>
      </c>
      <c r="H131" s="90">
        <v>44838</v>
      </c>
      <c r="I131" s="91">
        <v>1106.584351</v>
      </c>
      <c r="J131" s="91">
        <v>1113.6914059999999</v>
      </c>
      <c r="K131" s="91">
        <v>1101.6176760000001</v>
      </c>
      <c r="L131" s="91">
        <v>8948850</v>
      </c>
      <c r="M131" s="91">
        <v>1.84E-2</v>
      </c>
      <c r="O131" s="90">
        <v>44838</v>
      </c>
      <c r="P131" s="91">
        <v>714.75</v>
      </c>
      <c r="Q131" s="91">
        <v>726.5</v>
      </c>
      <c r="R131" s="91">
        <v>699.13671880000004</v>
      </c>
      <c r="S131" s="91">
        <v>11538526</v>
      </c>
      <c r="T131" s="91">
        <v>2.8199999999999999E-2</v>
      </c>
      <c r="V131" s="90">
        <v>44838</v>
      </c>
      <c r="W131" s="91">
        <v>1419.6999510000001</v>
      </c>
      <c r="X131" s="91">
        <v>1429.400024</v>
      </c>
      <c r="Y131" s="91">
        <v>1296.7701420000001</v>
      </c>
      <c r="Z131" s="91">
        <v>6631341</v>
      </c>
      <c r="AA131" s="91">
        <v>2.5600000000000001E-2</v>
      </c>
      <c r="AB131" s="91"/>
      <c r="AC131" s="90">
        <v>44838</v>
      </c>
      <c r="AD131" s="91">
        <v>1410</v>
      </c>
      <c r="AE131" s="91">
        <v>1431.4499510000001</v>
      </c>
      <c r="AF131" s="91">
        <v>1427.1320800000001</v>
      </c>
      <c r="AG131" s="91">
        <v>669791</v>
      </c>
      <c r="AH131" s="91">
        <v>0.03</v>
      </c>
      <c r="AI131" s="91"/>
      <c r="AJ131" s="91">
        <f>(F131*'Part 3 Portfolio Analysis'!$B$8+M131*'Part 3 Portfolio Analysis'!$C$8+T131*'Part 3 Portfolio Analysis'!$D$8+AA131*'Part 3 Portfolio Analysis'!$E$8+AH131*'Part 3 Portfolio Analysis'!$F$8)/100</f>
        <v>2.2176859890409285E-2</v>
      </c>
      <c r="AK131" s="91">
        <f>'Part 3 Portfolio Analysis'!$B$107*F131+M131*'Part 3 Portfolio Analysis'!$C$107+T131*'Part 3 Portfolio Analysis'!$D$107+AA131*'Part 3 Portfolio Analysis'!$E$107+AH131*'Part 3 Portfolio Analysis'!$F$107</f>
        <v>2.40842E-2</v>
      </c>
      <c r="AL131" s="91">
        <f>F131*'Part 3 Portfolio Analysis'!$B$121+M131*'Part 3 Portfolio Analysis'!$C$121+'Part 3 Portfolio Analysis'!$D$121*T131+AA131*'Part 3 Portfolio Analysis'!$E$121+'Part 3 Portfolio Analysis'!$F$121*AH131</f>
        <v>2.3047899999999996E-2</v>
      </c>
      <c r="AM131" s="91"/>
      <c r="AN131" s="90">
        <v>44838</v>
      </c>
      <c r="AO131" s="91">
        <v>17147.449219999999</v>
      </c>
      <c r="AP131" s="91">
        <v>17274.300780000001</v>
      </c>
      <c r="AQ131" s="91">
        <v>17274.300780000001</v>
      </c>
      <c r="AR131" s="91">
        <v>226000</v>
      </c>
      <c r="AS131" s="91">
        <v>2.29E-2</v>
      </c>
    </row>
    <row r="132" spans="1:45" x14ac:dyDescent="0.55000000000000004">
      <c r="A132" s="90">
        <v>44840</v>
      </c>
      <c r="B132" s="91">
        <v>8590</v>
      </c>
      <c r="C132" s="91">
        <v>8575.9501949999994</v>
      </c>
      <c r="D132" s="91">
        <v>8332.8291019999997</v>
      </c>
      <c r="E132" s="91">
        <v>187023</v>
      </c>
      <c r="F132" s="91">
        <v>1.0200000000000001E-2</v>
      </c>
      <c r="H132" s="90">
        <v>44840</v>
      </c>
      <c r="I132" s="91">
        <v>1120.983154</v>
      </c>
      <c r="J132" s="91">
        <v>1117.798706</v>
      </c>
      <c r="K132" s="91">
        <v>1105.6804199999999</v>
      </c>
      <c r="L132" s="91">
        <v>13352162</v>
      </c>
      <c r="M132" s="91">
        <v>3.7000000000000002E-3</v>
      </c>
      <c r="O132" s="90">
        <v>44840</v>
      </c>
      <c r="P132" s="91">
        <v>729.97497559999999</v>
      </c>
      <c r="Q132" s="91">
        <v>718.5</v>
      </c>
      <c r="R132" s="91">
        <v>691.43811040000003</v>
      </c>
      <c r="S132" s="91">
        <v>12549198</v>
      </c>
      <c r="T132" s="91">
        <v>-1.0999999999999999E-2</v>
      </c>
      <c r="V132" s="90">
        <v>44840</v>
      </c>
      <c r="W132" s="91">
        <v>1445</v>
      </c>
      <c r="X132" s="91">
        <v>1455.150024</v>
      </c>
      <c r="Y132" s="91">
        <v>1320.1308590000001</v>
      </c>
      <c r="Z132" s="91">
        <v>6180672</v>
      </c>
      <c r="AA132" s="91">
        <v>1.7999999999999999E-2</v>
      </c>
      <c r="AB132" s="91"/>
      <c r="AC132" s="90">
        <v>44840</v>
      </c>
      <c r="AD132" s="91">
        <v>1438.900024</v>
      </c>
      <c r="AE132" s="91">
        <v>1447.400024</v>
      </c>
      <c r="AF132" s="91">
        <v>1443.033936</v>
      </c>
      <c r="AG132" s="91">
        <v>572255</v>
      </c>
      <c r="AH132" s="91">
        <v>1.11E-2</v>
      </c>
      <c r="AI132" s="91"/>
      <c r="AJ132" s="91">
        <f>(F132*'Part 3 Portfolio Analysis'!$B$8+M132*'Part 3 Portfolio Analysis'!$C$8+T132*'Part 3 Portfolio Analysis'!$D$8+AA132*'Part 3 Portfolio Analysis'!$E$8+AH132*'Part 3 Portfolio Analysis'!$F$8)/100</f>
        <v>5.5715279694622324E-3</v>
      </c>
      <c r="AK132" s="91">
        <f>'Part 3 Portfolio Analysis'!$B$107*F132+M132*'Part 3 Portfolio Analysis'!$C$107+T132*'Part 3 Portfolio Analysis'!$D$107+AA132*'Part 3 Portfolio Analysis'!$E$107+AH132*'Part 3 Portfolio Analysis'!$F$107</f>
        <v>5.8863000000000006E-3</v>
      </c>
      <c r="AL132" s="91">
        <f>F132*'Part 3 Portfolio Analysis'!$B$121+M132*'Part 3 Portfolio Analysis'!$C$121+'Part 3 Portfolio Analysis'!$D$121*T132+AA132*'Part 3 Portfolio Analysis'!$E$121+'Part 3 Portfolio Analysis'!$F$121*AH132</f>
        <v>3.28978E-3</v>
      </c>
      <c r="AM132" s="91"/>
      <c r="AN132" s="90">
        <v>44840</v>
      </c>
      <c r="AO132" s="91">
        <v>17379.25</v>
      </c>
      <c r="AP132" s="91">
        <v>17331.800780000001</v>
      </c>
      <c r="AQ132" s="91">
        <v>17331.800780000001</v>
      </c>
      <c r="AR132" s="91">
        <v>265500</v>
      </c>
      <c r="AS132" s="91">
        <v>3.3E-3</v>
      </c>
    </row>
    <row r="133" spans="1:45" x14ac:dyDescent="0.55000000000000004">
      <c r="A133" s="90">
        <v>44841</v>
      </c>
      <c r="B133" s="91">
        <v>8614.9003909999992</v>
      </c>
      <c r="C133" s="91">
        <v>8550.0498050000006</v>
      </c>
      <c r="D133" s="91">
        <v>8307.6630860000005</v>
      </c>
      <c r="E133" s="91">
        <v>128245</v>
      </c>
      <c r="F133" s="91">
        <v>-3.0000000000000001E-3</v>
      </c>
      <c r="H133" s="90">
        <v>44841</v>
      </c>
      <c r="I133" s="91">
        <v>1114.360596</v>
      </c>
      <c r="J133" s="91">
        <v>1122.5291749999999</v>
      </c>
      <c r="K133" s="91">
        <v>1110.3596190000001</v>
      </c>
      <c r="L133" s="91">
        <v>7714340</v>
      </c>
      <c r="M133" s="91">
        <v>4.1999999999999997E-3</v>
      </c>
      <c r="O133" s="90">
        <v>44841</v>
      </c>
      <c r="P133" s="91">
        <v>715.125</v>
      </c>
      <c r="Q133" s="91">
        <v>715.40002440000001</v>
      </c>
      <c r="R133" s="91">
        <v>688.45477289999997</v>
      </c>
      <c r="S133" s="91">
        <v>13297994</v>
      </c>
      <c r="T133" s="91">
        <v>-4.3E-3</v>
      </c>
      <c r="V133" s="90">
        <v>44841</v>
      </c>
      <c r="W133" s="91">
        <v>1446.349976</v>
      </c>
      <c r="X133" s="91">
        <v>1451.1999510000001</v>
      </c>
      <c r="Y133" s="91">
        <v>1316.547241</v>
      </c>
      <c r="Z133" s="91">
        <v>3994466</v>
      </c>
      <c r="AA133" s="91">
        <v>-2.7000000000000001E-3</v>
      </c>
      <c r="AB133" s="91"/>
      <c r="AC133" s="90">
        <v>44841</v>
      </c>
      <c r="AD133" s="91">
        <v>1455</v>
      </c>
      <c r="AE133" s="91">
        <v>1450.75</v>
      </c>
      <c r="AF133" s="91">
        <v>1446.3739009999999</v>
      </c>
      <c r="AG133" s="91">
        <v>633829</v>
      </c>
      <c r="AH133" s="91">
        <v>2.3E-3</v>
      </c>
      <c r="AI133" s="91"/>
      <c r="AJ133" s="91">
        <f>(F133*'Part 3 Portfolio Analysis'!$B$8+M133*'Part 3 Portfolio Analysis'!$C$8+T133*'Part 3 Portfolio Analysis'!$D$8+AA133*'Part 3 Portfolio Analysis'!$E$8+AH133*'Part 3 Portfolio Analysis'!$F$8)/100</f>
        <v>-5.0691941987541362E-4</v>
      </c>
      <c r="AK133" s="91">
        <f>'Part 3 Portfolio Analysis'!$B$107*F133+M133*'Part 3 Portfolio Analysis'!$C$107+T133*'Part 3 Portfolio Analysis'!$D$107+AA133*'Part 3 Portfolio Analysis'!$E$107+AH133*'Part 3 Portfolio Analysis'!$F$107</f>
        <v>4.1769999999999996E-4</v>
      </c>
      <c r="AL133" s="91">
        <f>F133*'Part 3 Portfolio Analysis'!$B$121+M133*'Part 3 Portfolio Analysis'!$C$121+'Part 3 Portfolio Analysis'!$D$121*T133+AA133*'Part 3 Portfolio Analysis'!$E$121+'Part 3 Portfolio Analysis'!$F$121*AH133</f>
        <v>-1.3362000000000034E-4</v>
      </c>
      <c r="AM133" s="91"/>
      <c r="AN133" s="90">
        <v>44841</v>
      </c>
      <c r="AO133" s="91">
        <v>17287.199219999999</v>
      </c>
      <c r="AP133" s="91">
        <v>17314.650389999999</v>
      </c>
      <c r="AQ133" s="91">
        <v>17314.650389999999</v>
      </c>
      <c r="AR133" s="91">
        <v>216300</v>
      </c>
      <c r="AS133" s="91">
        <v>-1E-3</v>
      </c>
    </row>
    <row r="134" spans="1:45" x14ac:dyDescent="0.55000000000000004">
      <c r="A134" s="90">
        <v>44844</v>
      </c>
      <c r="B134" s="91">
        <v>8450</v>
      </c>
      <c r="C134" s="91">
        <v>8584.2001949999994</v>
      </c>
      <c r="D134" s="91">
        <v>8340.8457030000009</v>
      </c>
      <c r="E134" s="91">
        <v>127500</v>
      </c>
      <c r="F134" s="91">
        <v>4.0000000000000001E-3</v>
      </c>
      <c r="H134" s="90">
        <v>44844</v>
      </c>
      <c r="I134" s="91">
        <v>1109.9071039999999</v>
      </c>
      <c r="J134" s="91">
        <v>1110.2763669999999</v>
      </c>
      <c r="K134" s="91">
        <v>1098.239624</v>
      </c>
      <c r="L134" s="91">
        <v>6329527</v>
      </c>
      <c r="M134" s="91">
        <v>-1.09E-2</v>
      </c>
      <c r="O134" s="90">
        <v>44844</v>
      </c>
      <c r="P134" s="91">
        <v>704</v>
      </c>
      <c r="Q134" s="91">
        <v>707.5</v>
      </c>
      <c r="R134" s="91">
        <v>680.85235599999999</v>
      </c>
      <c r="S134" s="91">
        <v>13109302</v>
      </c>
      <c r="T134" s="91">
        <v>-1.0999999999999999E-2</v>
      </c>
      <c r="V134" s="90">
        <v>44844</v>
      </c>
      <c r="W134" s="91">
        <v>1426.349976</v>
      </c>
      <c r="X134" s="91">
        <v>1462.650024</v>
      </c>
      <c r="Y134" s="91">
        <v>1326.934937</v>
      </c>
      <c r="Z134" s="91">
        <v>5274677</v>
      </c>
      <c r="AA134" s="91">
        <v>7.9000000000000008E-3</v>
      </c>
      <c r="AB134" s="91"/>
      <c r="AC134" s="90">
        <v>44844</v>
      </c>
      <c r="AD134" s="91">
        <v>1430</v>
      </c>
      <c r="AE134" s="91">
        <v>1431.849976</v>
      </c>
      <c r="AF134" s="91">
        <v>1427.530884</v>
      </c>
      <c r="AG134" s="91">
        <v>532783</v>
      </c>
      <c r="AH134" s="91">
        <v>-1.2999999999999999E-2</v>
      </c>
      <c r="AI134" s="91"/>
      <c r="AJ134" s="91">
        <f>(F134*'Part 3 Portfolio Analysis'!$B$8+M134*'Part 3 Portfolio Analysis'!$C$8+T134*'Part 3 Portfolio Analysis'!$D$8+AA134*'Part 3 Portfolio Analysis'!$E$8+AH134*'Part 3 Portfolio Analysis'!$F$8)/100</f>
        <v>-3.441654709334681E-3</v>
      </c>
      <c r="AK134" s="91">
        <f>'Part 3 Portfolio Analysis'!$B$107*F134+M134*'Part 3 Portfolio Analysis'!$C$107+T134*'Part 3 Portfolio Analysis'!$D$107+AA134*'Part 3 Portfolio Analysis'!$E$107+AH134*'Part 3 Portfolio Analysis'!$F$107</f>
        <v>-6.8827000000000003E-3</v>
      </c>
      <c r="AL134" s="91">
        <f>F134*'Part 3 Portfolio Analysis'!$B$121+M134*'Part 3 Portfolio Analysis'!$C$121+'Part 3 Portfolio Analysis'!$D$121*T134+AA134*'Part 3 Portfolio Analysis'!$E$121+'Part 3 Portfolio Analysis'!$F$121*AH134</f>
        <v>-5.9974399999999997E-3</v>
      </c>
      <c r="AM134" s="91"/>
      <c r="AN134" s="90">
        <v>44844</v>
      </c>
      <c r="AO134" s="91">
        <v>17094.349610000001</v>
      </c>
      <c r="AP134" s="91">
        <v>17241</v>
      </c>
      <c r="AQ134" s="91">
        <v>17241</v>
      </c>
      <c r="AR134" s="91">
        <v>234000</v>
      </c>
      <c r="AS134" s="91">
        <v>-4.3E-3</v>
      </c>
    </row>
    <row r="135" spans="1:45" x14ac:dyDescent="0.55000000000000004">
      <c r="A135" s="90">
        <v>44845</v>
      </c>
      <c r="B135" s="91">
        <v>8660</v>
      </c>
      <c r="C135" s="91">
        <v>8509.9003909999992</v>
      </c>
      <c r="D135" s="91">
        <v>8268.6513670000004</v>
      </c>
      <c r="E135" s="91">
        <v>117106</v>
      </c>
      <c r="F135" s="91">
        <v>-8.6999999999999994E-3</v>
      </c>
      <c r="H135" s="90">
        <v>44845</v>
      </c>
      <c r="I135" s="91">
        <v>1114.060547</v>
      </c>
      <c r="J135" s="91">
        <v>1088.1704099999999</v>
      </c>
      <c r="K135" s="91">
        <v>1076.373413</v>
      </c>
      <c r="L135" s="91">
        <v>9215177</v>
      </c>
      <c r="M135" s="91">
        <v>-1.9900000000000001E-2</v>
      </c>
      <c r="O135" s="90">
        <v>44845</v>
      </c>
      <c r="P135" s="91">
        <v>700.54998780000005</v>
      </c>
      <c r="Q135" s="91">
        <v>700.32501219999995</v>
      </c>
      <c r="R135" s="91">
        <v>673.94763179999995</v>
      </c>
      <c r="S135" s="91">
        <v>14521620</v>
      </c>
      <c r="T135" s="91">
        <v>-1.01E-2</v>
      </c>
      <c r="V135" s="90">
        <v>44845</v>
      </c>
      <c r="W135" s="91">
        <v>1462.650024</v>
      </c>
      <c r="X135" s="91">
        <v>1423.8000489999999</v>
      </c>
      <c r="Y135" s="91">
        <v>1291.6895750000001</v>
      </c>
      <c r="Z135" s="91">
        <v>12824774</v>
      </c>
      <c r="AA135" s="91">
        <v>-2.6599999999999999E-2</v>
      </c>
      <c r="AB135" s="91"/>
      <c r="AC135" s="90">
        <v>44845</v>
      </c>
      <c r="AD135" s="91">
        <v>1446.25</v>
      </c>
      <c r="AE135" s="91">
        <v>1423.0500489999999</v>
      </c>
      <c r="AF135" s="91">
        <v>1418.7574460000001</v>
      </c>
      <c r="AG135" s="91">
        <v>670168</v>
      </c>
      <c r="AH135" s="91">
        <v>-6.1000000000000004E-3</v>
      </c>
      <c r="AI135" s="91"/>
      <c r="AJ135" s="91">
        <f>(F135*'Part 3 Portfolio Analysis'!$B$8+M135*'Part 3 Portfolio Analysis'!$C$8+T135*'Part 3 Portfolio Analysis'!$D$8+AA135*'Part 3 Portfolio Analysis'!$E$8+AH135*'Part 3 Portfolio Analysis'!$F$8)/100</f>
        <v>-1.5848614818140736E-2</v>
      </c>
      <c r="AK135" s="91">
        <f>'Part 3 Portfolio Analysis'!$B$107*F135+M135*'Part 3 Portfolio Analysis'!$C$107+T135*'Part 3 Portfolio Analysis'!$D$107+AA135*'Part 3 Portfolio Analysis'!$E$107+AH135*'Part 3 Portfolio Analysis'!$F$107</f>
        <v>-1.3557399999999999E-2</v>
      </c>
      <c r="AL135" s="91">
        <f>F135*'Part 3 Portfolio Analysis'!$B$121+M135*'Part 3 Portfolio Analysis'!$C$121+'Part 3 Portfolio Analysis'!$D$121*T135+AA135*'Part 3 Portfolio Analysis'!$E$121+'Part 3 Portfolio Analysis'!$F$121*AH135</f>
        <v>-1.7292200000000001E-2</v>
      </c>
      <c r="AM135" s="91"/>
      <c r="AN135" s="90">
        <v>44845</v>
      </c>
      <c r="AO135" s="91">
        <v>17256.050780000001</v>
      </c>
      <c r="AP135" s="91">
        <v>16983.550780000001</v>
      </c>
      <c r="AQ135" s="91">
        <v>16983.550780000001</v>
      </c>
      <c r="AR135" s="91">
        <v>282600</v>
      </c>
      <c r="AS135" s="91">
        <v>-1.49E-2</v>
      </c>
    </row>
    <row r="136" spans="1:45" x14ac:dyDescent="0.55000000000000004">
      <c r="A136" s="90">
        <v>44846</v>
      </c>
      <c r="B136" s="91">
        <v>8509.9003909999992</v>
      </c>
      <c r="C136" s="91">
        <v>8360.6503909999992</v>
      </c>
      <c r="D136" s="91">
        <v>8123.6333009999998</v>
      </c>
      <c r="E136" s="91">
        <v>123936</v>
      </c>
      <c r="F136" s="91">
        <v>-1.7500000000000002E-2</v>
      </c>
      <c r="H136" s="90">
        <v>44846</v>
      </c>
      <c r="I136" s="91">
        <v>1085.4476320000001</v>
      </c>
      <c r="J136" s="91">
        <v>1096.17749</v>
      </c>
      <c r="K136" s="91">
        <v>1084.2937010000001</v>
      </c>
      <c r="L136" s="91">
        <v>7417103</v>
      </c>
      <c r="M136" s="91">
        <v>7.4000000000000003E-3</v>
      </c>
      <c r="O136" s="90">
        <v>44846</v>
      </c>
      <c r="P136" s="91">
        <v>701.59997559999999</v>
      </c>
      <c r="Q136" s="91">
        <v>704.90002440000001</v>
      </c>
      <c r="R136" s="91">
        <v>678.35034180000002</v>
      </c>
      <c r="S136" s="91">
        <v>9225050</v>
      </c>
      <c r="T136" s="91">
        <v>6.4999999999999997E-3</v>
      </c>
      <c r="V136" s="90">
        <v>44846</v>
      </c>
      <c r="W136" s="91">
        <v>1437</v>
      </c>
      <c r="X136" s="91">
        <v>1428.6999510000001</v>
      </c>
      <c r="Y136" s="91">
        <v>1296.134888</v>
      </c>
      <c r="Z136" s="91">
        <v>5481467</v>
      </c>
      <c r="AA136" s="91">
        <v>3.3999999999999998E-3</v>
      </c>
      <c r="AB136" s="91"/>
      <c r="AC136" s="90">
        <v>44846</v>
      </c>
      <c r="AD136" s="91">
        <v>1420</v>
      </c>
      <c r="AE136" s="91">
        <v>1422.3000489999999</v>
      </c>
      <c r="AF136" s="91">
        <v>1418.009644</v>
      </c>
      <c r="AG136" s="91">
        <v>402168</v>
      </c>
      <c r="AH136" s="91">
        <v>-5.0000000000000001E-4</v>
      </c>
      <c r="AI136" s="91"/>
      <c r="AJ136" s="91">
        <f>(F136*'Part 3 Portfolio Analysis'!$B$8+M136*'Part 3 Portfolio Analysis'!$C$8+T136*'Part 3 Portfolio Analysis'!$D$8+AA136*'Part 3 Portfolio Analysis'!$E$8+AH136*'Part 3 Portfolio Analysis'!$F$8)/100</f>
        <v>-9.4107712471864916E-4</v>
      </c>
      <c r="AK136" s="91">
        <f>'Part 3 Portfolio Analysis'!$B$107*F136+M136*'Part 3 Portfolio Analysis'!$C$107+T136*'Part 3 Portfolio Analysis'!$D$107+AA136*'Part 3 Portfolio Analysis'!$E$107+AH136*'Part 3 Portfolio Analysis'!$F$107</f>
        <v>3.8769999999999994E-4</v>
      </c>
      <c r="AL136" s="91">
        <f>F136*'Part 3 Portfolio Analysis'!$B$121+M136*'Part 3 Portfolio Analysis'!$C$121+'Part 3 Portfolio Analysis'!$D$121*T136+AA136*'Part 3 Portfolio Analysis'!$E$121+'Part 3 Portfolio Analysis'!$F$121*AH136</f>
        <v>4.1014399999999996E-3</v>
      </c>
      <c r="AM136" s="91"/>
      <c r="AN136" s="90">
        <v>44846</v>
      </c>
      <c r="AO136" s="91">
        <v>17025.550780000001</v>
      </c>
      <c r="AP136" s="91">
        <v>17123.599610000001</v>
      </c>
      <c r="AQ136" s="91">
        <v>17123.599610000001</v>
      </c>
      <c r="AR136" s="91">
        <v>256000</v>
      </c>
      <c r="AS136" s="91">
        <v>8.2000000000000007E-3</v>
      </c>
    </row>
    <row r="137" spans="1:45" x14ac:dyDescent="0.55000000000000004">
      <c r="A137" s="90">
        <v>44847</v>
      </c>
      <c r="B137" s="91">
        <v>8380.6503909999992</v>
      </c>
      <c r="C137" s="91">
        <v>8312.8496090000008</v>
      </c>
      <c r="D137" s="91">
        <v>8077.1875</v>
      </c>
      <c r="E137" s="91">
        <v>98972</v>
      </c>
      <c r="F137" s="91">
        <v>-5.7000000000000002E-3</v>
      </c>
      <c r="H137" s="90">
        <v>44847</v>
      </c>
      <c r="I137" s="91">
        <v>1094.4007570000001</v>
      </c>
      <c r="J137" s="91">
        <v>1099.661865</v>
      </c>
      <c r="K137" s="91">
        <v>1087.740112</v>
      </c>
      <c r="L137" s="91">
        <v>7328492</v>
      </c>
      <c r="M137" s="91">
        <v>3.2000000000000002E-3</v>
      </c>
      <c r="O137" s="90">
        <v>44847</v>
      </c>
      <c r="P137" s="91">
        <v>701.02502440000001</v>
      </c>
      <c r="Q137" s="91">
        <v>696.79998780000005</v>
      </c>
      <c r="R137" s="91">
        <v>670.55535889999999</v>
      </c>
      <c r="S137" s="91">
        <v>14714234</v>
      </c>
      <c r="T137" s="91">
        <v>-1.15E-2</v>
      </c>
      <c r="V137" s="90">
        <v>44847</v>
      </c>
      <c r="W137" s="91">
        <v>1431</v>
      </c>
      <c r="X137" s="91">
        <v>1419.900024</v>
      </c>
      <c r="Y137" s="91">
        <v>1288.151611</v>
      </c>
      <c r="Z137" s="91">
        <v>4821514</v>
      </c>
      <c r="AA137" s="91">
        <v>-6.1999999999999998E-3</v>
      </c>
      <c r="AB137" s="91"/>
      <c r="AC137" s="90">
        <v>44847</v>
      </c>
      <c r="AD137" s="91">
        <v>1422.9499510000001</v>
      </c>
      <c r="AE137" s="91">
        <v>1401.650024</v>
      </c>
      <c r="AF137" s="91">
        <v>1397.4221190000001</v>
      </c>
      <c r="AG137" s="91">
        <v>286921</v>
      </c>
      <c r="AH137" s="91">
        <v>-1.4500000000000001E-2</v>
      </c>
      <c r="AI137" s="91"/>
      <c r="AJ137" s="91">
        <f>(F137*'Part 3 Portfolio Analysis'!$B$8+M137*'Part 3 Portfolio Analysis'!$C$8+T137*'Part 3 Portfolio Analysis'!$D$8+AA137*'Part 3 Portfolio Analysis'!$E$8+AH137*'Part 3 Portfolio Analysis'!$F$8)/100</f>
        <v>-3.6079149168043449E-3</v>
      </c>
      <c r="AK137" s="91">
        <f>'Part 3 Portfolio Analysis'!$B$107*F137+M137*'Part 3 Portfolio Analysis'!$C$107+T137*'Part 3 Portfolio Analysis'!$D$107+AA137*'Part 3 Portfolio Analysis'!$E$107+AH137*'Part 3 Portfolio Analysis'!$F$107</f>
        <v>-6.0809000000000002E-3</v>
      </c>
      <c r="AL137" s="91">
        <f>F137*'Part 3 Portfolio Analysis'!$B$121+M137*'Part 3 Portfolio Analysis'!$C$121+'Part 3 Portfolio Analysis'!$D$121*T137+AA137*'Part 3 Portfolio Analysis'!$E$121+'Part 3 Portfolio Analysis'!$F$121*AH137</f>
        <v>-3.8737199999999998E-3</v>
      </c>
      <c r="AM137" s="91"/>
      <c r="AN137" s="90">
        <v>44847</v>
      </c>
      <c r="AO137" s="91">
        <v>17087.349610000001</v>
      </c>
      <c r="AP137" s="91">
        <v>17014.349610000001</v>
      </c>
      <c r="AQ137" s="91">
        <v>17014.349610000001</v>
      </c>
      <c r="AR137" s="91">
        <v>266400</v>
      </c>
      <c r="AS137" s="91">
        <v>-6.4000000000000003E-3</v>
      </c>
    </row>
    <row r="138" spans="1:45" x14ac:dyDescent="0.55000000000000004">
      <c r="A138" s="90">
        <v>44848</v>
      </c>
      <c r="B138" s="91">
        <v>8500.2998050000006</v>
      </c>
      <c r="C138" s="91">
        <v>8465.5498050000006</v>
      </c>
      <c r="D138" s="91">
        <v>8225.5585940000001</v>
      </c>
      <c r="E138" s="91">
        <v>206564</v>
      </c>
      <c r="F138" s="91">
        <v>1.84E-2</v>
      </c>
      <c r="H138" s="90">
        <v>44848</v>
      </c>
      <c r="I138" s="91">
        <v>1114.522095</v>
      </c>
      <c r="J138" s="91">
        <v>1094.0776370000001</v>
      </c>
      <c r="K138" s="91">
        <v>1082.216553</v>
      </c>
      <c r="L138" s="91">
        <v>9106089</v>
      </c>
      <c r="M138" s="91">
        <v>-5.1000000000000004E-3</v>
      </c>
      <c r="O138" s="90">
        <v>44848</v>
      </c>
      <c r="P138" s="91">
        <v>708.5</v>
      </c>
      <c r="Q138" s="91">
        <v>719.5</v>
      </c>
      <c r="R138" s="91">
        <v>692.40032959999996</v>
      </c>
      <c r="S138" s="91">
        <v>12849920</v>
      </c>
      <c r="T138" s="91">
        <v>3.2599999999999997E-2</v>
      </c>
      <c r="V138" s="90">
        <v>44848</v>
      </c>
      <c r="W138" s="91">
        <v>1485</v>
      </c>
      <c r="X138" s="91">
        <v>1474.25</v>
      </c>
      <c r="Y138" s="91">
        <v>1337.458496</v>
      </c>
      <c r="Z138" s="91">
        <v>14990688</v>
      </c>
      <c r="AA138" s="91">
        <v>3.8300000000000001E-2</v>
      </c>
      <c r="AB138" s="91"/>
      <c r="AC138" s="90">
        <v>44848</v>
      </c>
      <c r="AD138" s="91">
        <v>1432</v>
      </c>
      <c r="AE138" s="91">
        <v>1379.599976</v>
      </c>
      <c r="AF138" s="91">
        <v>1375.4385990000001</v>
      </c>
      <c r="AG138" s="91">
        <v>441023</v>
      </c>
      <c r="AH138" s="91">
        <v>-1.5699999999999999E-2</v>
      </c>
      <c r="AI138" s="91"/>
      <c r="AJ138" s="91">
        <f>(F138*'Part 3 Portfolio Analysis'!$B$8+M138*'Part 3 Portfolio Analysis'!$C$8+T138*'Part 3 Portfolio Analysis'!$D$8+AA138*'Part 3 Portfolio Analysis'!$E$8+AH138*'Part 3 Portfolio Analysis'!$F$8)/100</f>
        <v>1.5119755613581578E-2</v>
      </c>
      <c r="AK138" s="91">
        <f>'Part 3 Portfolio Analysis'!$B$107*F138+M138*'Part 3 Portfolio Analysis'!$C$107+T138*'Part 3 Portfolio Analysis'!$D$107+AA138*'Part 3 Portfolio Analysis'!$E$107+AH138*'Part 3 Portfolio Analysis'!$F$107</f>
        <v>6.6422999999999994E-3</v>
      </c>
      <c r="AL138" s="91">
        <f>F138*'Part 3 Portfolio Analysis'!$B$121+M138*'Part 3 Portfolio Analysis'!$C$121+'Part 3 Portfolio Analysis'!$D$121*T138+AA138*'Part 3 Portfolio Analysis'!$E$121+'Part 3 Portfolio Analysis'!$F$121*AH138</f>
        <v>1.548838E-2</v>
      </c>
      <c r="AM138" s="91"/>
      <c r="AN138" s="90">
        <v>44848</v>
      </c>
      <c r="AO138" s="91">
        <v>17322.300780000001</v>
      </c>
      <c r="AP138" s="91">
        <v>17185.699219999999</v>
      </c>
      <c r="AQ138" s="91">
        <v>17185.699219999999</v>
      </c>
      <c r="AR138" s="91">
        <v>227000</v>
      </c>
      <c r="AS138" s="91">
        <v>1.01E-2</v>
      </c>
    </row>
    <row r="139" spans="1:45" x14ac:dyDescent="0.55000000000000004">
      <c r="A139" s="90">
        <v>44851</v>
      </c>
      <c r="B139" s="91">
        <v>8000</v>
      </c>
      <c r="C139" s="91">
        <v>7782.7998049999997</v>
      </c>
      <c r="D139" s="91">
        <v>7562.1640630000002</v>
      </c>
      <c r="E139" s="91">
        <v>1199165</v>
      </c>
      <c r="F139" s="91">
        <v>-8.0699999999999994E-2</v>
      </c>
      <c r="H139" s="90">
        <v>44851</v>
      </c>
      <c r="I139" s="91">
        <v>1086.8321530000001</v>
      </c>
      <c r="J139" s="91">
        <v>1111.6376949999999</v>
      </c>
      <c r="K139" s="91">
        <v>1099.5863039999999</v>
      </c>
      <c r="L139" s="91">
        <v>16729355</v>
      </c>
      <c r="M139" s="91">
        <v>1.61E-2</v>
      </c>
      <c r="O139" s="90">
        <v>44851</v>
      </c>
      <c r="P139" s="91">
        <v>717.5</v>
      </c>
      <c r="Q139" s="91">
        <v>723.27502440000001</v>
      </c>
      <c r="R139" s="91">
        <v>696.03320310000004</v>
      </c>
      <c r="S139" s="91">
        <v>18410500</v>
      </c>
      <c r="T139" s="91">
        <v>5.1999999999999998E-3</v>
      </c>
      <c r="V139" s="90">
        <v>44851</v>
      </c>
      <c r="W139" s="91">
        <v>1476.900024</v>
      </c>
      <c r="X139" s="91">
        <v>1489.9499510000001</v>
      </c>
      <c r="Y139" s="91">
        <v>1351.701904</v>
      </c>
      <c r="Z139" s="91">
        <v>4286396</v>
      </c>
      <c r="AA139" s="91">
        <v>1.06E-2</v>
      </c>
      <c r="AB139" s="91"/>
      <c r="AC139" s="90">
        <v>44851</v>
      </c>
      <c r="AD139" s="91">
        <v>1377.9499510000001</v>
      </c>
      <c r="AE139" s="91">
        <v>1378.25</v>
      </c>
      <c r="AF139" s="91">
        <v>1374.092529</v>
      </c>
      <c r="AG139" s="91">
        <v>418522</v>
      </c>
      <c r="AH139" s="91">
        <v>-1E-3</v>
      </c>
      <c r="AI139" s="91"/>
      <c r="AJ139" s="91">
        <f>(F139*'Part 3 Portfolio Analysis'!$B$8+M139*'Part 3 Portfolio Analysis'!$C$8+T139*'Part 3 Portfolio Analysis'!$D$8+AA139*'Part 3 Portfolio Analysis'!$E$8+AH139*'Part 3 Portfolio Analysis'!$F$8)/100</f>
        <v>-1.5810521574491022E-2</v>
      </c>
      <c r="AK139" s="91">
        <f>'Part 3 Portfolio Analysis'!$B$107*F139+M139*'Part 3 Portfolio Analysis'!$C$107+T139*'Part 3 Portfolio Analysis'!$D$107+AA139*'Part 3 Portfolio Analysis'!$E$107+AH139*'Part 3 Portfolio Analysis'!$F$107</f>
        <v>-7.8726999999999998E-3</v>
      </c>
      <c r="AL139" s="91">
        <f>F139*'Part 3 Portfolio Analysis'!$B$121+M139*'Part 3 Portfolio Analysis'!$C$121+'Part 3 Portfolio Analysis'!$D$121*T139+AA139*'Part 3 Portfolio Analysis'!$E$121+'Part 3 Portfolio Analysis'!$F$121*AH139</f>
        <v>3.6302200000000004E-3</v>
      </c>
      <c r="AM139" s="91"/>
      <c r="AN139" s="90">
        <v>44851</v>
      </c>
      <c r="AO139" s="91">
        <v>17144.800780000001</v>
      </c>
      <c r="AP139" s="91">
        <v>17311.800780000001</v>
      </c>
      <c r="AQ139" s="91">
        <v>17311.800780000001</v>
      </c>
      <c r="AR139" s="91">
        <v>212200</v>
      </c>
      <c r="AS139" s="91">
        <v>7.3000000000000001E-3</v>
      </c>
    </row>
    <row r="140" spans="1:45" x14ac:dyDescent="0.55000000000000004">
      <c r="A140" s="90">
        <v>44852</v>
      </c>
      <c r="B140" s="91">
        <v>7760</v>
      </c>
      <c r="C140" s="91">
        <v>7204.6499020000001</v>
      </c>
      <c r="D140" s="91">
        <v>7000.404297</v>
      </c>
      <c r="E140" s="91">
        <v>1890522</v>
      </c>
      <c r="F140" s="91">
        <v>-7.4300000000000005E-2</v>
      </c>
      <c r="H140" s="90">
        <v>44852</v>
      </c>
      <c r="I140" s="91">
        <v>1117.752563</v>
      </c>
      <c r="J140" s="91">
        <v>1131.2514650000001</v>
      </c>
      <c r="K140" s="91">
        <v>1118.9873050000001</v>
      </c>
      <c r="L140" s="91">
        <v>12415820</v>
      </c>
      <c r="M140" s="91">
        <v>1.7600000000000001E-2</v>
      </c>
      <c r="O140" s="90">
        <v>44852</v>
      </c>
      <c r="P140" s="91">
        <v>729.02502440000001</v>
      </c>
      <c r="Q140" s="91">
        <v>721.92498780000005</v>
      </c>
      <c r="R140" s="91">
        <v>694.73406980000004</v>
      </c>
      <c r="S140" s="91">
        <v>10561108</v>
      </c>
      <c r="T140" s="91">
        <v>-1.9E-3</v>
      </c>
      <c r="V140" s="90">
        <v>44852</v>
      </c>
      <c r="W140" s="91">
        <v>1510</v>
      </c>
      <c r="X140" s="91">
        <v>1503.6999510000001</v>
      </c>
      <c r="Y140" s="91">
        <v>1364.1759030000001</v>
      </c>
      <c r="Z140" s="91">
        <v>4692004</v>
      </c>
      <c r="AA140" s="91">
        <v>9.1999999999999998E-3</v>
      </c>
      <c r="AB140" s="91"/>
      <c r="AC140" s="90">
        <v>44852</v>
      </c>
      <c r="AD140" s="91">
        <v>1387</v>
      </c>
      <c r="AE140" s="91">
        <v>1428.900024</v>
      </c>
      <c r="AF140" s="91">
        <v>1424.5898440000001</v>
      </c>
      <c r="AG140" s="91">
        <v>651226</v>
      </c>
      <c r="AH140" s="91">
        <v>3.6700000000000003E-2</v>
      </c>
      <c r="AI140" s="91"/>
      <c r="AJ140" s="91">
        <f>(F140*'Part 3 Portfolio Analysis'!$B$8+M140*'Part 3 Portfolio Analysis'!$C$8+T140*'Part 3 Portfolio Analysis'!$D$8+AA140*'Part 3 Portfolio Analysis'!$E$8+AH140*'Part 3 Portfolio Analysis'!$F$8)/100</f>
        <v>-1.4388013946587968E-2</v>
      </c>
      <c r="AK140" s="91">
        <f>'Part 3 Portfolio Analysis'!$B$107*F140+M140*'Part 3 Portfolio Analysis'!$C$107+T140*'Part 3 Portfolio Analysis'!$D$107+AA140*'Part 3 Portfolio Analysis'!$E$107+AH140*'Part 3 Portfolio Analysis'!$F$107</f>
        <v>2.0087000000000013E-3</v>
      </c>
      <c r="AL140" s="91">
        <f>F140*'Part 3 Portfolio Analysis'!$B$121+M140*'Part 3 Portfolio Analysis'!$C$121+'Part 3 Portfolio Analysis'!$D$121*T140+AA140*'Part 3 Portfolio Analysis'!$E$121+'Part 3 Portfolio Analysis'!$F$121*AH140</f>
        <v>3.5622400000000004E-3</v>
      </c>
      <c r="AM140" s="91"/>
      <c r="AN140" s="90">
        <v>44852</v>
      </c>
      <c r="AO140" s="91">
        <v>17438.75</v>
      </c>
      <c r="AP140" s="91">
        <v>17486.949219999999</v>
      </c>
      <c r="AQ140" s="91">
        <v>17486.949219999999</v>
      </c>
      <c r="AR140" s="91">
        <v>239500</v>
      </c>
      <c r="AS140" s="91">
        <v>1.01E-2</v>
      </c>
    </row>
    <row r="141" spans="1:45" x14ac:dyDescent="0.55000000000000004">
      <c r="A141" s="90">
        <v>44853</v>
      </c>
      <c r="B141" s="91">
        <v>7190</v>
      </c>
      <c r="C141" s="91">
        <v>7314.2001950000003</v>
      </c>
      <c r="D141" s="91">
        <v>7106.8491210000002</v>
      </c>
      <c r="E141" s="91">
        <v>1253682</v>
      </c>
      <c r="F141" s="91">
        <v>1.52E-2</v>
      </c>
      <c r="H141" s="90">
        <v>44853</v>
      </c>
      <c r="I141" s="91">
        <v>1132.7513429999999</v>
      </c>
      <c r="J141" s="91">
        <v>1150.934448</v>
      </c>
      <c r="K141" s="91">
        <v>1138.456909</v>
      </c>
      <c r="L141" s="91">
        <v>19247142</v>
      </c>
      <c r="M141" s="91">
        <v>1.7399999999999999E-2</v>
      </c>
      <c r="O141" s="90">
        <v>44853</v>
      </c>
      <c r="P141" s="91">
        <v>732</v>
      </c>
      <c r="Q141" s="91">
        <v>729.32501219999995</v>
      </c>
      <c r="R141" s="91">
        <v>701.85534670000004</v>
      </c>
      <c r="S141" s="91">
        <v>12967040</v>
      </c>
      <c r="T141" s="91">
        <v>1.03E-2</v>
      </c>
      <c r="V141" s="90">
        <v>44853</v>
      </c>
      <c r="W141" s="91">
        <v>1504</v>
      </c>
      <c r="X141" s="91">
        <v>1485.4499510000001</v>
      </c>
      <c r="Y141" s="91">
        <v>1347.619263</v>
      </c>
      <c r="Z141" s="91">
        <v>3553171</v>
      </c>
      <c r="AA141" s="91">
        <v>-1.21E-2</v>
      </c>
      <c r="AB141" s="91"/>
      <c r="AC141" s="90">
        <v>44853</v>
      </c>
      <c r="AD141" s="91">
        <v>1430</v>
      </c>
      <c r="AE141" s="91">
        <v>1424.150024</v>
      </c>
      <c r="AF141" s="91">
        <v>1419.854126</v>
      </c>
      <c r="AG141" s="91">
        <v>451427</v>
      </c>
      <c r="AH141" s="91">
        <v>-3.3E-3</v>
      </c>
      <c r="AI141" s="91"/>
      <c r="AJ141" s="91">
        <f>(F141*'Part 3 Portfolio Analysis'!$B$8+M141*'Part 3 Portfolio Analysis'!$C$8+T141*'Part 3 Portfolio Analysis'!$D$8+AA141*'Part 3 Portfolio Analysis'!$E$8+AH141*'Part 3 Portfolio Analysis'!$F$8)/100</f>
        <v>1.0605776061215029E-2</v>
      </c>
      <c r="AK141" s="91">
        <f>'Part 3 Portfolio Analysis'!$B$107*F141+M141*'Part 3 Portfolio Analysis'!$C$107+T141*'Part 3 Portfolio Analysis'!$D$107+AA141*'Part 3 Portfolio Analysis'!$E$107+AH141*'Part 3 Portfolio Analysis'!$F$107</f>
        <v>7.737100000000002E-3</v>
      </c>
      <c r="AL141" s="91">
        <f>F141*'Part 3 Portfolio Analysis'!$B$121+M141*'Part 3 Portfolio Analysis'!$C$121+'Part 3 Portfolio Analysis'!$D$121*T141+AA141*'Part 3 Portfolio Analysis'!$E$121+'Part 3 Portfolio Analysis'!$F$121*AH141</f>
        <v>8.8456200000000002E-3</v>
      </c>
      <c r="AM141" s="91"/>
      <c r="AN141" s="90">
        <v>44853</v>
      </c>
      <c r="AO141" s="91">
        <v>17568.150389999999</v>
      </c>
      <c r="AP141" s="91">
        <v>17512.25</v>
      </c>
      <c r="AQ141" s="91">
        <v>17512.25</v>
      </c>
      <c r="AR141" s="91">
        <v>210500</v>
      </c>
      <c r="AS141" s="91">
        <v>1.4E-3</v>
      </c>
    </row>
    <row r="142" spans="1:45" x14ac:dyDescent="0.55000000000000004">
      <c r="A142" s="90">
        <v>44854</v>
      </c>
      <c r="B142" s="91">
        <v>7314.2001950000003</v>
      </c>
      <c r="C142" s="91">
        <v>7374.75</v>
      </c>
      <c r="D142" s="91">
        <v>7165.6821289999998</v>
      </c>
      <c r="E142" s="91">
        <v>328303</v>
      </c>
      <c r="F142" s="91">
        <v>8.3000000000000001E-3</v>
      </c>
      <c r="H142" s="90">
        <v>44854</v>
      </c>
      <c r="I142" s="91">
        <v>1146.8271480000001</v>
      </c>
      <c r="J142" s="91">
        <v>1154.0264890000001</v>
      </c>
      <c r="K142" s="91">
        <v>1141.5155030000001</v>
      </c>
      <c r="L142" s="91">
        <v>8717053</v>
      </c>
      <c r="M142" s="91">
        <v>2.7000000000000001E-3</v>
      </c>
      <c r="O142" s="90">
        <v>44854</v>
      </c>
      <c r="P142" s="91">
        <v>722</v>
      </c>
      <c r="Q142" s="91">
        <v>724.40002440000001</v>
      </c>
      <c r="R142" s="91">
        <v>697.11590579999995</v>
      </c>
      <c r="S142" s="91">
        <v>7898078</v>
      </c>
      <c r="T142" s="91">
        <v>-6.7999999999999996E-3</v>
      </c>
      <c r="V142" s="90">
        <v>44854</v>
      </c>
      <c r="W142" s="91">
        <v>1475</v>
      </c>
      <c r="X142" s="91">
        <v>1500.900024</v>
      </c>
      <c r="Y142" s="91">
        <v>1361.6358640000001</v>
      </c>
      <c r="Z142" s="91">
        <v>4583939</v>
      </c>
      <c r="AA142" s="91">
        <v>1.04E-2</v>
      </c>
      <c r="AB142" s="91"/>
      <c r="AC142" s="90">
        <v>44854</v>
      </c>
      <c r="AD142" s="91">
        <v>1415</v>
      </c>
      <c r="AE142" s="91">
        <v>1425.5</v>
      </c>
      <c r="AF142" s="91">
        <v>1421.200073</v>
      </c>
      <c r="AG142" s="91">
        <v>439690</v>
      </c>
      <c r="AH142" s="91">
        <v>8.9999999999999998E-4</v>
      </c>
      <c r="AI142" s="91"/>
      <c r="AJ142" s="91">
        <f>(F142*'Part 3 Portfolio Analysis'!$B$8+M142*'Part 3 Portfolio Analysis'!$C$8+T142*'Part 3 Portfolio Analysis'!$D$8+AA142*'Part 3 Portfolio Analysis'!$E$8+AH142*'Part 3 Portfolio Analysis'!$F$8)/100</f>
        <v>4.01687535981703E-3</v>
      </c>
      <c r="AK142" s="91">
        <f>'Part 3 Portfolio Analysis'!$B$107*F142+M142*'Part 3 Portfolio Analysis'!$C$107+T142*'Part 3 Portfolio Analysis'!$D$107+AA142*'Part 3 Portfolio Analysis'!$E$107+AH142*'Part 3 Portfolio Analysis'!$F$107</f>
        <v>2.5518999999999997E-3</v>
      </c>
      <c r="AL142" s="91">
        <f>F142*'Part 3 Portfolio Analysis'!$B$121+M142*'Part 3 Portfolio Analysis'!$C$121+'Part 3 Portfolio Analysis'!$D$121*T142+AA142*'Part 3 Portfolio Analysis'!$E$121+'Part 3 Portfolio Analysis'!$F$121*AH142</f>
        <v>2.06916E-3</v>
      </c>
      <c r="AM142" s="91"/>
      <c r="AN142" s="90">
        <v>44854</v>
      </c>
      <c r="AO142" s="91">
        <v>17423.099610000001</v>
      </c>
      <c r="AP142" s="91">
        <v>17563.949219999999</v>
      </c>
      <c r="AQ142" s="91">
        <v>17563.949219999999</v>
      </c>
      <c r="AR142" s="91">
        <v>249600</v>
      </c>
      <c r="AS142" s="91">
        <v>3.0000000000000001E-3</v>
      </c>
    </row>
    <row r="143" spans="1:45" x14ac:dyDescent="0.55000000000000004">
      <c r="A143" s="90">
        <v>44855</v>
      </c>
      <c r="B143" s="91">
        <v>7410</v>
      </c>
      <c r="C143" s="91">
        <v>7261.2998049999997</v>
      </c>
      <c r="D143" s="91">
        <v>7055.4482420000004</v>
      </c>
      <c r="E143" s="91">
        <v>300261</v>
      </c>
      <c r="F143" s="91">
        <v>-1.54E-2</v>
      </c>
      <c r="H143" s="90">
        <v>44855</v>
      </c>
      <c r="I143" s="91">
        <v>1157.303101</v>
      </c>
      <c r="J143" s="91">
        <v>1140.6429439999999</v>
      </c>
      <c r="K143" s="91">
        <v>1128.2769780000001</v>
      </c>
      <c r="L143" s="91">
        <v>8243452</v>
      </c>
      <c r="M143" s="91">
        <v>-1.1599999999999999E-2</v>
      </c>
      <c r="O143" s="90">
        <v>44855</v>
      </c>
      <c r="P143" s="91">
        <v>726</v>
      </c>
      <c r="Q143" s="91">
        <v>719.29998780000005</v>
      </c>
      <c r="R143" s="91">
        <v>692.20788570000002</v>
      </c>
      <c r="S143" s="91">
        <v>10492606</v>
      </c>
      <c r="T143" s="91">
        <v>-7.0000000000000001E-3</v>
      </c>
      <c r="V143" s="90">
        <v>44855</v>
      </c>
      <c r="W143" s="91">
        <v>1500.3000489999999</v>
      </c>
      <c r="X143" s="91">
        <v>1500.5</v>
      </c>
      <c r="Y143" s="91">
        <v>1361.272827</v>
      </c>
      <c r="Z143" s="91">
        <v>3594485</v>
      </c>
      <c r="AA143" s="91">
        <v>-2.9999999999999997E-4</v>
      </c>
      <c r="AB143" s="91"/>
      <c r="AC143" s="90">
        <v>44855</v>
      </c>
      <c r="AD143" s="91">
        <v>1425.5</v>
      </c>
      <c r="AE143" s="91">
        <v>1431</v>
      </c>
      <c r="AF143" s="91">
        <v>1426.6834719999999</v>
      </c>
      <c r="AG143" s="91">
        <v>458912</v>
      </c>
      <c r="AH143" s="91">
        <v>3.8999999999999998E-3</v>
      </c>
      <c r="AI143" s="91"/>
      <c r="AJ143" s="91">
        <f>(F143*'Part 3 Portfolio Analysis'!$B$8+M143*'Part 3 Portfolio Analysis'!$C$8+T143*'Part 3 Portfolio Analysis'!$D$8+AA143*'Part 3 Portfolio Analysis'!$E$8+AH143*'Part 3 Portfolio Analysis'!$F$8)/100</f>
        <v>-1.0002621487742608E-2</v>
      </c>
      <c r="AK143" s="91">
        <f>'Part 3 Portfolio Analysis'!$B$107*F143+M143*'Part 3 Portfolio Analysis'!$C$107+T143*'Part 3 Portfolio Analysis'!$D$107+AA143*'Part 3 Portfolio Analysis'!$E$107+AH143*'Part 3 Portfolio Analysis'!$F$107</f>
        <v>-6.535E-3</v>
      </c>
      <c r="AL143" s="91">
        <f>F143*'Part 3 Portfolio Analysis'!$B$121+M143*'Part 3 Portfolio Analysis'!$C$121+'Part 3 Portfolio Analysis'!$D$121*T143+AA143*'Part 3 Portfolio Analysis'!$E$121+'Part 3 Portfolio Analysis'!$F$121*AH143</f>
        <v>-7.9950599999999983E-3</v>
      </c>
      <c r="AM143" s="91"/>
      <c r="AN143" s="90">
        <v>44855</v>
      </c>
      <c r="AO143" s="91">
        <v>17622.849610000001</v>
      </c>
      <c r="AP143" s="91">
        <v>17576.300780000001</v>
      </c>
      <c r="AQ143" s="91">
        <v>17576.300780000001</v>
      </c>
      <c r="AR143" s="91">
        <v>277700</v>
      </c>
      <c r="AS143" s="91">
        <v>6.9999999999999999E-4</v>
      </c>
    </row>
    <row r="144" spans="1:45" x14ac:dyDescent="0.55000000000000004">
      <c r="A144" s="90">
        <v>44858</v>
      </c>
      <c r="B144" s="91">
        <v>7360</v>
      </c>
      <c r="C144" s="91">
        <v>7309.2998049999997</v>
      </c>
      <c r="D144" s="91">
        <v>7102.0878910000001</v>
      </c>
      <c r="E144" s="91">
        <v>66855</v>
      </c>
      <c r="F144" s="91">
        <v>6.6E-3</v>
      </c>
      <c r="H144" s="90">
        <v>44858</v>
      </c>
      <c r="I144" s="91">
        <v>1135.2895510000001</v>
      </c>
      <c r="J144" s="91">
        <v>1144.450317</v>
      </c>
      <c r="K144" s="91">
        <v>1132.043091</v>
      </c>
      <c r="L144" s="91">
        <v>3370033</v>
      </c>
      <c r="M144" s="91">
        <v>3.3E-3</v>
      </c>
      <c r="O144" s="90">
        <v>44858</v>
      </c>
      <c r="P144" s="91">
        <v>727.15002440000001</v>
      </c>
      <c r="Q144" s="91">
        <v>730.52502440000001</v>
      </c>
      <c r="R144" s="91">
        <v>703.01019289999999</v>
      </c>
      <c r="S144" s="91">
        <v>2167794</v>
      </c>
      <c r="T144" s="91">
        <v>1.5599999999999999E-2</v>
      </c>
      <c r="V144" s="90">
        <v>44858</v>
      </c>
      <c r="W144" s="91">
        <v>1518.5</v>
      </c>
      <c r="X144" s="91">
        <v>1517.849976</v>
      </c>
      <c r="Y144" s="91">
        <v>1377.012817</v>
      </c>
      <c r="Z144" s="91">
        <v>982837</v>
      </c>
      <c r="AA144" s="91">
        <v>1.1599999999999999E-2</v>
      </c>
      <c r="AB144" s="91"/>
      <c r="AC144" s="90">
        <v>44858</v>
      </c>
      <c r="AD144" s="91">
        <v>1446.349976</v>
      </c>
      <c r="AE144" s="91">
        <v>1429.25</v>
      </c>
      <c r="AF144" s="91">
        <v>1424.938721</v>
      </c>
      <c r="AG144" s="91">
        <v>70262</v>
      </c>
      <c r="AH144" s="91">
        <v>-1.1999999999999999E-3</v>
      </c>
      <c r="AI144" s="91"/>
      <c r="AJ144" s="91">
        <f>(F144*'Part 3 Portfolio Analysis'!$B$8+M144*'Part 3 Portfolio Analysis'!$C$8+T144*'Part 3 Portfolio Analysis'!$D$8+AA144*'Part 3 Portfolio Analysis'!$E$8+AH144*'Part 3 Portfolio Analysis'!$F$8)/100</f>
        <v>7.6335636598241488E-3</v>
      </c>
      <c r="AK144" s="91">
        <f>'Part 3 Portfolio Analysis'!$B$107*F144+M144*'Part 3 Portfolio Analysis'!$C$107+T144*'Part 3 Portfolio Analysis'!$D$107+AA144*'Part 3 Portfolio Analysis'!$E$107+AH144*'Part 3 Portfolio Analysis'!$F$107</f>
        <v>5.4964999999999996E-3</v>
      </c>
      <c r="AL144" s="91">
        <f>F144*'Part 3 Portfolio Analysis'!$B$121+M144*'Part 3 Portfolio Analysis'!$C$121+'Part 3 Portfolio Analysis'!$D$121*T144+AA144*'Part 3 Portfolio Analysis'!$E$121+'Part 3 Portfolio Analysis'!$F$121*AH144</f>
        <v>8.458959999999998E-3</v>
      </c>
      <c r="AM144" s="91"/>
      <c r="AN144" s="90">
        <v>44858</v>
      </c>
      <c r="AO144" s="91">
        <v>17736.349610000001</v>
      </c>
      <c r="AP144" s="91">
        <v>17730.75</v>
      </c>
      <c r="AQ144" s="91">
        <v>17730.75</v>
      </c>
      <c r="AR144" s="91">
        <v>45000</v>
      </c>
      <c r="AS144" s="91">
        <v>8.8000000000000005E-3</v>
      </c>
    </row>
    <row r="145" spans="1:45" x14ac:dyDescent="0.55000000000000004">
      <c r="A145" s="90">
        <v>44859</v>
      </c>
      <c r="B145" s="91">
        <v>7344.9501950000003</v>
      </c>
      <c r="C145" s="91">
        <v>7186.3999020000001</v>
      </c>
      <c r="D145" s="91">
        <v>6982.671875</v>
      </c>
      <c r="E145" s="91">
        <v>222853</v>
      </c>
      <c r="F145" s="91">
        <v>-1.6799999999999999E-2</v>
      </c>
      <c r="H145" s="90">
        <v>44859</v>
      </c>
      <c r="I145" s="91">
        <v>1153.288086</v>
      </c>
      <c r="J145" s="91">
        <v>1126.7749020000001</v>
      </c>
      <c r="K145" s="91">
        <v>1114.5592039999999</v>
      </c>
      <c r="L145" s="91">
        <v>12233241</v>
      </c>
      <c r="M145" s="91">
        <v>-1.54E-2</v>
      </c>
      <c r="O145" s="90">
        <v>44859</v>
      </c>
      <c r="P145" s="91">
        <v>730.54998780000005</v>
      </c>
      <c r="Q145" s="91">
        <v>725.45001219999995</v>
      </c>
      <c r="R145" s="91">
        <v>698.12634279999997</v>
      </c>
      <c r="S145" s="91">
        <v>13773394</v>
      </c>
      <c r="T145" s="91">
        <v>-6.8999999999999999E-3</v>
      </c>
      <c r="V145" s="90">
        <v>44859</v>
      </c>
      <c r="W145" s="91">
        <v>1528.099976</v>
      </c>
      <c r="X145" s="91">
        <v>1526.3000489999999</v>
      </c>
      <c r="Y145" s="91">
        <v>1384.679077</v>
      </c>
      <c r="Z145" s="91">
        <v>3914341</v>
      </c>
      <c r="AA145" s="91">
        <v>5.5999999999999999E-3</v>
      </c>
      <c r="AB145" s="91"/>
      <c r="AC145" s="90">
        <v>44859</v>
      </c>
      <c r="AD145" s="91">
        <v>1430</v>
      </c>
      <c r="AE145" s="91">
        <v>1433.9499510000001</v>
      </c>
      <c r="AF145" s="91">
        <v>1429.6245120000001</v>
      </c>
      <c r="AG145" s="91">
        <v>244221</v>
      </c>
      <c r="AH145" s="91">
        <v>3.3E-3</v>
      </c>
      <c r="AI145" s="91"/>
      <c r="AJ145" s="91">
        <f>(F145*'Part 3 Portfolio Analysis'!$B$8+M145*'Part 3 Portfolio Analysis'!$C$8+T145*'Part 3 Portfolio Analysis'!$D$8+AA145*'Part 3 Portfolio Analysis'!$E$8+AH145*'Part 3 Portfolio Analysis'!$F$8)/100</f>
        <v>-1.0839720818312198E-2</v>
      </c>
      <c r="AK145" s="91">
        <f>'Part 3 Portfolio Analysis'!$B$107*F145+M145*'Part 3 Portfolio Analysis'!$C$107+T145*'Part 3 Portfolio Analysis'!$D$107+AA145*'Part 3 Portfolio Analysis'!$E$107+AH145*'Part 3 Portfolio Analysis'!$F$107</f>
        <v>-7.5220999999999986E-3</v>
      </c>
      <c r="AL145" s="91">
        <f>F145*'Part 3 Portfolio Analysis'!$B$121+M145*'Part 3 Portfolio Analysis'!$C$121+'Part 3 Portfolio Analysis'!$D$121*T145+AA145*'Part 3 Portfolio Analysis'!$E$121+'Part 3 Portfolio Analysis'!$F$121*AH145</f>
        <v>-8.5131400000000006E-3</v>
      </c>
      <c r="AM145" s="91"/>
      <c r="AN145" s="90">
        <v>44859</v>
      </c>
      <c r="AO145" s="91">
        <v>17808.300780000001</v>
      </c>
      <c r="AP145" s="91">
        <v>17656.349610000001</v>
      </c>
      <c r="AQ145" s="91">
        <v>17656.349610000001</v>
      </c>
      <c r="AR145" s="91">
        <v>251400</v>
      </c>
      <c r="AS145" s="91">
        <v>-4.1999999999999997E-3</v>
      </c>
    </row>
    <row r="146" spans="1:45" x14ac:dyDescent="0.55000000000000004">
      <c r="A146" s="90">
        <v>44861</v>
      </c>
      <c r="B146" s="91">
        <v>7219.8500979999999</v>
      </c>
      <c r="C146" s="91">
        <v>7023.1000979999999</v>
      </c>
      <c r="D146" s="91">
        <v>6824.0014650000003</v>
      </c>
      <c r="E146" s="91">
        <v>360043</v>
      </c>
      <c r="F146" s="91">
        <v>-2.2700000000000001E-2</v>
      </c>
      <c r="H146" s="90">
        <v>44861</v>
      </c>
      <c r="I146" s="91">
        <v>1134.366577</v>
      </c>
      <c r="J146" s="91">
        <v>1131.205322</v>
      </c>
      <c r="K146" s="91">
        <v>1118.94165</v>
      </c>
      <c r="L146" s="91">
        <v>12513059</v>
      </c>
      <c r="M146" s="91">
        <v>3.8999999999999998E-3</v>
      </c>
      <c r="O146" s="90">
        <v>44861</v>
      </c>
      <c r="P146" s="91">
        <v>732.25</v>
      </c>
      <c r="Q146" s="91">
        <v>727.20001219999995</v>
      </c>
      <c r="R146" s="91">
        <v>699.8103638</v>
      </c>
      <c r="S146" s="91">
        <v>15937276</v>
      </c>
      <c r="T146" s="91">
        <v>2.3999999999999998E-3</v>
      </c>
      <c r="V146" s="90">
        <v>44861</v>
      </c>
      <c r="W146" s="91">
        <v>1530.8000489999999</v>
      </c>
      <c r="X146" s="91">
        <v>1523.9499510000001</v>
      </c>
      <c r="Y146" s="91">
        <v>1397.65625</v>
      </c>
      <c r="Z146" s="91">
        <v>6760137</v>
      </c>
      <c r="AA146" s="91">
        <v>9.4000000000000004E-3</v>
      </c>
      <c r="AB146" s="91"/>
      <c r="AC146" s="90">
        <v>44861</v>
      </c>
      <c r="AD146" s="91">
        <v>1433.9499510000001</v>
      </c>
      <c r="AE146" s="91">
        <v>1463.099976</v>
      </c>
      <c r="AF146" s="91">
        <v>1458.6866460000001</v>
      </c>
      <c r="AG146" s="91">
        <v>441597</v>
      </c>
      <c r="AH146" s="91">
        <v>2.0299999999999999E-2</v>
      </c>
      <c r="AI146" s="91"/>
      <c r="AJ146" s="91">
        <f>(F146*'Part 3 Portfolio Analysis'!$B$8+M146*'Part 3 Portfolio Analysis'!$C$8+T146*'Part 3 Portfolio Analysis'!$D$8+AA146*'Part 3 Portfolio Analysis'!$E$8+AH146*'Part 3 Portfolio Analysis'!$F$8)/100</f>
        <v>-3.2847974286432536E-3</v>
      </c>
      <c r="AK146" s="91">
        <f>'Part 3 Portfolio Analysis'!$B$107*F146+M146*'Part 3 Portfolio Analysis'!$C$107+T146*'Part 3 Portfolio Analysis'!$D$107+AA146*'Part 3 Portfolio Analysis'!$E$107+AH146*'Part 3 Portfolio Analysis'!$F$107</f>
        <v>3.5622999999999991E-3</v>
      </c>
      <c r="AL146" s="91">
        <f>F146*'Part 3 Portfolio Analysis'!$B$121+M146*'Part 3 Portfolio Analysis'!$C$121+'Part 3 Portfolio Analysis'!$D$121*T146+AA146*'Part 3 Portfolio Analysis'!$E$121+'Part 3 Portfolio Analysis'!$F$121*AH146</f>
        <v>2.8351600000000002E-3</v>
      </c>
      <c r="AM146" s="91"/>
      <c r="AN146" s="90">
        <v>44861</v>
      </c>
      <c r="AO146" s="91">
        <v>17771.400389999999</v>
      </c>
      <c r="AP146" s="91">
        <v>17736.949219999999</v>
      </c>
      <c r="AQ146" s="91">
        <v>17736.949219999999</v>
      </c>
      <c r="AR146" s="91">
        <v>324600</v>
      </c>
      <c r="AS146" s="91">
        <v>4.5999999999999999E-3</v>
      </c>
    </row>
    <row r="147" spans="1:45" x14ac:dyDescent="0.55000000000000004">
      <c r="A147" s="90">
        <v>44862</v>
      </c>
      <c r="B147" s="91">
        <v>7021.3999020000001</v>
      </c>
      <c r="C147" s="91">
        <v>6875.6000979999999</v>
      </c>
      <c r="D147" s="91">
        <v>6680.6831050000001</v>
      </c>
      <c r="E147" s="91">
        <v>459903</v>
      </c>
      <c r="F147" s="91">
        <v>-2.1000000000000001E-2</v>
      </c>
      <c r="H147" s="90">
        <v>44862</v>
      </c>
      <c r="I147" s="91">
        <v>1137.5970460000001</v>
      </c>
      <c r="J147" s="91">
        <v>1165.817871</v>
      </c>
      <c r="K147" s="91">
        <v>1153.179077</v>
      </c>
      <c r="L147" s="91">
        <v>17609592</v>
      </c>
      <c r="M147" s="91">
        <v>3.0599999999999999E-2</v>
      </c>
      <c r="O147" s="90">
        <v>44862</v>
      </c>
      <c r="P147" s="91">
        <v>725</v>
      </c>
      <c r="Q147" s="91">
        <v>729.34997559999999</v>
      </c>
      <c r="R147" s="91">
        <v>701.87939449999999</v>
      </c>
      <c r="S147" s="91">
        <v>10474278</v>
      </c>
      <c r="T147" s="91">
        <v>3.0000000000000001E-3</v>
      </c>
      <c r="V147" s="90">
        <v>44862</v>
      </c>
      <c r="W147" s="91">
        <v>1526</v>
      </c>
      <c r="X147" s="91">
        <v>1513.25</v>
      </c>
      <c r="Y147" s="91">
        <v>1387.8431399999999</v>
      </c>
      <c r="Z147" s="91">
        <v>3053981</v>
      </c>
      <c r="AA147" s="91">
        <v>-7.0000000000000001E-3</v>
      </c>
      <c r="AB147" s="91"/>
      <c r="AC147" s="90">
        <v>44862</v>
      </c>
      <c r="AD147" s="91">
        <v>1470.5</v>
      </c>
      <c r="AE147" s="91">
        <v>1458.9499510000001</v>
      </c>
      <c r="AF147" s="91">
        <v>1454.549072</v>
      </c>
      <c r="AG147" s="91">
        <v>325536</v>
      </c>
      <c r="AH147" s="91">
        <v>-2.8E-3</v>
      </c>
      <c r="AI147" s="91"/>
      <c r="AJ147" s="91">
        <f>(F147*'Part 3 Portfolio Analysis'!$B$8+M147*'Part 3 Portfolio Analysis'!$C$8+T147*'Part 3 Portfolio Analysis'!$D$8+AA147*'Part 3 Portfolio Analysis'!$E$8+AH147*'Part 3 Portfolio Analysis'!$F$8)/100</f>
        <v>4.1384291067819252E-3</v>
      </c>
      <c r="AK147" s="91">
        <f>'Part 3 Portfolio Analysis'!$B$107*F147+M147*'Part 3 Portfolio Analysis'!$C$107+T147*'Part 3 Portfolio Analysis'!$D$107+AA147*'Part 3 Portfolio Analysis'!$E$107+AH147*'Part 3 Portfolio Analysis'!$F$107</f>
        <v>4.857199999999999E-3</v>
      </c>
      <c r="AL147" s="91">
        <f>F147*'Part 3 Portfolio Analysis'!$B$121+M147*'Part 3 Portfolio Analysis'!$C$121+'Part 3 Portfolio Analysis'!$D$121*T147+AA147*'Part 3 Portfolio Analysis'!$E$121+'Part 3 Portfolio Analysis'!$F$121*AH147</f>
        <v>1.0456199999999999E-2</v>
      </c>
      <c r="AM147" s="91"/>
      <c r="AN147" s="90">
        <v>44862</v>
      </c>
      <c r="AO147" s="91">
        <v>17756.400389999999</v>
      </c>
      <c r="AP147" s="91">
        <v>17786.800780000001</v>
      </c>
      <c r="AQ147" s="91">
        <v>17786.800780000001</v>
      </c>
      <c r="AR147" s="91">
        <v>250000</v>
      </c>
      <c r="AS147" s="91">
        <v>2.8E-3</v>
      </c>
    </row>
    <row r="148" spans="1:45" x14ac:dyDescent="0.55000000000000004">
      <c r="A148" s="90">
        <v>44865</v>
      </c>
      <c r="B148" s="91">
        <v>6910</v>
      </c>
      <c r="C148" s="91">
        <v>6995.8500979999999</v>
      </c>
      <c r="D148" s="91">
        <v>6797.5234380000002</v>
      </c>
      <c r="E148" s="91">
        <v>378242</v>
      </c>
      <c r="F148" s="91">
        <v>1.7500000000000002E-2</v>
      </c>
      <c r="H148" s="90">
        <v>44865</v>
      </c>
      <c r="I148" s="91">
        <v>1172.671143</v>
      </c>
      <c r="J148" s="91">
        <v>1176.6400149999999</v>
      </c>
      <c r="K148" s="91">
        <v>1163.883789</v>
      </c>
      <c r="L148" s="91">
        <v>12419943</v>
      </c>
      <c r="M148" s="91">
        <v>9.2999999999999992E-3</v>
      </c>
      <c r="O148" s="90">
        <v>44865</v>
      </c>
      <c r="P148" s="91">
        <v>736</v>
      </c>
      <c r="Q148" s="91">
        <v>748.34997559999999</v>
      </c>
      <c r="R148" s="91">
        <v>720.16375730000004</v>
      </c>
      <c r="S148" s="91">
        <v>12830528</v>
      </c>
      <c r="T148" s="91">
        <v>2.6100000000000002E-2</v>
      </c>
      <c r="V148" s="90">
        <v>44865</v>
      </c>
      <c r="W148" s="91">
        <v>1530.25</v>
      </c>
      <c r="X148" s="91">
        <v>1537.650024</v>
      </c>
      <c r="Y148" s="91">
        <v>1410.220947</v>
      </c>
      <c r="Z148" s="91">
        <v>4542336</v>
      </c>
      <c r="AA148" s="91">
        <v>1.61E-2</v>
      </c>
      <c r="AB148" s="91"/>
      <c r="AC148" s="90">
        <v>44865</v>
      </c>
      <c r="AD148" s="91">
        <v>1460</v>
      </c>
      <c r="AE148" s="91">
        <v>1527.900024</v>
      </c>
      <c r="AF148" s="91">
        <v>1523.291138</v>
      </c>
      <c r="AG148" s="91">
        <v>2085522</v>
      </c>
      <c r="AH148" s="91">
        <v>4.7300000000000002E-2</v>
      </c>
      <c r="AI148" s="91"/>
      <c r="AJ148" s="91">
        <f>(F148*'Part 3 Portfolio Analysis'!$B$8+M148*'Part 3 Portfolio Analysis'!$C$8+T148*'Part 3 Portfolio Analysis'!$D$8+AA148*'Part 3 Portfolio Analysis'!$E$8+AH148*'Part 3 Portfolio Analysis'!$F$8)/100</f>
        <v>1.6028198321120263E-2</v>
      </c>
      <c r="AK148" s="91">
        <f>'Part 3 Portfolio Analysis'!$B$107*F148+M148*'Part 3 Portfolio Analysis'!$C$107+T148*'Part 3 Portfolio Analysis'!$D$107+AA148*'Part 3 Portfolio Analysis'!$E$107+AH148*'Part 3 Portfolio Analysis'!$F$107</f>
        <v>2.3636000000000001E-2</v>
      </c>
      <c r="AL148" s="91">
        <f>F148*'Part 3 Portfolio Analysis'!$B$121+M148*'Part 3 Portfolio Analysis'!$C$121+'Part 3 Portfolio Analysis'!$D$121*T148+AA148*'Part 3 Portfolio Analysis'!$E$121+'Part 3 Portfolio Analysis'!$F$121*AH148</f>
        <v>1.6899239999999999E-2</v>
      </c>
      <c r="AM148" s="91"/>
      <c r="AN148" s="90">
        <v>44865</v>
      </c>
      <c r="AO148" s="91">
        <v>17910.199219999999</v>
      </c>
      <c r="AP148" s="91">
        <v>18012.199219999999</v>
      </c>
      <c r="AQ148" s="91">
        <v>18012.199219999999</v>
      </c>
      <c r="AR148" s="91">
        <v>227200</v>
      </c>
      <c r="AS148" s="91">
        <v>1.2699999999999999E-2</v>
      </c>
    </row>
    <row r="149" spans="1:45" x14ac:dyDescent="0.55000000000000004">
      <c r="A149" s="90">
        <v>44866</v>
      </c>
      <c r="B149" s="91">
        <v>7060</v>
      </c>
      <c r="C149" s="91">
        <v>6955.7998049999997</v>
      </c>
      <c r="D149" s="91">
        <v>6758.6088870000003</v>
      </c>
      <c r="E149" s="91">
        <v>237699</v>
      </c>
      <c r="F149" s="91">
        <v>-5.7000000000000002E-3</v>
      </c>
      <c r="H149" s="90">
        <v>44866</v>
      </c>
      <c r="I149" s="91">
        <v>1199.8995359999999</v>
      </c>
      <c r="J149" s="91">
        <v>1167.5253909999999</v>
      </c>
      <c r="K149" s="91">
        <v>1154.8680420000001</v>
      </c>
      <c r="L149" s="91">
        <v>13963166</v>
      </c>
      <c r="M149" s="91">
        <v>-7.7000000000000002E-3</v>
      </c>
      <c r="O149" s="90">
        <v>44866</v>
      </c>
      <c r="P149" s="91">
        <v>751.75</v>
      </c>
      <c r="Q149" s="91">
        <v>756.625</v>
      </c>
      <c r="R149" s="91">
        <v>728.1271362</v>
      </c>
      <c r="S149" s="91">
        <v>19073756</v>
      </c>
      <c r="T149" s="91">
        <v>1.11E-2</v>
      </c>
      <c r="V149" s="90">
        <v>44866</v>
      </c>
      <c r="W149" s="91">
        <v>1553.0500489999999</v>
      </c>
      <c r="X149" s="91">
        <v>1573</v>
      </c>
      <c r="Y149" s="91">
        <v>1442.641357</v>
      </c>
      <c r="Z149" s="91">
        <v>4542692</v>
      </c>
      <c r="AA149" s="91">
        <v>2.3E-2</v>
      </c>
      <c r="AB149" s="91"/>
      <c r="AC149" s="90">
        <v>44866</v>
      </c>
      <c r="AD149" s="91">
        <v>1544.9499510000001</v>
      </c>
      <c r="AE149" s="91">
        <v>1557.5500489999999</v>
      </c>
      <c r="AF149" s="91">
        <v>1552.851807</v>
      </c>
      <c r="AG149" s="91">
        <v>999663</v>
      </c>
      <c r="AH149" s="91">
        <v>1.9400000000000001E-2</v>
      </c>
      <c r="AI149" s="91"/>
      <c r="AJ149" s="91">
        <f>(F149*'Part 3 Portfolio Analysis'!$B$8+M149*'Part 3 Portfolio Analysis'!$C$8+T149*'Part 3 Portfolio Analysis'!$D$8+AA149*'Part 3 Portfolio Analysis'!$E$8+AH149*'Part 3 Portfolio Analysis'!$F$8)/100</f>
        <v>1.2416038372733392E-3</v>
      </c>
      <c r="AK149" s="91">
        <f>'Part 3 Portfolio Analysis'!$B$107*F149+M149*'Part 3 Portfolio Analysis'!$C$107+T149*'Part 3 Portfolio Analysis'!$D$107+AA149*'Part 3 Portfolio Analysis'!$E$107+AH149*'Part 3 Portfolio Analysis'!$F$107</f>
        <v>5.4732000000000001E-3</v>
      </c>
      <c r="AL149" s="91">
        <f>F149*'Part 3 Portfolio Analysis'!$B$121+M149*'Part 3 Portfolio Analysis'!$C$121+'Part 3 Portfolio Analysis'!$D$121*T149+AA149*'Part 3 Portfolio Analysis'!$E$121+'Part 3 Portfolio Analysis'!$F$121*AH149</f>
        <v>4.4280200000000004E-3</v>
      </c>
      <c r="AM149" s="91"/>
      <c r="AN149" s="90">
        <v>44866</v>
      </c>
      <c r="AO149" s="91">
        <v>18130.699219999999</v>
      </c>
      <c r="AP149" s="91">
        <v>18145.400389999999</v>
      </c>
      <c r="AQ149" s="91">
        <v>18145.400389999999</v>
      </c>
      <c r="AR149" s="91">
        <v>349900</v>
      </c>
      <c r="AS149" s="91">
        <v>7.4000000000000003E-3</v>
      </c>
    </row>
    <row r="150" spans="1:45" x14ac:dyDescent="0.55000000000000004">
      <c r="A150" s="90">
        <v>44867</v>
      </c>
      <c r="B150" s="91">
        <v>6999.9501950000003</v>
      </c>
      <c r="C150" s="91">
        <v>6943.2001950000003</v>
      </c>
      <c r="D150" s="91">
        <v>6746.3666990000002</v>
      </c>
      <c r="E150" s="91">
        <v>212622</v>
      </c>
      <c r="F150" s="91">
        <v>-1.8E-3</v>
      </c>
      <c r="H150" s="90">
        <v>44867</v>
      </c>
      <c r="I150" s="91">
        <v>1168.6560059999999</v>
      </c>
      <c r="J150" s="91">
        <v>1174.8170170000001</v>
      </c>
      <c r="K150" s="91">
        <v>1162.0805660000001</v>
      </c>
      <c r="L150" s="91">
        <v>8981896</v>
      </c>
      <c r="M150" s="91">
        <v>6.1999999999999998E-3</v>
      </c>
      <c r="O150" s="90">
        <v>44867</v>
      </c>
      <c r="P150" s="91">
        <v>758.5</v>
      </c>
      <c r="Q150" s="91">
        <v>757.09997559999999</v>
      </c>
      <c r="R150" s="91">
        <v>728.58422849999999</v>
      </c>
      <c r="S150" s="91">
        <v>12720406</v>
      </c>
      <c r="T150" s="91">
        <v>5.9999999999999995E-4</v>
      </c>
      <c r="V150" s="90">
        <v>44867</v>
      </c>
      <c r="W150" s="91">
        <v>1572</v>
      </c>
      <c r="X150" s="91">
        <v>1553.3000489999999</v>
      </c>
      <c r="Y150" s="91">
        <v>1424.573975</v>
      </c>
      <c r="Z150" s="91">
        <v>2938906</v>
      </c>
      <c r="AA150" s="91">
        <v>-1.2500000000000001E-2</v>
      </c>
      <c r="AB150" s="91"/>
      <c r="AC150" s="90">
        <v>44867</v>
      </c>
      <c r="AD150" s="91">
        <v>1565</v>
      </c>
      <c r="AE150" s="91">
        <v>1530.25</v>
      </c>
      <c r="AF150" s="91">
        <v>1525.634155</v>
      </c>
      <c r="AG150" s="91">
        <v>535001</v>
      </c>
      <c r="AH150" s="91">
        <v>-1.7500000000000002E-2</v>
      </c>
      <c r="AI150" s="91"/>
      <c r="AJ150" s="91">
        <f>(F150*'Part 3 Portfolio Analysis'!$B$8+M150*'Part 3 Portfolio Analysis'!$C$8+T150*'Part 3 Portfolio Analysis'!$D$8+AA150*'Part 3 Portfolio Analysis'!$E$8+AH150*'Part 3 Portfolio Analysis'!$F$8)/100</f>
        <v>-3.7524312369859232E-4</v>
      </c>
      <c r="AK150" s="91">
        <f>'Part 3 Portfolio Analysis'!$B$107*F150+M150*'Part 3 Portfolio Analysis'!$C$107+T150*'Part 3 Portfolio Analysis'!$D$107+AA150*'Part 3 Portfolio Analysis'!$E$107+AH150*'Part 3 Portfolio Analysis'!$F$107</f>
        <v>-3.9504000000000006E-3</v>
      </c>
      <c r="AL150" s="91">
        <f>F150*'Part 3 Portfolio Analysis'!$B$121+M150*'Part 3 Portfolio Analysis'!$C$121+'Part 3 Portfolio Analysis'!$D$121*T150+AA150*'Part 3 Portfolio Analysis'!$E$121+'Part 3 Portfolio Analysis'!$F$121*AH150</f>
        <v>-3.4174000000000091E-4</v>
      </c>
      <c r="AM150" s="91"/>
      <c r="AN150" s="90">
        <v>44867</v>
      </c>
      <c r="AO150" s="91">
        <v>18177.900389999999</v>
      </c>
      <c r="AP150" s="91">
        <v>18082.849610000001</v>
      </c>
      <c r="AQ150" s="91">
        <v>18082.849610000001</v>
      </c>
      <c r="AR150" s="91">
        <v>270900</v>
      </c>
      <c r="AS150" s="91">
        <v>-3.3999999999999998E-3</v>
      </c>
    </row>
    <row r="151" spans="1:45" x14ac:dyDescent="0.55000000000000004">
      <c r="A151" s="90">
        <v>44868</v>
      </c>
      <c r="B151" s="91">
        <v>6943</v>
      </c>
      <c r="C151" s="91">
        <v>6892.6499020000001</v>
      </c>
      <c r="D151" s="91">
        <v>6697.2490230000003</v>
      </c>
      <c r="E151" s="91">
        <v>189007</v>
      </c>
      <c r="F151" s="91">
        <v>-7.3000000000000001E-3</v>
      </c>
      <c r="H151" s="90">
        <v>44868</v>
      </c>
      <c r="I151" s="91">
        <v>1167.5253909999999</v>
      </c>
      <c r="J151" s="91">
        <v>1179.201294</v>
      </c>
      <c r="K151" s="91">
        <v>1166.4173579999999</v>
      </c>
      <c r="L151" s="91">
        <v>6693449</v>
      </c>
      <c r="M151" s="91">
        <v>3.7000000000000002E-3</v>
      </c>
      <c r="O151" s="90">
        <v>44868</v>
      </c>
      <c r="P151" s="91">
        <v>748.84997559999999</v>
      </c>
      <c r="Q151" s="91">
        <v>753.77502440000001</v>
      </c>
      <c r="R151" s="91">
        <v>725.38452150000001</v>
      </c>
      <c r="S151" s="91">
        <v>10332352</v>
      </c>
      <c r="T151" s="91">
        <v>-4.4000000000000003E-3</v>
      </c>
      <c r="V151" s="90">
        <v>44868</v>
      </c>
      <c r="W151" s="91">
        <v>1538.75</v>
      </c>
      <c r="X151" s="91">
        <v>1530.75</v>
      </c>
      <c r="Y151" s="91">
        <v>1403.8927000000001</v>
      </c>
      <c r="Z151" s="91">
        <v>3174027</v>
      </c>
      <c r="AA151" s="91">
        <v>-1.4500000000000001E-2</v>
      </c>
      <c r="AB151" s="91"/>
      <c r="AC151" s="90">
        <v>44868</v>
      </c>
      <c r="AD151" s="91">
        <v>1511</v>
      </c>
      <c r="AE151" s="91">
        <v>1545.5</v>
      </c>
      <c r="AF151" s="91">
        <v>1540.838013</v>
      </c>
      <c r="AG151" s="91">
        <v>504000</v>
      </c>
      <c r="AH151" s="91">
        <v>0.01</v>
      </c>
      <c r="AI151" s="91"/>
      <c r="AJ151" s="91">
        <f>(F151*'Part 3 Portfolio Analysis'!$B$8+M151*'Part 3 Portfolio Analysis'!$C$8+T151*'Part 3 Portfolio Analysis'!$D$8+AA151*'Part 3 Portfolio Analysis'!$E$8+AH151*'Part 3 Portfolio Analysis'!$F$8)/100</f>
        <v>-3.8186001857026409E-3</v>
      </c>
      <c r="AK151" s="91">
        <f>'Part 3 Portfolio Analysis'!$B$107*F151+M151*'Part 3 Portfolio Analysis'!$C$107+T151*'Part 3 Portfolio Analysis'!$D$107+AA151*'Part 3 Portfolio Analysis'!$E$107+AH151*'Part 3 Portfolio Analysis'!$F$107</f>
        <v>2.3209999999999984E-4</v>
      </c>
      <c r="AL151" s="91">
        <f>F151*'Part 3 Portfolio Analysis'!$B$121+M151*'Part 3 Portfolio Analysis'!$C$121+'Part 3 Portfolio Analysis'!$D$121*T151+AA151*'Part 3 Portfolio Analysis'!$E$121+'Part 3 Portfolio Analysis'!$F$121*AH151</f>
        <v>-2.8823400000000006E-3</v>
      </c>
      <c r="AM151" s="91"/>
      <c r="AN151" s="90">
        <v>44868</v>
      </c>
      <c r="AO151" s="91">
        <v>17968.349610000001</v>
      </c>
      <c r="AP151" s="91">
        <v>18052.699219999999</v>
      </c>
      <c r="AQ151" s="91">
        <v>18052.699219999999</v>
      </c>
      <c r="AR151" s="91">
        <v>213000</v>
      </c>
      <c r="AS151" s="91">
        <v>-1.6999999999999999E-3</v>
      </c>
    </row>
    <row r="152" spans="1:45" x14ac:dyDescent="0.55000000000000004">
      <c r="A152" s="90">
        <v>44869</v>
      </c>
      <c r="B152" s="91">
        <v>6920</v>
      </c>
      <c r="C152" s="91">
        <v>6908.0498049999997</v>
      </c>
      <c r="D152" s="91">
        <v>6712.2124020000001</v>
      </c>
      <c r="E152" s="91">
        <v>197189</v>
      </c>
      <c r="F152" s="91">
        <v>2.2000000000000001E-3</v>
      </c>
      <c r="H152" s="90">
        <v>44869</v>
      </c>
      <c r="I152" s="91">
        <v>1178.6243899999999</v>
      </c>
      <c r="J152" s="91">
        <v>1196.553711</v>
      </c>
      <c r="K152" s="91">
        <v>1183.581543</v>
      </c>
      <c r="L152" s="91">
        <v>12575815</v>
      </c>
      <c r="M152" s="91">
        <v>1.47E-2</v>
      </c>
      <c r="O152" s="90">
        <v>44869</v>
      </c>
      <c r="P152" s="91">
        <v>751.59997559999999</v>
      </c>
      <c r="Q152" s="91">
        <v>748.57501219999995</v>
      </c>
      <c r="R152" s="91">
        <v>720.38037110000005</v>
      </c>
      <c r="S152" s="91">
        <v>10818060</v>
      </c>
      <c r="T152" s="91">
        <v>-6.8999999999999999E-3</v>
      </c>
      <c r="V152" s="90">
        <v>44869</v>
      </c>
      <c r="W152" s="91">
        <v>1520.4499510000001</v>
      </c>
      <c r="X152" s="91">
        <v>1514</v>
      </c>
      <c r="Y152" s="91">
        <v>1388.530884</v>
      </c>
      <c r="Z152" s="91">
        <v>4509682</v>
      </c>
      <c r="AA152" s="91">
        <v>-1.09E-2</v>
      </c>
      <c r="AB152" s="91"/>
      <c r="AC152" s="90">
        <v>44869</v>
      </c>
      <c r="AD152" s="91">
        <v>1549.8000489999999</v>
      </c>
      <c r="AE152" s="91">
        <v>1506</v>
      </c>
      <c r="AF152" s="91">
        <v>1501.457275</v>
      </c>
      <c r="AG152" s="91">
        <v>591976</v>
      </c>
      <c r="AH152" s="91">
        <v>-2.5600000000000001E-2</v>
      </c>
      <c r="AI152" s="91"/>
      <c r="AJ152" s="91">
        <f>(F152*'Part 3 Portfolio Analysis'!$B$8+M152*'Part 3 Portfolio Analysis'!$C$8+T152*'Part 3 Portfolio Analysis'!$D$8+AA152*'Part 3 Portfolio Analysis'!$E$8+AH152*'Part 3 Portfolio Analysis'!$F$8)/100</f>
        <v>2.8330703301525577E-3</v>
      </c>
      <c r="AK152" s="91">
        <f>'Part 3 Portfolio Analysis'!$B$107*F152+M152*'Part 3 Portfolio Analysis'!$C$107+T152*'Part 3 Portfolio Analysis'!$D$107+AA152*'Part 3 Portfolio Analysis'!$E$107+AH152*'Part 3 Portfolio Analysis'!$F$107</f>
        <v>-3.6136000000000015E-3</v>
      </c>
      <c r="AL152" s="91">
        <f>F152*'Part 3 Portfolio Analysis'!$B$121+M152*'Part 3 Portfolio Analysis'!$C$121+'Part 3 Portfolio Analysis'!$D$121*T152+AA152*'Part 3 Portfolio Analysis'!$E$121+'Part 3 Portfolio Analysis'!$F$121*AH152</f>
        <v>1.6214399999999992E-3</v>
      </c>
      <c r="AM152" s="91"/>
      <c r="AN152" s="90">
        <v>44869</v>
      </c>
      <c r="AO152" s="91">
        <v>18053.400389999999</v>
      </c>
      <c r="AP152" s="91">
        <v>18117.150389999999</v>
      </c>
      <c r="AQ152" s="91">
        <v>18117.150389999999</v>
      </c>
      <c r="AR152" s="91">
        <v>267900</v>
      </c>
      <c r="AS152" s="91">
        <v>3.5999999999999999E-3</v>
      </c>
    </row>
    <row r="153" spans="1:45" x14ac:dyDescent="0.55000000000000004">
      <c r="A153" s="90">
        <v>44872</v>
      </c>
      <c r="B153" s="91">
        <v>6972</v>
      </c>
      <c r="C153" s="91">
        <v>6976.4501950000003</v>
      </c>
      <c r="D153" s="91">
        <v>6778.673828</v>
      </c>
      <c r="E153" s="91">
        <v>142033</v>
      </c>
      <c r="F153" s="91">
        <v>9.9000000000000008E-3</v>
      </c>
      <c r="H153" s="90">
        <v>44872</v>
      </c>
      <c r="I153" s="91">
        <v>1195.7460940000001</v>
      </c>
      <c r="J153" s="91">
        <v>1202.9454350000001</v>
      </c>
      <c r="K153" s="91">
        <v>1189.904053</v>
      </c>
      <c r="L153" s="91">
        <v>11789748</v>
      </c>
      <c r="M153" s="91">
        <v>5.3E-3</v>
      </c>
      <c r="O153" s="90">
        <v>44872</v>
      </c>
      <c r="P153" s="91">
        <v>755</v>
      </c>
      <c r="Q153" s="91">
        <v>754.40002440000001</v>
      </c>
      <c r="R153" s="91">
        <v>725.98590090000005</v>
      </c>
      <c r="S153" s="91">
        <v>9835834</v>
      </c>
      <c r="T153" s="91">
        <v>7.7999999999999996E-3</v>
      </c>
      <c r="V153" s="90">
        <v>44872</v>
      </c>
      <c r="W153" s="91">
        <v>1521.400024</v>
      </c>
      <c r="X153" s="91">
        <v>1507.4499510000001</v>
      </c>
      <c r="Y153" s="91">
        <v>1382.523682</v>
      </c>
      <c r="Z153" s="91">
        <v>4898592</v>
      </c>
      <c r="AA153" s="91">
        <v>-4.3E-3</v>
      </c>
      <c r="AB153" s="91"/>
      <c r="AC153" s="90">
        <v>44872</v>
      </c>
      <c r="AD153" s="91">
        <v>1517.6999510000001</v>
      </c>
      <c r="AE153" s="91">
        <v>1507.900024</v>
      </c>
      <c r="AF153" s="91">
        <v>1503.3515629999999</v>
      </c>
      <c r="AG153" s="91">
        <v>501244</v>
      </c>
      <c r="AH153" s="91">
        <v>1.2999999999999999E-3</v>
      </c>
      <c r="AI153" s="91"/>
      <c r="AJ153" s="91">
        <f>(F153*'Part 3 Portfolio Analysis'!$B$8+M153*'Part 3 Portfolio Analysis'!$C$8+T153*'Part 3 Portfolio Analysis'!$D$8+AA153*'Part 3 Portfolio Analysis'!$E$8+AH153*'Part 3 Portfolio Analysis'!$F$8)/100</f>
        <v>5.5129750928876479E-3</v>
      </c>
      <c r="AK153" s="91">
        <f>'Part 3 Portfolio Analysis'!$B$107*F153+M153*'Part 3 Portfolio Analysis'!$C$107+T153*'Part 3 Portfolio Analysis'!$D$107+AA153*'Part 3 Portfolio Analysis'!$E$107+AH153*'Part 3 Portfolio Analysis'!$F$107</f>
        <v>4.5475000000000003E-3</v>
      </c>
      <c r="AL153" s="91">
        <f>F153*'Part 3 Portfolio Analysis'!$B$121+M153*'Part 3 Portfolio Analysis'!$C$121+'Part 3 Portfolio Analysis'!$D$121*T153+AA153*'Part 3 Portfolio Analysis'!$E$121+'Part 3 Portfolio Analysis'!$F$121*AH153</f>
        <v>4.333319999999999E-3</v>
      </c>
      <c r="AM153" s="91"/>
      <c r="AN153" s="90">
        <v>44872</v>
      </c>
      <c r="AO153" s="91">
        <v>18211.75</v>
      </c>
      <c r="AP153" s="91">
        <v>18202.800780000001</v>
      </c>
      <c r="AQ153" s="91">
        <v>18202.800780000001</v>
      </c>
      <c r="AR153" s="91">
        <v>314800</v>
      </c>
      <c r="AS153" s="91">
        <v>4.7000000000000002E-3</v>
      </c>
    </row>
    <row r="154" spans="1:45" x14ac:dyDescent="0.55000000000000004">
      <c r="A154" s="90">
        <v>44874</v>
      </c>
      <c r="B154" s="91">
        <v>7025</v>
      </c>
      <c r="C154" s="91">
        <v>6999.5</v>
      </c>
      <c r="D154" s="91">
        <v>6801.0698240000002</v>
      </c>
      <c r="E154" s="91">
        <v>228537</v>
      </c>
      <c r="F154" s="91">
        <v>3.3E-3</v>
      </c>
      <c r="H154" s="90">
        <v>44874</v>
      </c>
      <c r="I154" s="91">
        <v>1204.6530760000001</v>
      </c>
      <c r="J154" s="91">
        <v>1201.7456050000001</v>
      </c>
      <c r="K154" s="91">
        <v>1188.717163</v>
      </c>
      <c r="L154" s="91">
        <v>11254205</v>
      </c>
      <c r="M154" s="91">
        <v>-1E-3</v>
      </c>
      <c r="O154" s="90">
        <v>44874</v>
      </c>
      <c r="P154" s="91">
        <v>757.52502440000001</v>
      </c>
      <c r="Q154" s="91">
        <v>754.17498780000005</v>
      </c>
      <c r="R154" s="91">
        <v>725.7693481</v>
      </c>
      <c r="S154" s="91">
        <v>9269790</v>
      </c>
      <c r="T154" s="91">
        <v>-2.9999999999999997E-4</v>
      </c>
      <c r="V154" s="90">
        <v>44874</v>
      </c>
      <c r="W154" s="91">
        <v>1529</v>
      </c>
      <c r="X154" s="91">
        <v>1511.1999510000001</v>
      </c>
      <c r="Y154" s="91">
        <v>1385.962769</v>
      </c>
      <c r="Z154" s="91">
        <v>3334755</v>
      </c>
      <c r="AA154" s="91">
        <v>2.5000000000000001E-3</v>
      </c>
      <c r="AB154" s="91"/>
      <c r="AC154" s="90">
        <v>44874</v>
      </c>
      <c r="AD154" s="91">
        <v>1506.9499510000001</v>
      </c>
      <c r="AE154" s="91">
        <v>1501.75</v>
      </c>
      <c r="AF154" s="91">
        <v>1497.2200929999999</v>
      </c>
      <c r="AG154" s="91">
        <v>328444</v>
      </c>
      <c r="AH154" s="91">
        <v>-4.1000000000000003E-3</v>
      </c>
      <c r="AI154" s="91"/>
      <c r="AJ154" s="91">
        <f>(F154*'Part 3 Portfolio Analysis'!$B$8+M154*'Part 3 Portfolio Analysis'!$C$8+T154*'Part 3 Portfolio Analysis'!$D$8+AA154*'Part 3 Portfolio Analysis'!$E$8+AH154*'Part 3 Portfolio Analysis'!$F$8)/100</f>
        <v>9.3973823483682736E-4</v>
      </c>
      <c r="AK154" s="91">
        <f>'Part 3 Portfolio Analysis'!$B$107*F154+M154*'Part 3 Portfolio Analysis'!$C$107+T154*'Part 3 Portfolio Analysis'!$D$107+AA154*'Part 3 Portfolio Analysis'!$E$107+AH154*'Part 3 Portfolio Analysis'!$F$107</f>
        <v>-5.4870000000000016E-4</v>
      </c>
      <c r="AL154" s="91">
        <f>F154*'Part 3 Portfolio Analysis'!$B$121+M154*'Part 3 Portfolio Analysis'!$C$121+'Part 3 Portfolio Analysis'!$D$121*T154+AA154*'Part 3 Portfolio Analysis'!$E$121+'Part 3 Portfolio Analysis'!$F$121*AH154</f>
        <v>1.6264000000000003E-4</v>
      </c>
      <c r="AM154" s="91"/>
      <c r="AN154" s="90">
        <v>44874</v>
      </c>
      <c r="AO154" s="91">
        <v>18288.25</v>
      </c>
      <c r="AP154" s="91">
        <v>18157</v>
      </c>
      <c r="AQ154" s="91">
        <v>18157</v>
      </c>
      <c r="AR154" s="91">
        <v>307200</v>
      </c>
      <c r="AS154" s="91">
        <v>-2.5000000000000001E-3</v>
      </c>
    </row>
    <row r="155" spans="1:45" x14ac:dyDescent="0.55000000000000004">
      <c r="A155" s="90">
        <v>44875</v>
      </c>
      <c r="B155" s="91">
        <v>6990</v>
      </c>
      <c r="C155" s="91">
        <v>6925.7001950000003</v>
      </c>
      <c r="D155" s="91">
        <v>6729.3627930000002</v>
      </c>
      <c r="E155" s="91">
        <v>104329</v>
      </c>
      <c r="F155" s="91">
        <v>-1.0500000000000001E-2</v>
      </c>
      <c r="H155" s="90">
        <v>44875</v>
      </c>
      <c r="I155" s="91">
        <v>1195.2845460000001</v>
      </c>
      <c r="J155" s="91">
        <v>1187.208374</v>
      </c>
      <c r="K155" s="91">
        <v>1174.3376459999999</v>
      </c>
      <c r="L155" s="91">
        <v>5966242</v>
      </c>
      <c r="M155" s="91">
        <v>-1.21E-2</v>
      </c>
      <c r="O155" s="90">
        <v>44875</v>
      </c>
      <c r="P155" s="91">
        <v>748.54998780000005</v>
      </c>
      <c r="Q155" s="91">
        <v>762.375</v>
      </c>
      <c r="R155" s="91">
        <v>733.66052249999996</v>
      </c>
      <c r="S155" s="91">
        <v>12774182</v>
      </c>
      <c r="T155" s="91">
        <v>1.09E-2</v>
      </c>
      <c r="V155" s="90">
        <v>44875</v>
      </c>
      <c r="W155" s="91">
        <v>1485</v>
      </c>
      <c r="X155" s="91">
        <v>1501.9499510000001</v>
      </c>
      <c r="Y155" s="91">
        <v>1377.47937</v>
      </c>
      <c r="Z155" s="91">
        <v>3435763</v>
      </c>
      <c r="AA155" s="91">
        <v>-6.1000000000000004E-3</v>
      </c>
      <c r="AB155" s="91"/>
      <c r="AC155" s="90">
        <v>44875</v>
      </c>
      <c r="AD155" s="91">
        <v>1495</v>
      </c>
      <c r="AE155" s="91">
        <v>1470.900024</v>
      </c>
      <c r="AF155" s="91">
        <v>1466.4632570000001</v>
      </c>
      <c r="AG155" s="91">
        <v>584753</v>
      </c>
      <c r="AH155" s="91">
        <v>-2.0500000000000001E-2</v>
      </c>
      <c r="AI155" s="91"/>
      <c r="AJ155" s="91">
        <f>(F155*'Part 3 Portfolio Analysis'!$B$8+M155*'Part 3 Portfolio Analysis'!$C$8+T155*'Part 3 Portfolio Analysis'!$D$8+AA155*'Part 3 Portfolio Analysis'!$E$8+AH155*'Part 3 Portfolio Analysis'!$F$8)/100</f>
        <v>-6.8998046838332616E-3</v>
      </c>
      <c r="AK155" s="91">
        <f>'Part 3 Portfolio Analysis'!$B$107*F155+M155*'Part 3 Portfolio Analysis'!$C$107+T155*'Part 3 Portfolio Analysis'!$D$107+AA155*'Part 3 Portfolio Analysis'!$E$107+AH155*'Part 3 Portfolio Analysis'!$F$107</f>
        <v>-9.7637999999999996E-3</v>
      </c>
      <c r="AL155" s="91">
        <f>F155*'Part 3 Portfolio Analysis'!$B$121+M155*'Part 3 Portfolio Analysis'!$C$121+'Part 3 Portfolio Analysis'!$D$121*T155+AA155*'Part 3 Portfolio Analysis'!$E$121+'Part 3 Portfolio Analysis'!$F$121*AH155</f>
        <v>-4.7325600000000002E-3</v>
      </c>
      <c r="AM155" s="91"/>
      <c r="AN155" s="90">
        <v>44875</v>
      </c>
      <c r="AO155" s="91">
        <v>18044.349610000001</v>
      </c>
      <c r="AP155" s="91">
        <v>18028.199219999999</v>
      </c>
      <c r="AQ155" s="91">
        <v>18028.199219999999</v>
      </c>
      <c r="AR155" s="91">
        <v>256500</v>
      </c>
      <c r="AS155" s="91">
        <v>-7.1000000000000004E-3</v>
      </c>
    </row>
    <row r="156" spans="1:45" x14ac:dyDescent="0.55000000000000004">
      <c r="A156" s="90">
        <v>44876</v>
      </c>
      <c r="B156" s="91">
        <v>7095.5</v>
      </c>
      <c r="C156" s="91">
        <v>6962.5</v>
      </c>
      <c r="D156" s="91">
        <v>6765.1186520000001</v>
      </c>
      <c r="E156" s="91">
        <v>287465</v>
      </c>
      <c r="F156" s="91">
        <v>5.3E-3</v>
      </c>
      <c r="H156" s="90">
        <v>44876</v>
      </c>
      <c r="I156" s="91">
        <v>1199.8995359999999</v>
      </c>
      <c r="J156" s="91">
        <v>1214.575317</v>
      </c>
      <c r="K156" s="91">
        <v>1201.4079589999999</v>
      </c>
      <c r="L156" s="91">
        <v>12310132</v>
      </c>
      <c r="M156" s="91">
        <v>2.3099999999999999E-2</v>
      </c>
      <c r="O156" s="90">
        <v>44876</v>
      </c>
      <c r="P156" s="91">
        <v>772.5</v>
      </c>
      <c r="Q156" s="91">
        <v>805.57501219999995</v>
      </c>
      <c r="R156" s="91">
        <v>775.23345949999998</v>
      </c>
      <c r="S156" s="91">
        <v>56722338</v>
      </c>
      <c r="T156" s="91">
        <v>5.67E-2</v>
      </c>
      <c r="V156" s="90">
        <v>44876</v>
      </c>
      <c r="W156" s="91">
        <v>1546.650024</v>
      </c>
      <c r="X156" s="91">
        <v>1570.099976</v>
      </c>
      <c r="Y156" s="91">
        <v>1439.981689</v>
      </c>
      <c r="Z156" s="91">
        <v>7214098</v>
      </c>
      <c r="AA156" s="91">
        <v>4.5400000000000003E-2</v>
      </c>
      <c r="AB156" s="91"/>
      <c r="AC156" s="90">
        <v>44876</v>
      </c>
      <c r="AD156" s="91">
        <v>1472.099976</v>
      </c>
      <c r="AE156" s="91">
        <v>1419.0500489999999</v>
      </c>
      <c r="AF156" s="91">
        <v>1414.769409</v>
      </c>
      <c r="AG156" s="91">
        <v>2812289</v>
      </c>
      <c r="AH156" s="91">
        <v>-3.5299999999999998E-2</v>
      </c>
      <c r="AI156" s="91"/>
      <c r="AJ156" s="91">
        <f>(F156*'Part 3 Portfolio Analysis'!$B$8+M156*'Part 3 Portfolio Analysis'!$C$8+T156*'Part 3 Portfolio Analysis'!$D$8+AA156*'Part 3 Portfolio Analysis'!$E$8+AH156*'Part 3 Portfolio Analysis'!$F$8)/100</f>
        <v>2.6382947289802193E-2</v>
      </c>
      <c r="AK156" s="91">
        <f>'Part 3 Portfolio Analysis'!$B$107*F156+M156*'Part 3 Portfolio Analysis'!$C$107+T156*'Part 3 Portfolio Analysis'!$D$107+AA156*'Part 3 Portfolio Analysis'!$E$107+AH156*'Part 3 Portfolio Analysis'!$F$107</f>
        <v>1.2617199999999999E-2</v>
      </c>
      <c r="AL156" s="91">
        <f>F156*'Part 3 Portfolio Analysis'!$B$121+M156*'Part 3 Portfolio Analysis'!$C$121+'Part 3 Portfolio Analysis'!$D$121*T156+AA156*'Part 3 Portfolio Analysis'!$E$121+'Part 3 Portfolio Analysis'!$F$121*AH156</f>
        <v>3.370596E-2</v>
      </c>
      <c r="AM156" s="91"/>
      <c r="AN156" s="90">
        <v>44876</v>
      </c>
      <c r="AO156" s="91">
        <v>18272.349610000001</v>
      </c>
      <c r="AP156" s="91">
        <v>18349.699219999999</v>
      </c>
      <c r="AQ156" s="91">
        <v>18349.699219999999</v>
      </c>
      <c r="AR156" s="91">
        <v>378500</v>
      </c>
      <c r="AS156" s="91">
        <v>1.78E-2</v>
      </c>
    </row>
    <row r="157" spans="1:45" x14ac:dyDescent="0.55000000000000004">
      <c r="A157" s="90">
        <v>44879</v>
      </c>
      <c r="B157" s="91">
        <v>7030</v>
      </c>
      <c r="C157" s="91">
        <v>6975.25</v>
      </c>
      <c r="D157" s="91">
        <v>6777.5078130000002</v>
      </c>
      <c r="E157" s="91">
        <v>172031</v>
      </c>
      <c r="F157" s="91">
        <v>1.8E-3</v>
      </c>
      <c r="H157" s="90">
        <v>44879</v>
      </c>
      <c r="I157" s="91">
        <v>1214.090698</v>
      </c>
      <c r="J157" s="91">
        <v>1208.6911620000001</v>
      </c>
      <c r="K157" s="91">
        <v>1195.5874020000001</v>
      </c>
      <c r="L157" s="91">
        <v>9043112</v>
      </c>
      <c r="M157" s="91">
        <v>-4.7999999999999996E-3</v>
      </c>
      <c r="O157" s="90">
        <v>44879</v>
      </c>
      <c r="P157" s="91">
        <v>806</v>
      </c>
      <c r="Q157" s="91">
        <v>807.52502440000001</v>
      </c>
      <c r="R157" s="91">
        <v>777.10998540000003</v>
      </c>
      <c r="S157" s="91">
        <v>19195390</v>
      </c>
      <c r="T157" s="91">
        <v>2.3999999999999998E-3</v>
      </c>
      <c r="V157" s="90">
        <v>44879</v>
      </c>
      <c r="W157" s="91">
        <v>1575.150024</v>
      </c>
      <c r="X157" s="91">
        <v>1585.3000489999999</v>
      </c>
      <c r="Y157" s="91">
        <v>1453.9221190000001</v>
      </c>
      <c r="Z157" s="91">
        <v>4908813</v>
      </c>
      <c r="AA157" s="91">
        <v>9.7000000000000003E-3</v>
      </c>
      <c r="AB157" s="91"/>
      <c r="AC157" s="90">
        <v>44879</v>
      </c>
      <c r="AD157" s="91">
        <v>1433.5500489999999</v>
      </c>
      <c r="AE157" s="91">
        <v>1427.0500489999999</v>
      </c>
      <c r="AF157" s="91">
        <v>1422.745361</v>
      </c>
      <c r="AG157" s="91">
        <v>1122597</v>
      </c>
      <c r="AH157" s="91">
        <v>5.5999999999999999E-3</v>
      </c>
      <c r="AI157" s="91"/>
      <c r="AJ157" s="91">
        <f>(F157*'Part 3 Portfolio Analysis'!$B$8+M157*'Part 3 Portfolio Analysis'!$C$8+T157*'Part 3 Portfolio Analysis'!$D$8+AA157*'Part 3 Portfolio Analysis'!$E$8+AH157*'Part 3 Portfolio Analysis'!$F$8)/100</f>
        <v>8.1623361334036632E-4</v>
      </c>
      <c r="AK157" s="91">
        <f>'Part 3 Portfolio Analysis'!$B$107*F157+M157*'Part 3 Portfolio Analysis'!$C$107+T157*'Part 3 Portfolio Analysis'!$D$107+AA157*'Part 3 Portfolio Analysis'!$E$107+AH157*'Part 3 Portfolio Analysis'!$F$107</f>
        <v>1.5747999999999999E-3</v>
      </c>
      <c r="AL157" s="91">
        <f>F157*'Part 3 Portfolio Analysis'!$B$121+M157*'Part 3 Portfolio Analysis'!$C$121+'Part 3 Portfolio Analysis'!$D$121*T157+AA157*'Part 3 Portfolio Analysis'!$E$121+'Part 3 Portfolio Analysis'!$F$121*AH157</f>
        <v>8.7340000000000041E-4</v>
      </c>
      <c r="AM157" s="91"/>
      <c r="AN157" s="90">
        <v>44879</v>
      </c>
      <c r="AO157" s="91">
        <v>18376.400389999999</v>
      </c>
      <c r="AP157" s="91">
        <v>18329.150389999999</v>
      </c>
      <c r="AQ157" s="91">
        <v>18329.150389999999</v>
      </c>
      <c r="AR157" s="91">
        <v>301400</v>
      </c>
      <c r="AS157" s="91">
        <v>-1.1000000000000001E-3</v>
      </c>
    </row>
    <row r="158" spans="1:45" x14ac:dyDescent="0.55000000000000004">
      <c r="A158" s="90">
        <v>44880</v>
      </c>
      <c r="B158" s="91">
        <v>7008</v>
      </c>
      <c r="C158" s="91">
        <v>7000.6499020000001</v>
      </c>
      <c r="D158" s="91">
        <v>6802.1875</v>
      </c>
      <c r="E158" s="91">
        <v>140336</v>
      </c>
      <c r="F158" s="91">
        <v>3.5999999999999999E-3</v>
      </c>
      <c r="H158" s="90">
        <v>44880</v>
      </c>
      <c r="I158" s="91">
        <v>1210.1910399999999</v>
      </c>
      <c r="J158" s="91">
        <v>1203.2685550000001</v>
      </c>
      <c r="K158" s="91">
        <v>1190.223755</v>
      </c>
      <c r="L158" s="91">
        <v>7086433</v>
      </c>
      <c r="M158" s="91">
        <v>-4.4999999999999997E-3</v>
      </c>
      <c r="O158" s="90">
        <v>44880</v>
      </c>
      <c r="P158" s="91">
        <v>811.57501219999995</v>
      </c>
      <c r="Q158" s="91">
        <v>809.5</v>
      </c>
      <c r="R158" s="91">
        <v>779.01055910000002</v>
      </c>
      <c r="S158" s="91">
        <v>11030202</v>
      </c>
      <c r="T158" s="91">
        <v>2.3999999999999998E-3</v>
      </c>
      <c r="V158" s="90">
        <v>44880</v>
      </c>
      <c r="W158" s="91">
        <v>1577.849976</v>
      </c>
      <c r="X158" s="91">
        <v>1594</v>
      </c>
      <c r="Y158" s="91">
        <v>1461.9011230000001</v>
      </c>
      <c r="Z158" s="91">
        <v>3497614</v>
      </c>
      <c r="AA158" s="91">
        <v>5.4999999999999997E-3</v>
      </c>
      <c r="AB158" s="91"/>
      <c r="AC158" s="90">
        <v>44880</v>
      </c>
      <c r="AD158" s="91">
        <v>1424.099976</v>
      </c>
      <c r="AE158" s="91">
        <v>1416.150024</v>
      </c>
      <c r="AF158" s="91">
        <v>1411.8782960000001</v>
      </c>
      <c r="AG158" s="91">
        <v>710092</v>
      </c>
      <c r="AH158" s="91">
        <v>-7.6E-3</v>
      </c>
      <c r="AI158" s="91"/>
      <c r="AJ158" s="91">
        <f>(F158*'Part 3 Portfolio Analysis'!$B$8+M158*'Part 3 Portfolio Analysis'!$C$8+T158*'Part 3 Portfolio Analysis'!$D$8+AA158*'Part 3 Portfolio Analysis'!$E$8+AH158*'Part 3 Portfolio Analysis'!$F$8)/100</f>
        <v>6.6004518183020275E-4</v>
      </c>
      <c r="AK158" s="91">
        <f>'Part 3 Portfolio Analysis'!$B$107*F158+M158*'Part 3 Portfolio Analysis'!$C$107+T158*'Part 3 Portfolio Analysis'!$D$107+AA158*'Part 3 Portfolio Analysis'!$E$107+AH158*'Part 3 Portfolio Analysis'!$F$107</f>
        <v>-1.7536999999999997E-3</v>
      </c>
      <c r="AL158" s="91">
        <f>F158*'Part 3 Portfolio Analysis'!$B$121+M158*'Part 3 Portfolio Analysis'!$C$121+'Part 3 Portfolio Analysis'!$D$121*T158+AA158*'Part 3 Portfolio Analysis'!$E$121+'Part 3 Portfolio Analysis'!$F$121*AH158</f>
        <v>-3.8599999999999637E-5</v>
      </c>
      <c r="AM158" s="91"/>
      <c r="AN158" s="90">
        <v>44880</v>
      </c>
      <c r="AO158" s="91">
        <v>18362.75</v>
      </c>
      <c r="AP158" s="91">
        <v>18403.400389999999</v>
      </c>
      <c r="AQ158" s="91">
        <v>18403.400389999999</v>
      </c>
      <c r="AR158" s="91">
        <v>250900</v>
      </c>
      <c r="AS158" s="91">
        <v>4.1000000000000003E-3</v>
      </c>
    </row>
    <row r="159" spans="1:45" x14ac:dyDescent="0.55000000000000004">
      <c r="A159" s="90">
        <v>44881</v>
      </c>
      <c r="B159" s="91">
        <v>7026</v>
      </c>
      <c r="C159" s="91">
        <v>6946.3500979999999</v>
      </c>
      <c r="D159" s="91">
        <v>6749.4272460000002</v>
      </c>
      <c r="E159" s="91">
        <v>126933</v>
      </c>
      <c r="F159" s="91">
        <v>-7.7999999999999996E-3</v>
      </c>
      <c r="H159" s="90">
        <v>44881</v>
      </c>
      <c r="I159" s="91">
        <v>1204.5145259999999</v>
      </c>
      <c r="J159" s="91">
        <v>1196.3691409999999</v>
      </c>
      <c r="K159" s="91">
        <v>1183.399048</v>
      </c>
      <c r="L159" s="91">
        <v>9716161</v>
      </c>
      <c r="M159" s="91">
        <v>-5.7000000000000002E-3</v>
      </c>
      <c r="O159" s="90">
        <v>44881</v>
      </c>
      <c r="P159" s="91">
        <v>809.32501219999995</v>
      </c>
      <c r="Q159" s="91">
        <v>816.45001219999995</v>
      </c>
      <c r="R159" s="91">
        <v>785.69885250000004</v>
      </c>
      <c r="S159" s="91">
        <v>13578150</v>
      </c>
      <c r="T159" s="91">
        <v>8.6E-3</v>
      </c>
      <c r="V159" s="90">
        <v>44881</v>
      </c>
      <c r="W159" s="91">
        <v>1597.150024</v>
      </c>
      <c r="X159" s="91">
        <v>1602.8000489999999</v>
      </c>
      <c r="Y159" s="91">
        <v>1469.971802</v>
      </c>
      <c r="Z159" s="91">
        <v>4497697</v>
      </c>
      <c r="AA159" s="91">
        <v>5.4999999999999997E-3</v>
      </c>
      <c r="AB159" s="91"/>
      <c r="AC159" s="90">
        <v>44881</v>
      </c>
      <c r="AD159" s="91">
        <v>1416.150024</v>
      </c>
      <c r="AE159" s="91">
        <v>1394.849976</v>
      </c>
      <c r="AF159" s="91">
        <v>1390.642456</v>
      </c>
      <c r="AG159" s="91">
        <v>467953</v>
      </c>
      <c r="AH159" s="91">
        <v>-1.4999999999999999E-2</v>
      </c>
      <c r="AI159" s="91"/>
      <c r="AJ159" s="91">
        <f>(F159*'Part 3 Portfolio Analysis'!$B$8+M159*'Part 3 Portfolio Analysis'!$C$8+T159*'Part 3 Portfolio Analysis'!$D$8+AA159*'Part 3 Portfolio Analysis'!$E$8+AH159*'Part 3 Portfolio Analysis'!$F$8)/100</f>
        <v>-2.2330168512795022E-3</v>
      </c>
      <c r="AK159" s="91">
        <f>'Part 3 Portfolio Analysis'!$B$107*F159+M159*'Part 3 Portfolio Analysis'!$C$107+T159*'Part 3 Portfolio Analysis'!$D$107+AA159*'Part 3 Portfolio Analysis'!$E$107+AH159*'Part 3 Portfolio Analysis'!$F$107</f>
        <v>-5.0851000000000004E-3</v>
      </c>
      <c r="AL159" s="91">
        <f>F159*'Part 3 Portfolio Analysis'!$B$121+M159*'Part 3 Portfolio Analysis'!$C$121+'Part 3 Portfolio Analysis'!$D$121*T159+AA159*'Part 3 Portfolio Analysis'!$E$121+'Part 3 Portfolio Analysis'!$F$121*AH159</f>
        <v>1.332000000000015E-5</v>
      </c>
      <c r="AM159" s="91"/>
      <c r="AN159" s="90">
        <v>44881</v>
      </c>
      <c r="AO159" s="91">
        <v>18398.25</v>
      </c>
      <c r="AP159" s="91">
        <v>18409.650389999999</v>
      </c>
      <c r="AQ159" s="91">
        <v>18409.650389999999</v>
      </c>
      <c r="AR159" s="91">
        <v>219300</v>
      </c>
      <c r="AS159" s="91">
        <v>2.9999999999999997E-4</v>
      </c>
    </row>
    <row r="160" spans="1:45" x14ac:dyDescent="0.55000000000000004">
      <c r="A160" s="90">
        <v>44882</v>
      </c>
      <c r="B160" s="91">
        <v>6938</v>
      </c>
      <c r="C160" s="91">
        <v>6843.2001950000003</v>
      </c>
      <c r="D160" s="91">
        <v>6649.201172</v>
      </c>
      <c r="E160" s="91">
        <v>167046</v>
      </c>
      <c r="F160" s="91">
        <v>-1.4800000000000001E-2</v>
      </c>
      <c r="H160" s="90">
        <v>44882</v>
      </c>
      <c r="I160" s="91">
        <v>1192.9539789999999</v>
      </c>
      <c r="J160" s="91">
        <v>1199.461182</v>
      </c>
      <c r="K160" s="91">
        <v>1186.4575199999999</v>
      </c>
      <c r="L160" s="91">
        <v>6661451</v>
      </c>
      <c r="M160" s="91">
        <v>2.5999999999999999E-3</v>
      </c>
      <c r="O160" s="90">
        <v>44882</v>
      </c>
      <c r="P160" s="91">
        <v>809.04998780000005</v>
      </c>
      <c r="Q160" s="91">
        <v>809.07501219999995</v>
      </c>
      <c r="R160" s="91">
        <v>778.60162349999996</v>
      </c>
      <c r="S160" s="91">
        <v>12100930</v>
      </c>
      <c r="T160" s="91">
        <v>-8.9999999999999993E-3</v>
      </c>
      <c r="V160" s="90">
        <v>44882</v>
      </c>
      <c r="W160" s="91">
        <v>1597.1999510000001</v>
      </c>
      <c r="X160" s="91">
        <v>1587.400024</v>
      </c>
      <c r="Y160" s="91">
        <v>1455.8480219999999</v>
      </c>
      <c r="Z160" s="91">
        <v>3469515</v>
      </c>
      <c r="AA160" s="91">
        <v>-9.5999999999999992E-3</v>
      </c>
      <c r="AB160" s="91"/>
      <c r="AC160" s="90">
        <v>44882</v>
      </c>
      <c r="AD160" s="91">
        <v>1396</v>
      </c>
      <c r="AE160" s="91">
        <v>1396.6999510000001</v>
      </c>
      <c r="AF160" s="91">
        <v>1392.486938</v>
      </c>
      <c r="AG160" s="91">
        <v>944775</v>
      </c>
      <c r="AH160" s="91">
        <v>1.2999999999999999E-3</v>
      </c>
      <c r="AI160" s="91"/>
      <c r="AJ160" s="91">
        <f>(F160*'Part 3 Portfolio Analysis'!$B$8+M160*'Part 3 Portfolio Analysis'!$C$8+T160*'Part 3 Portfolio Analysis'!$D$8+AA160*'Part 3 Portfolio Analysis'!$E$8+AH160*'Part 3 Portfolio Analysis'!$F$8)/100</f>
        <v>-6.5311225535711424E-3</v>
      </c>
      <c r="AK160" s="91">
        <f>'Part 3 Portfolio Analysis'!$B$107*F160+M160*'Part 3 Portfolio Analysis'!$C$107+T160*'Part 3 Portfolio Analysis'!$D$107+AA160*'Part 3 Portfolio Analysis'!$E$107+AH160*'Part 3 Portfolio Analysis'!$F$107</f>
        <v>-3.8776000000000001E-3</v>
      </c>
      <c r="AL160" s="91">
        <f>F160*'Part 3 Portfolio Analysis'!$B$121+M160*'Part 3 Portfolio Analysis'!$C$121+'Part 3 Portfolio Analysis'!$D$121*T160+AA160*'Part 3 Portfolio Analysis'!$E$121+'Part 3 Portfolio Analysis'!$F$121*AH160</f>
        <v>-4.4595400000000006E-3</v>
      </c>
      <c r="AM160" s="91"/>
      <c r="AN160" s="90">
        <v>44882</v>
      </c>
      <c r="AO160" s="91">
        <v>18358.699219999999</v>
      </c>
      <c r="AP160" s="91">
        <v>18343.900389999999</v>
      </c>
      <c r="AQ160" s="91">
        <v>18343.900389999999</v>
      </c>
      <c r="AR160" s="91">
        <v>200500</v>
      </c>
      <c r="AS160" s="91">
        <v>-3.5999999999999999E-3</v>
      </c>
    </row>
    <row r="161" spans="1:45" x14ac:dyDescent="0.55000000000000004">
      <c r="A161" s="90">
        <v>44883</v>
      </c>
      <c r="B161" s="91">
        <v>6888</v>
      </c>
      <c r="C161" s="91">
        <v>6894.6000979999999</v>
      </c>
      <c r="D161" s="91">
        <v>6699.1440430000002</v>
      </c>
      <c r="E161" s="91">
        <v>185870</v>
      </c>
      <c r="F161" s="91">
        <v>7.4999999999999997E-3</v>
      </c>
      <c r="H161" s="90">
        <v>44883</v>
      </c>
      <c r="I161" s="91">
        <v>1203.0146480000001</v>
      </c>
      <c r="J161" s="91">
        <v>1198.815063</v>
      </c>
      <c r="K161" s="91">
        <v>1185.818481</v>
      </c>
      <c r="L161" s="91">
        <v>5303197</v>
      </c>
      <c r="M161" s="91">
        <v>-5.0000000000000001E-4</v>
      </c>
      <c r="O161" s="90">
        <v>44883</v>
      </c>
      <c r="P161" s="91">
        <v>810.5</v>
      </c>
      <c r="Q161" s="91">
        <v>806.95001219999995</v>
      </c>
      <c r="R161" s="91">
        <v>776.55670169999996</v>
      </c>
      <c r="S161" s="91">
        <v>10459232</v>
      </c>
      <c r="T161" s="91">
        <v>-2.5999999999999999E-3</v>
      </c>
      <c r="V161" s="90">
        <v>44883</v>
      </c>
      <c r="W161" s="91">
        <v>1591.6999510000001</v>
      </c>
      <c r="X161" s="91">
        <v>1593.400024</v>
      </c>
      <c r="Y161" s="91">
        <v>1461.3507079999999</v>
      </c>
      <c r="Z161" s="91">
        <v>3126064</v>
      </c>
      <c r="AA161" s="91">
        <v>3.8E-3</v>
      </c>
      <c r="AB161" s="91"/>
      <c r="AC161" s="90">
        <v>44883</v>
      </c>
      <c r="AD161" s="91">
        <v>1403.6999510000001</v>
      </c>
      <c r="AE161" s="91">
        <v>1383.0500489999999</v>
      </c>
      <c r="AF161" s="91">
        <v>1378.878052</v>
      </c>
      <c r="AG161" s="91">
        <v>591196</v>
      </c>
      <c r="AH161" s="91">
        <v>-9.7999999999999997E-3</v>
      </c>
      <c r="AI161" s="91"/>
      <c r="AJ161" s="91">
        <f>(F161*'Part 3 Portfolio Analysis'!$B$8+M161*'Part 3 Portfolio Analysis'!$C$8+T161*'Part 3 Portfolio Analysis'!$D$8+AA161*'Part 3 Portfolio Analysis'!$E$8+AH161*'Part 3 Portfolio Analysis'!$F$8)/100</f>
        <v>2.1508132293514789E-3</v>
      </c>
      <c r="AK161" s="91">
        <f>'Part 3 Portfolio Analysis'!$B$107*F161+M161*'Part 3 Portfolio Analysis'!$C$107+T161*'Part 3 Portfolio Analysis'!$D$107+AA161*'Part 3 Portfolio Analysis'!$E$107+AH161*'Part 3 Portfolio Analysis'!$F$107</f>
        <v>-1.2990999999999996E-3</v>
      </c>
      <c r="AL161" s="91">
        <f>F161*'Part 3 Portfolio Analysis'!$B$121+M161*'Part 3 Portfolio Analysis'!$C$121+'Part 3 Portfolio Analysis'!$D$121*T161+AA161*'Part 3 Portfolio Analysis'!$E$121+'Part 3 Portfolio Analysis'!$F$121*AH161</f>
        <v>2.0273999999999992E-4</v>
      </c>
      <c r="AM161" s="91"/>
      <c r="AN161" s="90">
        <v>44883</v>
      </c>
      <c r="AO161" s="91">
        <v>18382.949219999999</v>
      </c>
      <c r="AP161" s="91">
        <v>18307.650389999999</v>
      </c>
      <c r="AQ161" s="91">
        <v>18307.650389999999</v>
      </c>
      <c r="AR161" s="91">
        <v>198800</v>
      </c>
      <c r="AS161" s="91">
        <v>-2E-3</v>
      </c>
    </row>
    <row r="162" spans="1:45" x14ac:dyDescent="0.55000000000000004">
      <c r="A162" s="90">
        <v>44886</v>
      </c>
      <c r="B162" s="91">
        <v>6899</v>
      </c>
      <c r="C162" s="91">
        <v>6855.75</v>
      </c>
      <c r="D162" s="91">
        <v>6661.3955079999996</v>
      </c>
      <c r="E162" s="91">
        <v>73793</v>
      </c>
      <c r="F162" s="91">
        <v>-5.5999999999999999E-3</v>
      </c>
      <c r="H162" s="90">
        <v>44886</v>
      </c>
      <c r="I162" s="91">
        <v>1194.361572</v>
      </c>
      <c r="J162" s="91">
        <v>1177.23999</v>
      </c>
      <c r="K162" s="91">
        <v>1164.477173</v>
      </c>
      <c r="L162" s="91">
        <v>6390268</v>
      </c>
      <c r="M162" s="91">
        <v>-1.7999999999999999E-2</v>
      </c>
      <c r="O162" s="90">
        <v>44886</v>
      </c>
      <c r="P162" s="91">
        <v>803.82501219999995</v>
      </c>
      <c r="Q162" s="91">
        <v>798.67498780000005</v>
      </c>
      <c r="R162" s="91">
        <v>768.59332280000001</v>
      </c>
      <c r="S162" s="91">
        <v>8344816</v>
      </c>
      <c r="T162" s="91">
        <v>-1.03E-2</v>
      </c>
      <c r="V162" s="90">
        <v>44886</v>
      </c>
      <c r="W162" s="91">
        <v>1582.099976</v>
      </c>
      <c r="X162" s="91">
        <v>1568.1999510000001</v>
      </c>
      <c r="Y162" s="91">
        <v>1438.2391359999999</v>
      </c>
      <c r="Z162" s="91">
        <v>3071764</v>
      </c>
      <c r="AA162" s="91">
        <v>-1.5800000000000002E-2</v>
      </c>
      <c r="AB162" s="91"/>
      <c r="AC162" s="90">
        <v>44886</v>
      </c>
      <c r="AD162" s="91">
        <v>1378.9499510000001</v>
      </c>
      <c r="AE162" s="91">
        <v>1378.650024</v>
      </c>
      <c r="AF162" s="91">
        <v>1374.4913329999999</v>
      </c>
      <c r="AG162" s="91">
        <v>457376</v>
      </c>
      <c r="AH162" s="91">
        <v>-3.2000000000000002E-3</v>
      </c>
      <c r="AI162" s="91"/>
      <c r="AJ162" s="91">
        <f>(F162*'Part 3 Portfolio Analysis'!$B$8+M162*'Part 3 Portfolio Analysis'!$C$8+T162*'Part 3 Portfolio Analysis'!$D$8+AA162*'Part 3 Portfolio Analysis'!$E$8+AH162*'Part 3 Portfolio Analysis'!$F$8)/100</f>
        <v>-1.2496839120193783E-2</v>
      </c>
      <c r="AK162" s="91">
        <f>'Part 3 Portfolio Analysis'!$B$107*F162+M162*'Part 3 Portfolio Analysis'!$C$107+T162*'Part 3 Portfolio Analysis'!$D$107+AA162*'Part 3 Portfolio Analysis'!$E$107+AH162*'Part 3 Portfolio Analysis'!$F$107</f>
        <v>-1.06249E-2</v>
      </c>
      <c r="AL162" s="91">
        <f>F162*'Part 3 Portfolio Analysis'!$B$121+M162*'Part 3 Portfolio Analysis'!$C$121+'Part 3 Portfolio Analysis'!$D$121*T162+AA162*'Part 3 Portfolio Analysis'!$E$121+'Part 3 Portfolio Analysis'!$F$121*AH162</f>
        <v>-1.4058559999999999E-2</v>
      </c>
      <c r="AM162" s="91"/>
      <c r="AN162" s="90">
        <v>44886</v>
      </c>
      <c r="AO162" s="91">
        <v>18246.400389999999</v>
      </c>
      <c r="AP162" s="91">
        <v>18159.949219999999</v>
      </c>
      <c r="AQ162" s="91">
        <v>18159.949219999999</v>
      </c>
      <c r="AR162" s="91">
        <v>213800</v>
      </c>
      <c r="AS162" s="91">
        <v>-8.0999999999999996E-3</v>
      </c>
    </row>
    <row r="163" spans="1:45" x14ac:dyDescent="0.55000000000000004">
      <c r="A163" s="90">
        <v>44887</v>
      </c>
      <c r="B163" s="91">
        <v>6865</v>
      </c>
      <c r="C163" s="91">
        <v>6826.75</v>
      </c>
      <c r="D163" s="91">
        <v>6633.2177730000003</v>
      </c>
      <c r="E163" s="91">
        <v>99404</v>
      </c>
      <c r="F163" s="91">
        <v>-4.1999999999999997E-3</v>
      </c>
      <c r="H163" s="90">
        <v>44887</v>
      </c>
      <c r="I163" s="91">
        <v>1174.5170900000001</v>
      </c>
      <c r="J163" s="91">
        <v>1183.7701420000001</v>
      </c>
      <c r="K163" s="91">
        <v>1170.9366460000001</v>
      </c>
      <c r="L163" s="91">
        <v>6611488</v>
      </c>
      <c r="M163" s="91">
        <v>5.4999999999999997E-3</v>
      </c>
      <c r="O163" s="90">
        <v>44887</v>
      </c>
      <c r="P163" s="91">
        <v>800</v>
      </c>
      <c r="Q163" s="91">
        <v>797.5</v>
      </c>
      <c r="R163" s="91">
        <v>767.46258539999997</v>
      </c>
      <c r="S163" s="91">
        <v>8546314</v>
      </c>
      <c r="T163" s="91">
        <v>-1.5E-3</v>
      </c>
      <c r="V163" s="90">
        <v>44887</v>
      </c>
      <c r="W163" s="91">
        <v>1569</v>
      </c>
      <c r="X163" s="91">
        <v>1585.0500489999999</v>
      </c>
      <c r="Y163" s="91">
        <v>1453.692749</v>
      </c>
      <c r="Z163" s="91">
        <v>3399329</v>
      </c>
      <c r="AA163" s="91">
        <v>1.0699999999999999E-2</v>
      </c>
      <c r="AB163" s="91"/>
      <c r="AC163" s="90">
        <v>44887</v>
      </c>
      <c r="AD163" s="91">
        <v>1380</v>
      </c>
      <c r="AE163" s="91">
        <v>1408.150024</v>
      </c>
      <c r="AF163" s="91">
        <v>1403.9023440000001</v>
      </c>
      <c r="AG163" s="91">
        <v>770340</v>
      </c>
      <c r="AH163" s="91">
        <v>2.1399999999999999E-2</v>
      </c>
      <c r="AI163" s="91"/>
      <c r="AJ163" s="91">
        <f>(F163*'Part 3 Portfolio Analysis'!$B$8+M163*'Part 3 Portfolio Analysis'!$C$8+T163*'Part 3 Portfolio Analysis'!$D$8+AA163*'Part 3 Portfolio Analysis'!$E$8+AH163*'Part 3 Portfolio Analysis'!$F$8)/100</f>
        <v>2.4145658496041097E-3</v>
      </c>
      <c r="AK163" s="91">
        <f>'Part 3 Portfolio Analysis'!$B$107*F163+M163*'Part 3 Portfolio Analysis'!$C$107+T163*'Part 3 Portfolio Analysis'!$D$107+AA163*'Part 3 Portfolio Analysis'!$E$107+AH163*'Part 3 Portfolio Analysis'!$F$107</f>
        <v>7.1957999999999996E-3</v>
      </c>
      <c r="AL163" s="91">
        <f>F163*'Part 3 Portfolio Analysis'!$B$121+M163*'Part 3 Portfolio Analysis'!$C$121+'Part 3 Portfolio Analysis'!$D$121*T163+AA163*'Part 3 Portfolio Analysis'!$E$121+'Part 3 Portfolio Analysis'!$F$121*AH163</f>
        <v>4.2552399999999995E-3</v>
      </c>
      <c r="AM163" s="91"/>
      <c r="AN163" s="90">
        <v>44887</v>
      </c>
      <c r="AO163" s="91">
        <v>18179.150389999999</v>
      </c>
      <c r="AP163" s="91">
        <v>18244.199219999999</v>
      </c>
      <c r="AQ163" s="91">
        <v>18244.199219999999</v>
      </c>
      <c r="AR163" s="91">
        <v>177700</v>
      </c>
      <c r="AS163" s="91">
        <v>4.5999999999999999E-3</v>
      </c>
    </row>
    <row r="164" spans="1:45" x14ac:dyDescent="0.55000000000000004">
      <c r="A164" s="90">
        <v>44888</v>
      </c>
      <c r="B164" s="91">
        <v>6850</v>
      </c>
      <c r="C164" s="91">
        <v>6732.7998049999997</v>
      </c>
      <c r="D164" s="91">
        <v>6541.9306640000004</v>
      </c>
      <c r="E164" s="91">
        <v>195252</v>
      </c>
      <c r="F164" s="91">
        <v>-1.38E-2</v>
      </c>
      <c r="H164" s="90">
        <v>44888</v>
      </c>
      <c r="I164" s="91">
        <v>1188.362061</v>
      </c>
      <c r="J164" s="91">
        <v>1180.078125</v>
      </c>
      <c r="K164" s="91">
        <v>1167.2845460000001</v>
      </c>
      <c r="L164" s="91">
        <v>6413408</v>
      </c>
      <c r="M164" s="91">
        <v>-3.0999999999999999E-3</v>
      </c>
      <c r="O164" s="90">
        <v>44888</v>
      </c>
      <c r="P164" s="91">
        <v>802.5</v>
      </c>
      <c r="Q164" s="91">
        <v>799.57501219999995</v>
      </c>
      <c r="R164" s="91">
        <v>769.45947269999999</v>
      </c>
      <c r="S164" s="91">
        <v>10185738</v>
      </c>
      <c r="T164" s="91">
        <v>2.5999999999999999E-3</v>
      </c>
      <c r="V164" s="90">
        <v>44888</v>
      </c>
      <c r="W164" s="91">
        <v>1588.900024</v>
      </c>
      <c r="X164" s="91">
        <v>1583.150024</v>
      </c>
      <c r="Y164" s="91">
        <v>1451.950317</v>
      </c>
      <c r="Z164" s="91">
        <v>3245067</v>
      </c>
      <c r="AA164" s="91">
        <v>-1.1999999999999999E-3</v>
      </c>
      <c r="AB164" s="91"/>
      <c r="AC164" s="90">
        <v>44888</v>
      </c>
      <c r="AD164" s="91">
        <v>1408.150024</v>
      </c>
      <c r="AE164" s="91">
        <v>1410.3000489999999</v>
      </c>
      <c r="AF164" s="91">
        <v>1406.0458980000001</v>
      </c>
      <c r="AG164" s="91">
        <v>1390277</v>
      </c>
      <c r="AH164" s="91">
        <v>1.5E-3</v>
      </c>
      <c r="AI164" s="91"/>
      <c r="AJ164" s="91">
        <f>(F164*'Part 3 Portfolio Analysis'!$B$8+M164*'Part 3 Portfolio Analysis'!$C$8+T164*'Part 3 Portfolio Analysis'!$D$8+AA164*'Part 3 Portfolio Analysis'!$E$8+AH164*'Part 3 Portfolio Analysis'!$F$8)/100</f>
        <v>-5.008435279433069E-3</v>
      </c>
      <c r="AK164" s="91">
        <f>'Part 3 Portfolio Analysis'!$B$107*F164+M164*'Part 3 Portfolio Analysis'!$C$107+T164*'Part 3 Portfolio Analysis'!$D$107+AA164*'Part 3 Portfolio Analysis'!$E$107+AH164*'Part 3 Portfolio Analysis'!$F$107</f>
        <v>-2.7932999999999994E-3</v>
      </c>
      <c r="AL164" s="91">
        <f>F164*'Part 3 Portfolio Analysis'!$B$121+M164*'Part 3 Portfolio Analysis'!$C$121+'Part 3 Portfolio Analysis'!$D$121*T164+AA164*'Part 3 Portfolio Analysis'!$E$121+'Part 3 Portfolio Analysis'!$F$121*AH164</f>
        <v>-1.9286199999999998E-3</v>
      </c>
      <c r="AM164" s="91"/>
      <c r="AN164" s="90">
        <v>44888</v>
      </c>
      <c r="AO164" s="91">
        <v>18325.199219999999</v>
      </c>
      <c r="AP164" s="91">
        <v>18267.25</v>
      </c>
      <c r="AQ164" s="91">
        <v>18267.25</v>
      </c>
      <c r="AR164" s="91">
        <v>178800</v>
      </c>
      <c r="AS164" s="91">
        <v>1.2999999999999999E-3</v>
      </c>
    </row>
    <row r="165" spans="1:45" x14ac:dyDescent="0.55000000000000004">
      <c r="A165" s="90">
        <v>44889</v>
      </c>
      <c r="B165" s="91">
        <v>6750.7001950000003</v>
      </c>
      <c r="C165" s="91">
        <v>6618.3999020000001</v>
      </c>
      <c r="D165" s="91">
        <v>6430.7739259999998</v>
      </c>
      <c r="E165" s="91">
        <v>383895</v>
      </c>
      <c r="F165" s="91">
        <v>-1.7000000000000001E-2</v>
      </c>
      <c r="H165" s="90">
        <v>44889</v>
      </c>
      <c r="I165" s="91">
        <v>1184.2086179999999</v>
      </c>
      <c r="J165" s="91">
        <v>1190.2542719999999</v>
      </c>
      <c r="K165" s="91">
        <v>1177.350586</v>
      </c>
      <c r="L165" s="91">
        <v>9389439</v>
      </c>
      <c r="M165" s="91">
        <v>8.6E-3</v>
      </c>
      <c r="O165" s="90">
        <v>44889</v>
      </c>
      <c r="P165" s="91">
        <v>802.97497559999999</v>
      </c>
      <c r="Q165" s="91">
        <v>812.57501219999995</v>
      </c>
      <c r="R165" s="91">
        <v>781.96978760000002</v>
      </c>
      <c r="S165" s="91">
        <v>17197960</v>
      </c>
      <c r="T165" s="91">
        <v>1.6299999999999999E-2</v>
      </c>
      <c r="V165" s="90">
        <v>44889</v>
      </c>
      <c r="W165" s="91">
        <v>1589</v>
      </c>
      <c r="X165" s="91">
        <v>1629.8000489999999</v>
      </c>
      <c r="Y165" s="91">
        <v>1494.7342530000001</v>
      </c>
      <c r="Z165" s="91">
        <v>5282215</v>
      </c>
      <c r="AA165" s="91">
        <v>2.9499999999999998E-2</v>
      </c>
      <c r="AB165" s="91"/>
      <c r="AC165" s="90">
        <v>44889</v>
      </c>
      <c r="AD165" s="91">
        <v>1414</v>
      </c>
      <c r="AE165" s="91">
        <v>1429.4499510000001</v>
      </c>
      <c r="AF165" s="91">
        <v>1425.138062</v>
      </c>
      <c r="AG165" s="91">
        <v>602103</v>
      </c>
      <c r="AH165" s="91">
        <v>1.3599999999999999E-2</v>
      </c>
      <c r="AI165" s="91"/>
      <c r="AJ165" s="91">
        <f>(F165*'Part 3 Portfolio Analysis'!$B$8+M165*'Part 3 Portfolio Analysis'!$C$8+T165*'Part 3 Portfolio Analysis'!$D$8+AA165*'Part 3 Portfolio Analysis'!$E$8+AH165*'Part 3 Portfolio Analysis'!$F$8)/100</f>
        <v>5.6168373881315958E-3</v>
      </c>
      <c r="AK165" s="91">
        <f>'Part 3 Portfolio Analysis'!$B$107*F165+M165*'Part 3 Portfolio Analysis'!$C$107+T165*'Part 3 Portfolio Analysis'!$D$107+AA165*'Part 3 Portfolio Analysis'!$E$107+AH165*'Part 3 Portfolio Analysis'!$F$107</f>
        <v>8.5354999999999997E-3</v>
      </c>
      <c r="AL165" s="91">
        <f>F165*'Part 3 Portfolio Analysis'!$B$121+M165*'Part 3 Portfolio Analysis'!$C$121+'Part 3 Portfolio Analysis'!$D$121*T165+AA165*'Part 3 Portfolio Analysis'!$E$121+'Part 3 Portfolio Analysis'!$F$121*AH165</f>
        <v>1.2901079999999999E-2</v>
      </c>
      <c r="AM165" s="91"/>
      <c r="AN165" s="90">
        <v>44889</v>
      </c>
      <c r="AO165" s="91">
        <v>18326.099610000001</v>
      </c>
      <c r="AP165" s="91">
        <v>18484.099610000001</v>
      </c>
      <c r="AQ165" s="91">
        <v>18484.099610000001</v>
      </c>
      <c r="AR165" s="91">
        <v>204000</v>
      </c>
      <c r="AS165" s="91">
        <v>1.1900000000000001E-2</v>
      </c>
    </row>
    <row r="166" spans="1:45" x14ac:dyDescent="0.55000000000000004">
      <c r="A166" s="90">
        <v>44890</v>
      </c>
      <c r="B166" s="91">
        <v>6666</v>
      </c>
      <c r="C166" s="91">
        <v>6779.9501950000003</v>
      </c>
      <c r="D166" s="91">
        <v>6587.7441410000001</v>
      </c>
      <c r="E166" s="91">
        <v>371997</v>
      </c>
      <c r="F166" s="91">
        <v>2.4400000000000002E-2</v>
      </c>
      <c r="H166" s="90">
        <v>44890</v>
      </c>
      <c r="I166" s="91">
        <v>1194.82312</v>
      </c>
      <c r="J166" s="91">
        <v>1208.0219729999999</v>
      </c>
      <c r="K166" s="91">
        <v>1194.925659</v>
      </c>
      <c r="L166" s="91">
        <v>7349922</v>
      </c>
      <c r="M166" s="91">
        <v>1.49E-2</v>
      </c>
      <c r="O166" s="90">
        <v>44890</v>
      </c>
      <c r="P166" s="91">
        <v>814.84997559999999</v>
      </c>
      <c r="Q166" s="91">
        <v>808.82501219999995</v>
      </c>
      <c r="R166" s="91">
        <v>778.36102289999997</v>
      </c>
      <c r="S166" s="91">
        <v>8410496</v>
      </c>
      <c r="T166" s="91">
        <v>-4.5999999999999999E-3</v>
      </c>
      <c r="V166" s="90">
        <v>44890</v>
      </c>
      <c r="W166" s="91">
        <v>1631.400024</v>
      </c>
      <c r="X166" s="91">
        <v>1635.650024</v>
      </c>
      <c r="Y166" s="91">
        <v>1500.099487</v>
      </c>
      <c r="Z166" s="91">
        <v>4563255</v>
      </c>
      <c r="AA166" s="91">
        <v>3.5999999999999999E-3</v>
      </c>
      <c r="AB166" s="91"/>
      <c r="AC166" s="90">
        <v>44890</v>
      </c>
      <c r="AD166" s="91">
        <v>1430</v>
      </c>
      <c r="AE166" s="91">
        <v>1432.400024</v>
      </c>
      <c r="AF166" s="91">
        <v>1428.0792240000001</v>
      </c>
      <c r="AG166" s="91">
        <v>541513</v>
      </c>
      <c r="AH166" s="91">
        <v>2.0999999999999999E-3</v>
      </c>
      <c r="AI166" s="91"/>
      <c r="AJ166" s="91">
        <f>(F166*'Part 3 Portfolio Analysis'!$B$8+M166*'Part 3 Portfolio Analysis'!$C$8+T166*'Part 3 Portfolio Analysis'!$D$8+AA166*'Part 3 Portfolio Analysis'!$E$8+AH166*'Part 3 Portfolio Analysis'!$F$8)/100</f>
        <v>1.2553500962660401E-2</v>
      </c>
      <c r="AK166" s="91">
        <f>'Part 3 Portfolio Analysis'!$B$107*F166+M166*'Part 3 Portfolio Analysis'!$C$107+T166*'Part 3 Portfolio Analysis'!$D$107+AA166*'Part 3 Portfolio Analysis'!$E$107+AH166*'Part 3 Portfolio Analysis'!$F$107</f>
        <v>9.2318999999999995E-3</v>
      </c>
      <c r="AL166" s="91">
        <f>F166*'Part 3 Portfolio Analysis'!$B$121+M166*'Part 3 Portfolio Analysis'!$C$121+'Part 3 Portfolio Analysis'!$D$121*T166+AA166*'Part 3 Portfolio Analysis'!$E$121+'Part 3 Portfolio Analysis'!$F$121*AH166</f>
        <v>7.78154E-3</v>
      </c>
      <c r="AM166" s="91"/>
      <c r="AN166" s="90">
        <v>44890</v>
      </c>
      <c r="AO166" s="91">
        <v>18528.449219999999</v>
      </c>
      <c r="AP166" s="91">
        <v>18512.75</v>
      </c>
      <c r="AQ166" s="91">
        <v>18512.75</v>
      </c>
      <c r="AR166" s="91">
        <v>205900</v>
      </c>
      <c r="AS166" s="91">
        <v>1.6000000000000001E-3</v>
      </c>
    </row>
    <row r="167" spans="1:45" x14ac:dyDescent="0.55000000000000004">
      <c r="A167" s="90">
        <v>44893</v>
      </c>
      <c r="B167" s="91">
        <v>6785.5498049999997</v>
      </c>
      <c r="C167" s="91">
        <v>6796.9501950000003</v>
      </c>
      <c r="D167" s="91">
        <v>6604.2626950000003</v>
      </c>
      <c r="E167" s="91">
        <v>145299</v>
      </c>
      <c r="F167" s="91">
        <v>2.5000000000000001E-3</v>
      </c>
      <c r="H167" s="90">
        <v>44893</v>
      </c>
      <c r="I167" s="91">
        <v>1204.0069579999999</v>
      </c>
      <c r="J167" s="91">
        <v>1249.533936</v>
      </c>
      <c r="K167" s="91">
        <v>1235.9875489999999</v>
      </c>
      <c r="L167" s="91">
        <v>31527484</v>
      </c>
      <c r="M167" s="91">
        <v>3.44E-2</v>
      </c>
      <c r="O167" s="90">
        <v>44893</v>
      </c>
      <c r="P167" s="91">
        <v>801.45001219999995</v>
      </c>
      <c r="Q167" s="91">
        <v>800.125</v>
      </c>
      <c r="R167" s="91">
        <v>769.98870850000003</v>
      </c>
      <c r="S167" s="91">
        <v>16105980</v>
      </c>
      <c r="T167" s="91">
        <v>-1.0800000000000001E-2</v>
      </c>
      <c r="V167" s="90">
        <v>44893</v>
      </c>
      <c r="W167" s="91">
        <v>1628</v>
      </c>
      <c r="X167" s="91">
        <v>1623.400024</v>
      </c>
      <c r="Y167" s="91">
        <v>1488.864624</v>
      </c>
      <c r="Z167" s="91">
        <v>3825766</v>
      </c>
      <c r="AA167" s="91">
        <v>-7.4999999999999997E-3</v>
      </c>
      <c r="AB167" s="91"/>
      <c r="AC167" s="90">
        <v>44893</v>
      </c>
      <c r="AD167" s="91">
        <v>1421</v>
      </c>
      <c r="AE167" s="91">
        <v>1439.150024</v>
      </c>
      <c r="AF167" s="91">
        <v>1434.8089600000001</v>
      </c>
      <c r="AG167" s="91">
        <v>290527</v>
      </c>
      <c r="AH167" s="91">
        <v>4.7000000000000002E-3</v>
      </c>
      <c r="AI167" s="91"/>
      <c r="AJ167" s="91">
        <f>(F167*'Part 3 Portfolio Analysis'!$B$8+M167*'Part 3 Portfolio Analysis'!$C$8+T167*'Part 3 Portfolio Analysis'!$D$8+AA167*'Part 3 Portfolio Analysis'!$E$8+AH167*'Part 3 Portfolio Analysis'!$F$8)/100</f>
        <v>1.0256673536792518E-2</v>
      </c>
      <c r="AK167" s="91">
        <f>'Part 3 Portfolio Analysis'!$B$107*F167+M167*'Part 3 Portfolio Analysis'!$C$107+T167*'Part 3 Portfolio Analysis'!$D$107+AA167*'Part 3 Portfolio Analysis'!$E$107+AH167*'Part 3 Portfolio Analysis'!$F$107</f>
        <v>9.9775999999999997E-3</v>
      </c>
      <c r="AL167" s="91">
        <f>F167*'Part 3 Portfolio Analysis'!$B$121+M167*'Part 3 Portfolio Analysis'!$C$121+'Part 3 Portfolio Analysis'!$D$121*T167+AA167*'Part 3 Portfolio Analysis'!$E$121+'Part 3 Portfolio Analysis'!$F$121*AH167</f>
        <v>1.0325280000000001E-2</v>
      </c>
      <c r="AM167" s="91"/>
      <c r="AN167" s="90">
        <v>44893</v>
      </c>
      <c r="AO167" s="91">
        <v>18430.550780000001</v>
      </c>
      <c r="AP167" s="91">
        <v>18562.75</v>
      </c>
      <c r="AQ167" s="91">
        <v>18562.75</v>
      </c>
      <c r="AR167" s="91">
        <v>206500</v>
      </c>
      <c r="AS167" s="91">
        <v>2.7000000000000001E-3</v>
      </c>
    </row>
    <row r="168" spans="1:45" x14ac:dyDescent="0.55000000000000004">
      <c r="A168" s="90">
        <v>44894</v>
      </c>
      <c r="B168" s="91">
        <v>6796</v>
      </c>
      <c r="C168" s="91">
        <v>6781.75</v>
      </c>
      <c r="D168" s="91">
        <v>6589.4931640000004</v>
      </c>
      <c r="E168" s="91">
        <v>112717</v>
      </c>
      <c r="F168" s="91">
        <v>-2.2000000000000001E-3</v>
      </c>
      <c r="H168" s="90">
        <v>44894</v>
      </c>
      <c r="I168" s="91">
        <v>1247.872437</v>
      </c>
      <c r="J168" s="91">
        <v>1251.6798100000001</v>
      </c>
      <c r="K168" s="91">
        <v>1238.110107</v>
      </c>
      <c r="L168" s="91">
        <v>11058913</v>
      </c>
      <c r="M168" s="91">
        <v>1.6999999999999999E-3</v>
      </c>
      <c r="O168" s="90">
        <v>44894</v>
      </c>
      <c r="P168" s="91">
        <v>798.625</v>
      </c>
      <c r="Q168" s="91">
        <v>798.92498780000005</v>
      </c>
      <c r="R168" s="91">
        <v>768.83386229999996</v>
      </c>
      <c r="S168" s="91">
        <v>12638236</v>
      </c>
      <c r="T168" s="91">
        <v>-1.5E-3</v>
      </c>
      <c r="V168" s="90">
        <v>44894</v>
      </c>
      <c r="W168" s="91">
        <v>1621.1999510000001</v>
      </c>
      <c r="X168" s="91">
        <v>1629.0500489999999</v>
      </c>
      <c r="Y168" s="91">
        <v>1494.046509</v>
      </c>
      <c r="Z168" s="91">
        <v>3131710</v>
      </c>
      <c r="AA168" s="91">
        <v>3.5000000000000001E-3</v>
      </c>
      <c r="AB168" s="91"/>
      <c r="AC168" s="90">
        <v>44894</v>
      </c>
      <c r="AD168" s="91">
        <v>1439</v>
      </c>
      <c r="AE168" s="91">
        <v>1456.9499510000001</v>
      </c>
      <c r="AF168" s="91">
        <v>1452.5550539999999</v>
      </c>
      <c r="AG168" s="91">
        <v>476040</v>
      </c>
      <c r="AH168" s="91">
        <v>1.24E-2</v>
      </c>
      <c r="AI168" s="91"/>
      <c r="AJ168" s="91">
        <f>(F168*'Part 3 Portfolio Analysis'!$B$8+M168*'Part 3 Portfolio Analysis'!$C$8+T168*'Part 3 Portfolio Analysis'!$D$8+AA168*'Part 3 Portfolio Analysis'!$E$8+AH168*'Part 3 Portfolio Analysis'!$F$8)/100</f>
        <v>3.9045727022930907E-4</v>
      </c>
      <c r="AK168" s="91">
        <f>'Part 3 Portfolio Analysis'!$B$107*F168+M168*'Part 3 Portfolio Analysis'!$C$107+T168*'Part 3 Portfolio Analysis'!$D$107+AA168*'Part 3 Portfolio Analysis'!$E$107+AH168*'Part 3 Portfolio Analysis'!$F$107</f>
        <v>3.3784000000000002E-3</v>
      </c>
      <c r="AL168" s="91">
        <f>F168*'Part 3 Portfolio Analysis'!$B$121+M168*'Part 3 Portfolio Analysis'!$C$121+'Part 3 Portfolio Analysis'!$D$121*T168+AA168*'Part 3 Portfolio Analysis'!$E$121+'Part 3 Portfolio Analysis'!$F$121*AH168</f>
        <v>1.1493599999999999E-3</v>
      </c>
      <c r="AM168" s="91"/>
      <c r="AN168" s="90">
        <v>44894</v>
      </c>
      <c r="AO168" s="91">
        <v>18552.449219999999</v>
      </c>
      <c r="AP168" s="91">
        <v>18618.050780000001</v>
      </c>
      <c r="AQ168" s="91">
        <v>18618.050780000001</v>
      </c>
      <c r="AR168" s="91">
        <v>195300</v>
      </c>
      <c r="AS168" s="91">
        <v>3.0000000000000001E-3</v>
      </c>
    </row>
    <row r="169" spans="1:45" x14ac:dyDescent="0.55000000000000004">
      <c r="A169" s="90">
        <v>44895</v>
      </c>
      <c r="B169" s="91">
        <v>6810</v>
      </c>
      <c r="C169" s="91">
        <v>7010.25</v>
      </c>
      <c r="D169" s="91">
        <v>6811.515625</v>
      </c>
      <c r="E169" s="91">
        <v>489300</v>
      </c>
      <c r="F169" s="91">
        <v>3.3700000000000001E-2</v>
      </c>
      <c r="H169" s="90">
        <v>44895</v>
      </c>
      <c r="I169" s="91">
        <v>1251.8183590000001</v>
      </c>
      <c r="J169" s="91">
        <v>1260.517578</v>
      </c>
      <c r="K169" s="91">
        <v>1246.8520510000001</v>
      </c>
      <c r="L169" s="91">
        <v>26164986</v>
      </c>
      <c r="M169" s="91">
        <v>7.1000000000000004E-3</v>
      </c>
      <c r="O169" s="90">
        <v>44895</v>
      </c>
      <c r="P169" s="91">
        <v>798.54998780000005</v>
      </c>
      <c r="Q169" s="91">
        <v>804.22497559999999</v>
      </c>
      <c r="R169" s="91">
        <v>773.93432619999999</v>
      </c>
      <c r="S169" s="91">
        <v>15184806</v>
      </c>
      <c r="T169" s="91">
        <v>6.6E-3</v>
      </c>
      <c r="V169" s="90">
        <v>44895</v>
      </c>
      <c r="W169" s="91">
        <v>1619.9499510000001</v>
      </c>
      <c r="X169" s="91">
        <v>1634.9499510000001</v>
      </c>
      <c r="Y169" s="91">
        <v>1499.4575199999999</v>
      </c>
      <c r="Z169" s="91">
        <v>11868134</v>
      </c>
      <c r="AA169" s="91">
        <v>3.5999999999999999E-3</v>
      </c>
      <c r="AB169" s="91"/>
      <c r="AC169" s="90">
        <v>44895</v>
      </c>
      <c r="AD169" s="91">
        <v>1456.9499510000001</v>
      </c>
      <c r="AE169" s="91">
        <v>1471.650024</v>
      </c>
      <c r="AF169" s="91">
        <v>1467.2108149999999</v>
      </c>
      <c r="AG169" s="91">
        <v>960009</v>
      </c>
      <c r="AH169" s="91">
        <v>1.01E-2</v>
      </c>
      <c r="AI169" s="91"/>
      <c r="AJ169" s="91">
        <f>(F169*'Part 3 Portfolio Analysis'!$B$8+M169*'Part 3 Portfolio Analysis'!$C$8+T169*'Part 3 Portfolio Analysis'!$D$8+AA169*'Part 3 Portfolio Analysis'!$E$8+AH169*'Part 3 Portfolio Analysis'!$F$8)/100</f>
        <v>1.4462646945569363E-2</v>
      </c>
      <c r="AK169" s="91">
        <f>'Part 3 Portfolio Analysis'!$B$107*F169+M169*'Part 3 Portfolio Analysis'!$C$107+T169*'Part 3 Portfolio Analysis'!$D$107+AA169*'Part 3 Portfolio Analysis'!$E$107+AH169*'Part 3 Portfolio Analysis'!$F$107</f>
        <v>1.2216499999999998E-2</v>
      </c>
      <c r="AL169" s="91">
        <f>F169*'Part 3 Portfolio Analysis'!$B$121+M169*'Part 3 Portfolio Analysis'!$C$121+'Part 3 Portfolio Analysis'!$D$121*T169+AA169*'Part 3 Portfolio Analysis'!$E$121+'Part 3 Portfolio Analysis'!$F$121*AH169</f>
        <v>8.5291199999999994E-3</v>
      </c>
      <c r="AM169" s="91"/>
      <c r="AN169" s="90">
        <v>44895</v>
      </c>
      <c r="AO169" s="91">
        <v>18625.699219999999</v>
      </c>
      <c r="AP169" s="91">
        <v>18758.349610000001</v>
      </c>
      <c r="AQ169" s="91">
        <v>18758.349610000001</v>
      </c>
      <c r="AR169" s="91">
        <v>345600</v>
      </c>
      <c r="AS169" s="91">
        <v>7.4999999999999997E-3</v>
      </c>
    </row>
    <row r="170" spans="1:45" x14ac:dyDescent="0.55000000000000004">
      <c r="A170" s="90">
        <v>44896</v>
      </c>
      <c r="B170" s="91">
        <v>7089.7998049999997</v>
      </c>
      <c r="C170" s="91">
        <v>7071.6499020000001</v>
      </c>
      <c r="D170" s="91">
        <v>6871.1748049999997</v>
      </c>
      <c r="E170" s="91">
        <v>409392</v>
      </c>
      <c r="F170" s="91">
        <v>8.8000000000000005E-3</v>
      </c>
      <c r="H170" s="90">
        <v>44896</v>
      </c>
      <c r="I170" s="91">
        <v>1265.3402100000001</v>
      </c>
      <c r="J170" s="91">
        <v>1256.80249</v>
      </c>
      <c r="K170" s="91">
        <v>1243.177246</v>
      </c>
      <c r="L170" s="91">
        <v>9485801</v>
      </c>
      <c r="M170" s="91">
        <v>-2.8999999999999998E-3</v>
      </c>
      <c r="O170" s="90">
        <v>44896</v>
      </c>
      <c r="P170" s="91">
        <v>811</v>
      </c>
      <c r="Q170" s="91">
        <v>809.75</v>
      </c>
      <c r="R170" s="91">
        <v>779.25115970000002</v>
      </c>
      <c r="S170" s="91">
        <v>20446366</v>
      </c>
      <c r="T170" s="91">
        <v>6.8999999999999999E-3</v>
      </c>
      <c r="V170" s="90">
        <v>44896</v>
      </c>
      <c r="W170" s="91">
        <v>1656.1999510000001</v>
      </c>
      <c r="X170" s="91">
        <v>1657.099976</v>
      </c>
      <c r="Y170" s="91">
        <v>1519.7717290000001</v>
      </c>
      <c r="Z170" s="91">
        <v>5407928</v>
      </c>
      <c r="AA170" s="91">
        <v>1.35E-2</v>
      </c>
      <c r="AB170" s="91"/>
      <c r="AC170" s="90">
        <v>44896</v>
      </c>
      <c r="AD170" s="91">
        <v>1473.5500489999999</v>
      </c>
      <c r="AE170" s="91">
        <v>1464.099976</v>
      </c>
      <c r="AF170" s="91">
        <v>1459.6835940000001</v>
      </c>
      <c r="AG170" s="91">
        <v>392526</v>
      </c>
      <c r="AH170" s="91">
        <v>-5.1000000000000004E-3</v>
      </c>
      <c r="AI170" s="91"/>
      <c r="AJ170" s="91">
        <f>(F170*'Part 3 Portfolio Analysis'!$B$8+M170*'Part 3 Portfolio Analysis'!$C$8+T170*'Part 3 Portfolio Analysis'!$D$8+AA170*'Part 3 Portfolio Analysis'!$E$8+AH170*'Part 3 Portfolio Analysis'!$F$8)/100</f>
        <v>4.8625730975287605E-3</v>
      </c>
      <c r="AK170" s="91">
        <f>'Part 3 Portfolio Analysis'!$B$107*F170+M170*'Part 3 Portfolio Analysis'!$C$107+T170*'Part 3 Portfolio Analysis'!$D$107+AA170*'Part 3 Portfolio Analysis'!$E$107+AH170*'Part 3 Portfolio Analysis'!$F$107</f>
        <v>1.8106000000000001E-3</v>
      </c>
      <c r="AL170" s="91">
        <f>F170*'Part 3 Portfolio Analysis'!$B$121+M170*'Part 3 Portfolio Analysis'!$C$121+'Part 3 Portfolio Analysis'!$D$121*T170+AA170*'Part 3 Portfolio Analysis'!$E$121+'Part 3 Portfolio Analysis'!$F$121*AH170</f>
        <v>3.9497000000000004E-3</v>
      </c>
      <c r="AM170" s="91"/>
      <c r="AN170" s="90">
        <v>44896</v>
      </c>
      <c r="AO170" s="91">
        <v>18871.949219999999</v>
      </c>
      <c r="AP170" s="91">
        <v>18812.5</v>
      </c>
      <c r="AQ170" s="91">
        <v>18812.5</v>
      </c>
      <c r="AR170" s="91">
        <v>325000</v>
      </c>
      <c r="AS170" s="91">
        <v>2.8999999999999998E-3</v>
      </c>
    </row>
    <row r="171" spans="1:45" x14ac:dyDescent="0.55000000000000004">
      <c r="A171" s="90">
        <v>44897</v>
      </c>
      <c r="B171" s="91">
        <v>7071.6499020000001</v>
      </c>
      <c r="C171" s="91">
        <v>7033.9501950000003</v>
      </c>
      <c r="D171" s="91">
        <v>6834.5434569999998</v>
      </c>
      <c r="E171" s="91">
        <v>202824</v>
      </c>
      <c r="F171" s="91">
        <v>-5.3E-3</v>
      </c>
      <c r="H171" s="90">
        <v>44897</v>
      </c>
      <c r="I171" s="91">
        <v>1259.8945309999999</v>
      </c>
      <c r="J171" s="91">
        <v>1256.2717290000001</v>
      </c>
      <c r="K171" s="91">
        <v>1242.6522219999999</v>
      </c>
      <c r="L171" s="91">
        <v>11589592</v>
      </c>
      <c r="M171" s="91">
        <v>-4.0000000000000002E-4</v>
      </c>
      <c r="O171" s="90">
        <v>44897</v>
      </c>
      <c r="P171" s="91">
        <v>805</v>
      </c>
      <c r="Q171" s="91">
        <v>803.54998780000005</v>
      </c>
      <c r="R171" s="91">
        <v>773.28472899999997</v>
      </c>
      <c r="S171" s="91">
        <v>7811078</v>
      </c>
      <c r="T171" s="91">
        <v>-7.7000000000000002E-3</v>
      </c>
      <c r="V171" s="90">
        <v>44897</v>
      </c>
      <c r="W171" s="91">
        <v>1656</v>
      </c>
      <c r="X171" s="91">
        <v>1637.900024</v>
      </c>
      <c r="Y171" s="91">
        <v>1502.1629640000001</v>
      </c>
      <c r="Z171" s="91">
        <v>4283343</v>
      </c>
      <c r="AA171" s="91">
        <v>-1.1599999999999999E-2</v>
      </c>
      <c r="AB171" s="91"/>
      <c r="AC171" s="90">
        <v>44897</v>
      </c>
      <c r="AD171" s="91">
        <v>1464</v>
      </c>
      <c r="AE171" s="91">
        <v>1468.6999510000001</v>
      </c>
      <c r="AF171" s="91">
        <v>1464.2696530000001</v>
      </c>
      <c r="AG171" s="91">
        <v>286105</v>
      </c>
      <c r="AH171" s="91">
        <v>3.0999999999999999E-3</v>
      </c>
      <c r="AI171" s="91"/>
      <c r="AJ171" s="91">
        <f>(F171*'Part 3 Portfolio Analysis'!$B$8+M171*'Part 3 Portfolio Analysis'!$C$8+T171*'Part 3 Portfolio Analysis'!$D$8+AA171*'Part 3 Portfolio Analysis'!$E$8+AH171*'Part 3 Portfolio Analysis'!$F$8)/100</f>
        <v>-4.8559811071539104E-3</v>
      </c>
      <c r="AK171" s="91">
        <f>'Part 3 Portfolio Analysis'!$B$107*F171+M171*'Part 3 Portfolio Analysis'!$C$107+T171*'Part 3 Portfolio Analysis'!$D$107+AA171*'Part 3 Portfolio Analysis'!$E$107+AH171*'Part 3 Portfolio Analysis'!$F$107</f>
        <v>-2.6514999999999998E-3</v>
      </c>
      <c r="AL171" s="91">
        <f>F171*'Part 3 Portfolio Analysis'!$B$121+M171*'Part 3 Portfolio Analysis'!$C$121+'Part 3 Portfolio Analysis'!$D$121*T171+AA171*'Part 3 Portfolio Analysis'!$E$121+'Part 3 Portfolio Analysis'!$F$121*AH171</f>
        <v>-4.9366800000000006E-3</v>
      </c>
      <c r="AM171" s="91"/>
      <c r="AN171" s="90">
        <v>44897</v>
      </c>
      <c r="AO171" s="91">
        <v>18752.400389999999</v>
      </c>
      <c r="AP171" s="91">
        <v>18696.099610000001</v>
      </c>
      <c r="AQ171" s="91">
        <v>18696.099610000001</v>
      </c>
      <c r="AR171" s="91">
        <v>254400</v>
      </c>
      <c r="AS171" s="91">
        <v>-6.1999999999999998E-3</v>
      </c>
    </row>
    <row r="172" spans="1:45" x14ac:dyDescent="0.55000000000000004">
      <c r="A172" s="90">
        <v>44900</v>
      </c>
      <c r="B172" s="91">
        <v>7040</v>
      </c>
      <c r="C172" s="91">
        <v>6961.3999020000001</v>
      </c>
      <c r="D172" s="91">
        <v>6764.0498049999997</v>
      </c>
      <c r="E172" s="91">
        <v>122569</v>
      </c>
      <c r="F172" s="91">
        <v>-1.03E-2</v>
      </c>
      <c r="H172" s="90">
        <v>44900</v>
      </c>
      <c r="I172" s="91">
        <v>1251.587524</v>
      </c>
      <c r="J172" s="91">
        <v>1237.9501949999999</v>
      </c>
      <c r="K172" s="91">
        <v>1224.529419</v>
      </c>
      <c r="L172" s="91">
        <v>14828536</v>
      </c>
      <c r="M172" s="91">
        <v>-1.46E-2</v>
      </c>
      <c r="O172" s="90">
        <v>44900</v>
      </c>
      <c r="P172" s="91">
        <v>804.97497559999999</v>
      </c>
      <c r="Q172" s="91">
        <v>806.47497559999999</v>
      </c>
      <c r="R172" s="91">
        <v>776.09948729999996</v>
      </c>
      <c r="S172" s="91">
        <v>11592622</v>
      </c>
      <c r="T172" s="91">
        <v>3.5999999999999999E-3</v>
      </c>
      <c r="V172" s="90">
        <v>44900</v>
      </c>
      <c r="W172" s="91">
        <v>1638</v>
      </c>
      <c r="X172" s="91">
        <v>1639.75</v>
      </c>
      <c r="Y172" s="91">
        <v>1503.8596190000001</v>
      </c>
      <c r="Z172" s="91">
        <v>3824966</v>
      </c>
      <c r="AA172" s="91">
        <v>1.1000000000000001E-3</v>
      </c>
      <c r="AB172" s="91"/>
      <c r="AC172" s="90">
        <v>44900</v>
      </c>
      <c r="AD172" s="91">
        <v>1462.650024</v>
      </c>
      <c r="AE172" s="91">
        <v>1475.5500489999999</v>
      </c>
      <c r="AF172" s="91">
        <v>1471.099121</v>
      </c>
      <c r="AG172" s="91">
        <v>462047</v>
      </c>
      <c r="AH172" s="91">
        <v>4.7000000000000002E-3</v>
      </c>
      <c r="AI172" s="91"/>
      <c r="AJ172" s="91">
        <f>(F172*'Part 3 Portfolio Analysis'!$B$8+M172*'Part 3 Portfolio Analysis'!$C$8+T172*'Part 3 Portfolio Analysis'!$D$8+AA172*'Part 3 Portfolio Analysis'!$E$8+AH172*'Part 3 Portfolio Analysis'!$F$8)/100</f>
        <v>-7.5587213864634671E-3</v>
      </c>
      <c r="AK172" s="91">
        <f>'Part 3 Portfolio Analysis'!$B$107*F172+M172*'Part 3 Portfolio Analysis'!$C$107+T172*'Part 3 Portfolio Analysis'!$D$107+AA172*'Part 3 Portfolio Analysis'!$E$107+AH172*'Part 3 Portfolio Analysis'!$F$107</f>
        <v>-4.5713999999999998E-3</v>
      </c>
      <c r="AL172" s="91">
        <f>F172*'Part 3 Portfolio Analysis'!$B$121+M172*'Part 3 Portfolio Analysis'!$C$121+'Part 3 Portfolio Analysis'!$D$121*T172+AA172*'Part 3 Portfolio Analysis'!$E$121+'Part 3 Portfolio Analysis'!$F$121*AH172</f>
        <v>-5.6504800000000003E-3</v>
      </c>
      <c r="AM172" s="91"/>
      <c r="AN172" s="90">
        <v>44900</v>
      </c>
      <c r="AO172" s="91">
        <v>18719.550780000001</v>
      </c>
      <c r="AP172" s="91">
        <v>18701.050780000001</v>
      </c>
      <c r="AQ172" s="91">
        <v>18701.050780000001</v>
      </c>
      <c r="AR172" s="91">
        <v>288400</v>
      </c>
      <c r="AS172" s="91">
        <v>2.9999999999999997E-4</v>
      </c>
    </row>
    <row r="173" spans="1:45" x14ac:dyDescent="0.55000000000000004">
      <c r="A173" s="90">
        <v>44901</v>
      </c>
      <c r="B173" s="91">
        <v>6950</v>
      </c>
      <c r="C173" s="91">
        <v>6884.6499020000001</v>
      </c>
      <c r="D173" s="91">
        <v>6689.4755859999996</v>
      </c>
      <c r="E173" s="91">
        <v>108351</v>
      </c>
      <c r="F173" s="91">
        <v>-1.0999999999999999E-2</v>
      </c>
      <c r="H173" s="90">
        <v>44901</v>
      </c>
      <c r="I173" s="91">
        <v>1229.943237</v>
      </c>
      <c r="J173" s="91">
        <v>1241.5268550000001</v>
      </c>
      <c r="K173" s="91">
        <v>1228.067139</v>
      </c>
      <c r="L173" s="91">
        <v>8594245</v>
      </c>
      <c r="M173" s="91">
        <v>2.8999999999999998E-3</v>
      </c>
      <c r="O173" s="90">
        <v>44901</v>
      </c>
      <c r="P173" s="91">
        <v>800.5</v>
      </c>
      <c r="Q173" s="91">
        <v>805.57501219999995</v>
      </c>
      <c r="R173" s="91">
        <v>775.23345949999998</v>
      </c>
      <c r="S173" s="91">
        <v>12353092</v>
      </c>
      <c r="T173" s="91">
        <v>-1.1000000000000001E-3</v>
      </c>
      <c r="V173" s="90">
        <v>44901</v>
      </c>
      <c r="W173" s="91">
        <v>1625</v>
      </c>
      <c r="X173" s="91">
        <v>1612.900024</v>
      </c>
      <c r="Y173" s="91">
        <v>1479.234741</v>
      </c>
      <c r="Z173" s="91">
        <v>4822398</v>
      </c>
      <c r="AA173" s="91">
        <v>-1.6400000000000001E-2</v>
      </c>
      <c r="AB173" s="91"/>
      <c r="AC173" s="90">
        <v>44901</v>
      </c>
      <c r="AD173" s="91">
        <v>1470</v>
      </c>
      <c r="AE173" s="91">
        <v>1475.75</v>
      </c>
      <c r="AF173" s="91">
        <v>1471.2983400000001</v>
      </c>
      <c r="AG173" s="91">
        <v>501781</v>
      </c>
      <c r="AH173" s="91">
        <v>1E-4</v>
      </c>
      <c r="AI173" s="91"/>
      <c r="AJ173" s="91">
        <f>(F173*'Part 3 Portfolio Analysis'!$B$8+M173*'Part 3 Portfolio Analysis'!$C$8+T173*'Part 3 Portfolio Analysis'!$D$8+AA173*'Part 3 Portfolio Analysis'!$E$8+AH173*'Part 3 Portfolio Analysis'!$F$8)/100</f>
        <v>-5.0706347717296048E-3</v>
      </c>
      <c r="AK173" s="91">
        <f>'Part 3 Portfolio Analysis'!$B$107*F173+M173*'Part 3 Portfolio Analysis'!$C$107+T173*'Part 3 Portfolio Analysis'!$D$107+AA173*'Part 3 Portfolio Analysis'!$E$107+AH173*'Part 3 Portfolio Analysis'!$F$107</f>
        <v>-2.8576000000000005E-3</v>
      </c>
      <c r="AL173" s="91">
        <f>F173*'Part 3 Portfolio Analysis'!$B$121+M173*'Part 3 Portfolio Analysis'!$C$121+'Part 3 Portfolio Analysis'!$D$121*T173+AA173*'Part 3 Portfolio Analysis'!$E$121+'Part 3 Portfolio Analysis'!$F$121*AH173</f>
        <v>-3.2639400000000003E-3</v>
      </c>
      <c r="AM173" s="91"/>
      <c r="AN173" s="90">
        <v>44901</v>
      </c>
      <c r="AO173" s="91">
        <v>18600.650389999999</v>
      </c>
      <c r="AP173" s="91">
        <v>18642.75</v>
      </c>
      <c r="AQ173" s="91">
        <v>18642.75</v>
      </c>
      <c r="AR173" s="91">
        <v>217800</v>
      </c>
      <c r="AS173" s="91">
        <v>-3.0999999999999999E-3</v>
      </c>
    </row>
    <row r="174" spans="1:45" x14ac:dyDescent="0.55000000000000004">
      <c r="A174" s="90">
        <v>44902</v>
      </c>
      <c r="B174" s="91">
        <v>6884</v>
      </c>
      <c r="C174" s="91">
        <v>6836.7001950000003</v>
      </c>
      <c r="D174" s="91">
        <v>6642.8852539999998</v>
      </c>
      <c r="E174" s="91">
        <v>120687</v>
      </c>
      <c r="F174" s="91">
        <v>-7.0000000000000001E-3</v>
      </c>
      <c r="H174" s="90">
        <v>44902</v>
      </c>
      <c r="I174" s="91">
        <v>1239.1270750000001</v>
      </c>
      <c r="J174" s="91">
        <v>1223.205322</v>
      </c>
      <c r="K174" s="91">
        <v>1209.944336</v>
      </c>
      <c r="L174" s="91">
        <v>8462111</v>
      </c>
      <c r="M174" s="91">
        <v>-1.4800000000000001E-2</v>
      </c>
      <c r="O174" s="90">
        <v>44902</v>
      </c>
      <c r="P174" s="91">
        <v>807.07501219999995</v>
      </c>
      <c r="Q174" s="91">
        <v>805.22497559999999</v>
      </c>
      <c r="R174" s="91">
        <v>774.89654540000004</v>
      </c>
      <c r="S174" s="91">
        <v>11674720</v>
      </c>
      <c r="T174" s="91">
        <v>-4.0000000000000002E-4</v>
      </c>
      <c r="V174" s="90">
        <v>44902</v>
      </c>
      <c r="W174" s="91">
        <v>1608</v>
      </c>
      <c r="X174" s="91">
        <v>1605.5</v>
      </c>
      <c r="Y174" s="91">
        <v>1472.4479980000001</v>
      </c>
      <c r="Z174" s="91">
        <v>4898087</v>
      </c>
      <c r="AA174" s="91">
        <v>-4.5999999999999999E-3</v>
      </c>
      <c r="AB174" s="91"/>
      <c r="AC174" s="90">
        <v>44902</v>
      </c>
      <c r="AD174" s="91">
        <v>1476.0500489999999</v>
      </c>
      <c r="AE174" s="91">
        <v>1463.400024</v>
      </c>
      <c r="AF174" s="91">
        <v>1458.9858400000001</v>
      </c>
      <c r="AG174" s="91">
        <v>233857</v>
      </c>
      <c r="AH174" s="91">
        <v>-8.3999999999999995E-3</v>
      </c>
      <c r="AI174" s="91"/>
      <c r="AJ174" s="91">
        <f>(F174*'Part 3 Portfolio Analysis'!$B$8+M174*'Part 3 Portfolio Analysis'!$C$8+T174*'Part 3 Portfolio Analysis'!$D$8+AA174*'Part 3 Portfolio Analysis'!$E$8+AH174*'Part 3 Portfolio Analysis'!$F$8)/100</f>
        <v>-8.3538236813005574E-3</v>
      </c>
      <c r="AK174" s="91">
        <f>'Part 3 Portfolio Analysis'!$B$107*F174+M174*'Part 3 Portfolio Analysis'!$C$107+T174*'Part 3 Portfolio Analysis'!$D$107+AA174*'Part 3 Portfolio Analysis'!$E$107+AH174*'Part 3 Portfolio Analysis'!$F$107</f>
        <v>-8.5312000000000009E-3</v>
      </c>
      <c r="AL174" s="91">
        <f>F174*'Part 3 Portfolio Analysis'!$B$121+M174*'Part 3 Portfolio Analysis'!$C$121+'Part 3 Portfolio Analysis'!$D$121*T174+AA174*'Part 3 Portfolio Analysis'!$E$121+'Part 3 Portfolio Analysis'!$F$121*AH174</f>
        <v>-8.0343599999999991E-3</v>
      </c>
      <c r="AM174" s="91"/>
      <c r="AN174" s="90">
        <v>44902</v>
      </c>
      <c r="AO174" s="91">
        <v>18638.849610000001</v>
      </c>
      <c r="AP174" s="91">
        <v>18560.5</v>
      </c>
      <c r="AQ174" s="91">
        <v>18560.5</v>
      </c>
      <c r="AR174" s="91">
        <v>200500</v>
      </c>
      <c r="AS174" s="91">
        <v>-4.4000000000000003E-3</v>
      </c>
    </row>
    <row r="175" spans="1:45" x14ac:dyDescent="0.55000000000000004">
      <c r="A175" s="90">
        <v>44903</v>
      </c>
      <c r="B175" s="91">
        <v>6840</v>
      </c>
      <c r="C175" s="91">
        <v>6830.3500979999999</v>
      </c>
      <c r="D175" s="91">
        <v>6636.7153319999998</v>
      </c>
      <c r="E175" s="91">
        <v>81118</v>
      </c>
      <c r="F175" s="91">
        <v>-8.9999999999999998E-4</v>
      </c>
      <c r="H175" s="90">
        <v>44903</v>
      </c>
      <c r="I175" s="91">
        <v>1227.5896</v>
      </c>
      <c r="J175" s="91">
        <v>1222.628418</v>
      </c>
      <c r="K175" s="91">
        <v>1209.3735349999999</v>
      </c>
      <c r="L175" s="91">
        <v>7757008</v>
      </c>
      <c r="M175" s="91">
        <v>-5.0000000000000001E-4</v>
      </c>
      <c r="O175" s="90">
        <v>44903</v>
      </c>
      <c r="P175" s="91">
        <v>805</v>
      </c>
      <c r="Q175" s="91">
        <v>809.75</v>
      </c>
      <c r="R175" s="91">
        <v>779.25115970000002</v>
      </c>
      <c r="S175" s="91">
        <v>14803634</v>
      </c>
      <c r="T175" s="91">
        <v>5.5999999999999999E-3</v>
      </c>
      <c r="V175" s="90">
        <v>44903</v>
      </c>
      <c r="W175" s="91">
        <v>1605.5</v>
      </c>
      <c r="X175" s="91">
        <v>1620.150024</v>
      </c>
      <c r="Y175" s="91">
        <v>1485.8839109999999</v>
      </c>
      <c r="Z175" s="91">
        <v>4206837</v>
      </c>
      <c r="AA175" s="91">
        <v>9.1000000000000004E-3</v>
      </c>
      <c r="AB175" s="91"/>
      <c r="AC175" s="90">
        <v>44903</v>
      </c>
      <c r="AD175" s="91">
        <v>1466</v>
      </c>
      <c r="AE175" s="91">
        <v>1458.099976</v>
      </c>
      <c r="AF175" s="91">
        <v>1453.7016599999999</v>
      </c>
      <c r="AG175" s="91">
        <v>325774</v>
      </c>
      <c r="AH175" s="91">
        <v>-3.5999999999999999E-3</v>
      </c>
      <c r="AI175" s="91"/>
      <c r="AJ175" s="91">
        <f>(F175*'Part 3 Portfolio Analysis'!$B$8+M175*'Part 3 Portfolio Analysis'!$C$8+T175*'Part 3 Portfolio Analysis'!$D$8+AA175*'Part 3 Portfolio Analysis'!$E$8+AH175*'Part 3 Portfolio Analysis'!$F$8)/100</f>
        <v>1.9122215935262726E-3</v>
      </c>
      <c r="AK175" s="91">
        <f>'Part 3 Portfolio Analysis'!$B$107*F175+M175*'Part 3 Portfolio Analysis'!$C$107+T175*'Part 3 Portfolio Analysis'!$D$107+AA175*'Part 3 Portfolio Analysis'!$E$107+AH175*'Part 3 Portfolio Analysis'!$F$107</f>
        <v>5.5230000000000014E-4</v>
      </c>
      <c r="AL175" s="91">
        <f>F175*'Part 3 Portfolio Analysis'!$B$121+M175*'Part 3 Portfolio Analysis'!$C$121+'Part 3 Portfolio Analysis'!$D$121*T175+AA175*'Part 3 Portfolio Analysis'!$E$121+'Part 3 Portfolio Analysis'!$F$121*AH175</f>
        <v>2.9651E-3</v>
      </c>
      <c r="AM175" s="91"/>
      <c r="AN175" s="90">
        <v>44903</v>
      </c>
      <c r="AO175" s="91">
        <v>18570.849610000001</v>
      </c>
      <c r="AP175" s="91">
        <v>18609.349610000001</v>
      </c>
      <c r="AQ175" s="91">
        <v>18609.349610000001</v>
      </c>
      <c r="AR175" s="91">
        <v>202800</v>
      </c>
      <c r="AS175" s="91">
        <v>2.5999999999999999E-3</v>
      </c>
    </row>
    <row r="176" spans="1:45" x14ac:dyDescent="0.55000000000000004">
      <c r="A176" s="90">
        <v>44904</v>
      </c>
      <c r="B176" s="91">
        <v>6864.5498049999997</v>
      </c>
      <c r="C176" s="91">
        <v>6745.75</v>
      </c>
      <c r="D176" s="91">
        <v>6554.513672</v>
      </c>
      <c r="E176" s="91">
        <v>147894</v>
      </c>
      <c r="F176" s="91">
        <v>-1.24E-2</v>
      </c>
      <c r="H176" s="90">
        <v>44904</v>
      </c>
      <c r="I176" s="91">
        <v>1221.1285399999999</v>
      </c>
      <c r="J176" s="91">
        <v>1204.0992429999999</v>
      </c>
      <c r="K176" s="91">
        <v>1191.0454099999999</v>
      </c>
      <c r="L176" s="91">
        <v>12655763</v>
      </c>
      <c r="M176" s="91">
        <v>-1.52E-2</v>
      </c>
      <c r="O176" s="90">
        <v>44904</v>
      </c>
      <c r="P176" s="91">
        <v>813</v>
      </c>
      <c r="Q176" s="91">
        <v>815.52502440000001</v>
      </c>
      <c r="R176" s="91">
        <v>784.80871579999996</v>
      </c>
      <c r="S176" s="91">
        <v>11963384</v>
      </c>
      <c r="T176" s="91">
        <v>7.1000000000000004E-3</v>
      </c>
      <c r="V176" s="90">
        <v>44904</v>
      </c>
      <c r="W176" s="91">
        <v>1628</v>
      </c>
      <c r="X176" s="91">
        <v>1569.3000489999999</v>
      </c>
      <c r="Y176" s="91">
        <v>1439.248047</v>
      </c>
      <c r="Z176" s="91">
        <v>8880658</v>
      </c>
      <c r="AA176" s="91">
        <v>-3.1399999999999997E-2</v>
      </c>
      <c r="AB176" s="91"/>
      <c r="AC176" s="90">
        <v>44904</v>
      </c>
      <c r="AD176" s="91">
        <v>1468</v>
      </c>
      <c r="AE176" s="91">
        <v>1458</v>
      </c>
      <c r="AF176" s="91">
        <v>1453.6020510000001</v>
      </c>
      <c r="AG176" s="91">
        <v>381953</v>
      </c>
      <c r="AH176" s="91">
        <v>-1E-4</v>
      </c>
      <c r="AI176" s="91"/>
      <c r="AJ176" s="91">
        <f>(F176*'Part 3 Portfolio Analysis'!$B$8+M176*'Part 3 Portfolio Analysis'!$C$8+T176*'Part 3 Portfolio Analysis'!$D$8+AA176*'Part 3 Portfolio Analysis'!$E$8+AH176*'Part 3 Portfolio Analysis'!$F$8)/100</f>
        <v>-1.309961930086879E-2</v>
      </c>
      <c r="AK176" s="91">
        <f>'Part 3 Portfolio Analysis'!$B$107*F176+M176*'Part 3 Portfolio Analysis'!$C$107+T176*'Part 3 Portfolio Analysis'!$D$107+AA176*'Part 3 Portfolio Analysis'!$E$107+AH176*'Part 3 Portfolio Analysis'!$F$107</f>
        <v>-9.0542999999999995E-3</v>
      </c>
      <c r="AL176" s="91">
        <f>F176*'Part 3 Portfolio Analysis'!$B$121+M176*'Part 3 Portfolio Analysis'!$C$121+'Part 3 Portfolio Analysis'!$D$121*T176+AA176*'Part 3 Portfolio Analysis'!$E$121+'Part 3 Portfolio Analysis'!$F$121*AH176</f>
        <v>-1.174862E-2</v>
      </c>
      <c r="AM176" s="91"/>
      <c r="AN176" s="90">
        <v>44904</v>
      </c>
      <c r="AO176" s="91">
        <v>18662.400389999999</v>
      </c>
      <c r="AP176" s="91">
        <v>18496.599610000001</v>
      </c>
      <c r="AQ176" s="91">
        <v>18496.599610000001</v>
      </c>
      <c r="AR176" s="91">
        <v>215800</v>
      </c>
      <c r="AS176" s="91">
        <v>-6.1000000000000004E-3</v>
      </c>
    </row>
    <row r="177" spans="1:45" x14ac:dyDescent="0.55000000000000004">
      <c r="A177" s="90">
        <v>44907</v>
      </c>
      <c r="B177" s="91">
        <v>6742</v>
      </c>
      <c r="C177" s="91">
        <v>6692.25</v>
      </c>
      <c r="D177" s="91">
        <v>6502.5302730000003</v>
      </c>
      <c r="E177" s="91">
        <v>106993</v>
      </c>
      <c r="F177" s="91">
        <v>-7.9000000000000008E-3</v>
      </c>
      <c r="H177" s="90">
        <v>44907</v>
      </c>
      <c r="I177" s="91">
        <v>1193.2078859999999</v>
      </c>
      <c r="J177" s="91">
        <v>1205.9451899999999</v>
      </c>
      <c r="K177" s="91">
        <v>1192.871216</v>
      </c>
      <c r="L177" s="91">
        <v>9479842</v>
      </c>
      <c r="M177" s="91">
        <v>1.5E-3</v>
      </c>
      <c r="O177" s="90">
        <v>44907</v>
      </c>
      <c r="P177" s="91">
        <v>812.5</v>
      </c>
      <c r="Q177" s="91">
        <v>821.875</v>
      </c>
      <c r="R177" s="91">
        <v>790.91949460000001</v>
      </c>
      <c r="S177" s="91">
        <v>14434808</v>
      </c>
      <c r="T177" s="91">
        <v>7.7999999999999996E-3</v>
      </c>
      <c r="V177" s="90">
        <v>44907</v>
      </c>
      <c r="W177" s="91">
        <v>1550</v>
      </c>
      <c r="X177" s="91">
        <v>1547.1999510000001</v>
      </c>
      <c r="Y177" s="91">
        <v>1418.97937</v>
      </c>
      <c r="Z177" s="91">
        <v>8037679</v>
      </c>
      <c r="AA177" s="91">
        <v>-1.41E-2</v>
      </c>
      <c r="AB177" s="91"/>
      <c r="AC177" s="90">
        <v>44907</v>
      </c>
      <c r="AD177" s="91">
        <v>1455</v>
      </c>
      <c r="AE177" s="91">
        <v>1449.5500489999999</v>
      </c>
      <c r="AF177" s="91">
        <v>1445.17749</v>
      </c>
      <c r="AG177" s="91">
        <v>266399</v>
      </c>
      <c r="AH177" s="91">
        <v>-5.7999999999999996E-3</v>
      </c>
      <c r="AI177" s="91"/>
      <c r="AJ177" s="91">
        <f>(F177*'Part 3 Portfolio Analysis'!$B$8+M177*'Part 3 Portfolio Analysis'!$C$8+T177*'Part 3 Portfolio Analysis'!$D$8+AA177*'Part 3 Portfolio Analysis'!$E$8+AH177*'Part 3 Portfolio Analysis'!$F$8)/100</f>
        <v>-2.8509909342818991E-3</v>
      </c>
      <c r="AK177" s="91">
        <f>'Part 3 Portfolio Analysis'!$B$107*F177+M177*'Part 3 Portfolio Analysis'!$C$107+T177*'Part 3 Portfolio Analysis'!$D$107+AA177*'Part 3 Portfolio Analysis'!$E$107+AH177*'Part 3 Portfolio Analysis'!$F$107</f>
        <v>-2.6151E-3</v>
      </c>
      <c r="AL177" s="91">
        <f>F177*'Part 3 Portfolio Analysis'!$B$121+M177*'Part 3 Portfolio Analysis'!$C$121+'Part 3 Portfolio Analysis'!$D$121*T177+AA177*'Part 3 Portfolio Analysis'!$E$121+'Part 3 Portfolio Analysis'!$F$121*AH177</f>
        <v>-8.7034000000000026E-4</v>
      </c>
      <c r="AM177" s="91"/>
      <c r="AN177" s="90">
        <v>44907</v>
      </c>
      <c r="AO177" s="91">
        <v>18402.150389999999</v>
      </c>
      <c r="AP177" s="91">
        <v>18497.150389999999</v>
      </c>
      <c r="AQ177" s="91">
        <v>18497.150389999999</v>
      </c>
      <c r="AR177" s="91">
        <v>193900</v>
      </c>
      <c r="AS177" s="91">
        <v>0</v>
      </c>
    </row>
    <row r="178" spans="1:45" x14ac:dyDescent="0.55000000000000004">
      <c r="A178" s="90">
        <v>44908</v>
      </c>
      <c r="B178" s="91">
        <v>6718</v>
      </c>
      <c r="C178" s="91">
        <v>6632.6000979999999</v>
      </c>
      <c r="D178" s="91">
        <v>6444.5717770000001</v>
      </c>
      <c r="E178" s="91">
        <v>189805</v>
      </c>
      <c r="F178" s="91">
        <v>-8.8999999999999999E-3</v>
      </c>
      <c r="H178" s="90">
        <v>44908</v>
      </c>
      <c r="I178" s="91">
        <v>1205.9451899999999</v>
      </c>
      <c r="J178" s="91">
        <v>1211.437134</v>
      </c>
      <c r="K178" s="91">
        <v>1198.303711</v>
      </c>
      <c r="L178" s="91">
        <v>8333348</v>
      </c>
      <c r="M178" s="91">
        <v>4.5999999999999999E-3</v>
      </c>
      <c r="O178" s="90">
        <v>44908</v>
      </c>
      <c r="P178" s="91">
        <v>825</v>
      </c>
      <c r="Q178" s="91">
        <v>824.15002440000001</v>
      </c>
      <c r="R178" s="91">
        <v>793.10882570000001</v>
      </c>
      <c r="S178" s="91">
        <v>17031702</v>
      </c>
      <c r="T178" s="91">
        <v>2.8E-3</v>
      </c>
      <c r="V178" s="90">
        <v>44908</v>
      </c>
      <c r="W178" s="91">
        <v>1547.1999510000001</v>
      </c>
      <c r="X178" s="91">
        <v>1572.150024</v>
      </c>
      <c r="Y178" s="91">
        <v>1441.861938</v>
      </c>
      <c r="Z178" s="91">
        <v>6135067</v>
      </c>
      <c r="AA178" s="91">
        <v>1.61E-2</v>
      </c>
      <c r="AB178" s="91"/>
      <c r="AC178" s="90">
        <v>44908</v>
      </c>
      <c r="AD178" s="91">
        <v>1449</v>
      </c>
      <c r="AE178" s="91">
        <v>1443.5</v>
      </c>
      <c r="AF178" s="91">
        <v>1439.14563</v>
      </c>
      <c r="AG178" s="91">
        <v>392861</v>
      </c>
      <c r="AH178" s="91">
        <v>-4.1999999999999997E-3</v>
      </c>
      <c r="AI178" s="91"/>
      <c r="AJ178" s="91">
        <f>(F178*'Part 3 Portfolio Analysis'!$B$8+M178*'Part 3 Portfolio Analysis'!$C$8+T178*'Part 3 Portfolio Analysis'!$D$8+AA178*'Part 3 Portfolio Analysis'!$E$8+AH178*'Part 3 Portfolio Analysis'!$F$8)/100</f>
        <v>2.0144655411168601E-3</v>
      </c>
      <c r="AK178" s="91">
        <f>'Part 3 Portfolio Analysis'!$B$107*F178+M178*'Part 3 Portfolio Analysis'!$C$107+T178*'Part 3 Portfolio Analysis'!$D$107+AA178*'Part 3 Portfolio Analysis'!$E$107+AH178*'Part 3 Portfolio Analysis'!$F$107</f>
        <v>8.2340000000000017E-4</v>
      </c>
      <c r="AL178" s="91">
        <f>F178*'Part 3 Portfolio Analysis'!$B$121+M178*'Part 3 Portfolio Analysis'!$C$121+'Part 3 Portfolio Analysis'!$D$121*T178+AA178*'Part 3 Portfolio Analysis'!$E$121+'Part 3 Portfolio Analysis'!$F$121*AH178</f>
        <v>5.0701399999999999E-3</v>
      </c>
      <c r="AM178" s="91"/>
      <c r="AN178" s="90">
        <v>44908</v>
      </c>
      <c r="AO178" s="91">
        <v>18524.400389999999</v>
      </c>
      <c r="AP178" s="91">
        <v>18608</v>
      </c>
      <c r="AQ178" s="91">
        <v>18608</v>
      </c>
      <c r="AR178" s="91">
        <v>187600</v>
      </c>
      <c r="AS178" s="91">
        <v>6.0000000000000001E-3</v>
      </c>
    </row>
    <row r="179" spans="1:45" x14ac:dyDescent="0.55000000000000004">
      <c r="A179" s="90">
        <v>44909</v>
      </c>
      <c r="B179" s="91">
        <v>6659.9501950000003</v>
      </c>
      <c r="C179" s="91">
        <v>6621.2001950000003</v>
      </c>
      <c r="D179" s="91">
        <v>6433.4946289999998</v>
      </c>
      <c r="E179" s="91">
        <v>195376</v>
      </c>
      <c r="F179" s="91">
        <v>-1.6999999999999999E-3</v>
      </c>
      <c r="H179" s="90">
        <v>44909</v>
      </c>
      <c r="I179" s="91">
        <v>1217.275024</v>
      </c>
      <c r="J179" s="91">
        <v>1207.052856</v>
      </c>
      <c r="K179" s="91">
        <v>1193.966919</v>
      </c>
      <c r="L179" s="91">
        <v>7268947</v>
      </c>
      <c r="M179" s="91">
        <v>-3.5999999999999999E-3</v>
      </c>
      <c r="O179" s="90">
        <v>44909</v>
      </c>
      <c r="P179" s="91">
        <v>826.5</v>
      </c>
      <c r="Q179" s="91">
        <v>831.125</v>
      </c>
      <c r="R179" s="91">
        <v>799.82116699999995</v>
      </c>
      <c r="S179" s="91">
        <v>14227640</v>
      </c>
      <c r="T179" s="91">
        <v>8.5000000000000006E-3</v>
      </c>
      <c r="V179" s="90">
        <v>44909</v>
      </c>
      <c r="W179" s="91">
        <v>1582</v>
      </c>
      <c r="X179" s="91">
        <v>1579.400024</v>
      </c>
      <c r="Y179" s="91">
        <v>1448.5111079999999</v>
      </c>
      <c r="Z179" s="91">
        <v>4976020</v>
      </c>
      <c r="AA179" s="91">
        <v>4.5999999999999999E-3</v>
      </c>
      <c r="AB179" s="91"/>
      <c r="AC179" s="90">
        <v>44909</v>
      </c>
      <c r="AD179" s="91">
        <v>1444.1999510000001</v>
      </c>
      <c r="AE179" s="91">
        <v>1451.349976</v>
      </c>
      <c r="AF179" s="91">
        <v>1446.9720460000001</v>
      </c>
      <c r="AG179" s="91">
        <v>247467</v>
      </c>
      <c r="AH179" s="91">
        <v>5.4000000000000003E-3</v>
      </c>
      <c r="AI179" s="91"/>
      <c r="AJ179" s="91">
        <f>(F179*'Part 3 Portfolio Analysis'!$B$8+M179*'Part 3 Portfolio Analysis'!$C$8+T179*'Part 3 Portfolio Analysis'!$D$8+AA179*'Part 3 Portfolio Analysis'!$E$8+AH179*'Part 3 Portfolio Analysis'!$F$8)/100</f>
        <v>3.960513196076128E-4</v>
      </c>
      <c r="AK179" s="91">
        <f>'Part 3 Portfolio Analysis'!$B$107*F179+M179*'Part 3 Portfolio Analysis'!$C$107+T179*'Part 3 Portfolio Analysis'!$D$107+AA179*'Part 3 Portfolio Analysis'!$E$107+AH179*'Part 3 Portfolio Analysis'!$F$107</f>
        <v>1.7055E-3</v>
      </c>
      <c r="AL179" s="91">
        <f>F179*'Part 3 Portfolio Analysis'!$B$121+M179*'Part 3 Portfolio Analysis'!$C$121+'Part 3 Portfolio Analysis'!$D$121*T179+AA179*'Part 3 Portfolio Analysis'!$E$121+'Part 3 Portfolio Analysis'!$F$121*AH179</f>
        <v>1.7231800000000006E-3</v>
      </c>
      <c r="AM179" s="91"/>
      <c r="AN179" s="90">
        <v>44909</v>
      </c>
      <c r="AO179" s="91">
        <v>18671.25</v>
      </c>
      <c r="AP179" s="91">
        <v>18660.300780000001</v>
      </c>
      <c r="AQ179" s="91">
        <v>18660.300780000001</v>
      </c>
      <c r="AR179" s="91">
        <v>208000</v>
      </c>
      <c r="AS179" s="91">
        <v>2.8E-3</v>
      </c>
    </row>
    <row r="180" spans="1:45" x14ac:dyDescent="0.55000000000000004">
      <c r="A180" s="90">
        <v>44910</v>
      </c>
      <c r="B180" s="91">
        <v>6645</v>
      </c>
      <c r="C180" s="91">
        <v>6550.3500979999999</v>
      </c>
      <c r="D180" s="91">
        <v>6364.6533200000003</v>
      </c>
      <c r="E180" s="91">
        <v>207197</v>
      </c>
      <c r="F180" s="91">
        <v>-1.0699999999999999E-2</v>
      </c>
      <c r="H180" s="90">
        <v>44910</v>
      </c>
      <c r="I180" s="91">
        <v>1201.053345</v>
      </c>
      <c r="J180" s="91">
        <v>1189.908081</v>
      </c>
      <c r="K180" s="91">
        <v>1177.008057</v>
      </c>
      <c r="L180" s="91">
        <v>8688551</v>
      </c>
      <c r="M180" s="91">
        <v>-1.4200000000000001E-2</v>
      </c>
      <c r="O180" s="90">
        <v>44910</v>
      </c>
      <c r="P180" s="91">
        <v>828.52502440000001</v>
      </c>
      <c r="Q180" s="91">
        <v>815.90002440000001</v>
      </c>
      <c r="R180" s="91">
        <v>785.16955570000005</v>
      </c>
      <c r="S180" s="91">
        <v>18182648</v>
      </c>
      <c r="T180" s="91">
        <v>-1.83E-2</v>
      </c>
      <c r="V180" s="90">
        <v>44910</v>
      </c>
      <c r="W180" s="91">
        <v>1569.3000489999999</v>
      </c>
      <c r="X180" s="91">
        <v>1540.5</v>
      </c>
      <c r="Y180" s="91">
        <v>1412.834717</v>
      </c>
      <c r="Z180" s="91">
        <v>6443866</v>
      </c>
      <c r="AA180" s="91">
        <v>-2.46E-2</v>
      </c>
      <c r="AB180" s="91"/>
      <c r="AC180" s="90">
        <v>44910</v>
      </c>
      <c r="AD180" s="91">
        <v>1449.25</v>
      </c>
      <c r="AE180" s="91">
        <v>1436</v>
      </c>
      <c r="AF180" s="91">
        <v>1431.6683350000001</v>
      </c>
      <c r="AG180" s="91">
        <v>383487</v>
      </c>
      <c r="AH180" s="91">
        <v>-1.06E-2</v>
      </c>
      <c r="AI180" s="91"/>
      <c r="AJ180" s="91">
        <f>(F180*'Part 3 Portfolio Analysis'!$B$8+M180*'Part 3 Portfolio Analysis'!$C$8+T180*'Part 3 Portfolio Analysis'!$D$8+AA180*'Part 3 Portfolio Analysis'!$E$8+AH180*'Part 3 Portfolio Analysis'!$F$8)/100</f>
        <v>-1.547245625017255E-2</v>
      </c>
      <c r="AK180" s="91">
        <f>'Part 3 Portfolio Analysis'!$B$107*F180+M180*'Part 3 Portfolio Analysis'!$C$107+T180*'Part 3 Portfolio Analysis'!$D$107+AA180*'Part 3 Portfolio Analysis'!$E$107+AH180*'Part 3 Portfolio Analysis'!$F$107</f>
        <v>-1.43383E-2</v>
      </c>
      <c r="AL180" s="91">
        <f>F180*'Part 3 Portfolio Analysis'!$B$121+M180*'Part 3 Portfolio Analysis'!$C$121+'Part 3 Portfolio Analysis'!$D$121*T180+AA180*'Part 3 Portfolio Analysis'!$E$121+'Part 3 Portfolio Analysis'!$F$121*AH180</f>
        <v>-1.7013179999999999E-2</v>
      </c>
      <c r="AM180" s="91"/>
      <c r="AN180" s="90">
        <v>44910</v>
      </c>
      <c r="AO180" s="91">
        <v>18614.400389999999</v>
      </c>
      <c r="AP180" s="91">
        <v>18414.900389999999</v>
      </c>
      <c r="AQ180" s="91">
        <v>18414.900389999999</v>
      </c>
      <c r="AR180" s="91">
        <v>183100</v>
      </c>
      <c r="AS180" s="91">
        <v>-1.32E-2</v>
      </c>
    </row>
    <row r="181" spans="1:45" x14ac:dyDescent="0.55000000000000004">
      <c r="A181" s="90">
        <v>44911</v>
      </c>
      <c r="B181" s="91">
        <v>6535.1000979999999</v>
      </c>
      <c r="C181" s="91">
        <v>6429.3999020000001</v>
      </c>
      <c r="D181" s="91">
        <v>6247.1323240000002</v>
      </c>
      <c r="E181" s="91">
        <v>244998</v>
      </c>
      <c r="F181" s="91">
        <v>-1.8499999999999999E-2</v>
      </c>
      <c r="H181" s="90">
        <v>44911</v>
      </c>
      <c r="I181" s="91">
        <v>1186.5161129999999</v>
      </c>
      <c r="J181" s="91">
        <v>1184.0239260000001</v>
      </c>
      <c r="K181" s="91">
        <v>1171.1877440000001</v>
      </c>
      <c r="L181" s="91">
        <v>15837349</v>
      </c>
      <c r="M181" s="91">
        <v>-4.8999999999999998E-3</v>
      </c>
      <c r="O181" s="90">
        <v>44911</v>
      </c>
      <c r="P181" s="91">
        <v>810.02502440000001</v>
      </c>
      <c r="Q181" s="91">
        <v>819.82501219999995</v>
      </c>
      <c r="R181" s="91">
        <v>788.94671630000005</v>
      </c>
      <c r="S181" s="91">
        <v>14647958</v>
      </c>
      <c r="T181" s="91">
        <v>4.7999999999999996E-3</v>
      </c>
      <c r="V181" s="90">
        <v>44911</v>
      </c>
      <c r="W181" s="91">
        <v>1525</v>
      </c>
      <c r="X181" s="91">
        <v>1522.1999510000001</v>
      </c>
      <c r="Y181" s="91">
        <v>1396.0512699999999</v>
      </c>
      <c r="Z181" s="91">
        <v>9630453</v>
      </c>
      <c r="AA181" s="91">
        <v>-1.1900000000000001E-2</v>
      </c>
      <c r="AB181" s="91"/>
      <c r="AC181" s="90">
        <v>44911</v>
      </c>
      <c r="AD181" s="91">
        <v>1427.25</v>
      </c>
      <c r="AE181" s="91">
        <v>1407.3000489999999</v>
      </c>
      <c r="AF181" s="91">
        <v>1403.0550539999999</v>
      </c>
      <c r="AG181" s="91">
        <v>505066</v>
      </c>
      <c r="AH181" s="91">
        <v>-0.02</v>
      </c>
      <c r="AI181" s="91"/>
      <c r="AJ181" s="91">
        <f>(F181*'Part 3 Portfolio Analysis'!$B$8+M181*'Part 3 Portfolio Analysis'!$C$8+T181*'Part 3 Portfolio Analysis'!$D$8+AA181*'Part 3 Portfolio Analysis'!$E$8+AH181*'Part 3 Portfolio Analysis'!$F$8)/100</f>
        <v>-8.6360331067993606E-3</v>
      </c>
      <c r="AK181" s="91">
        <f>'Part 3 Portfolio Analysis'!$B$107*F181+M181*'Part 3 Portfolio Analysis'!$C$107+T181*'Part 3 Portfolio Analysis'!$D$107+AA181*'Part 3 Portfolio Analysis'!$E$107+AH181*'Part 3 Portfolio Analysis'!$F$107</f>
        <v>-1.03497E-2</v>
      </c>
      <c r="AL181" s="91">
        <f>F181*'Part 3 Portfolio Analysis'!$B$121+M181*'Part 3 Portfolio Analysis'!$C$121+'Part 3 Portfolio Analysis'!$D$121*T181+AA181*'Part 3 Portfolio Analysis'!$E$121+'Part 3 Portfolio Analysis'!$F$121*AH181</f>
        <v>-5.1751399999999999E-3</v>
      </c>
      <c r="AM181" s="91"/>
      <c r="AN181" s="90">
        <v>44911</v>
      </c>
      <c r="AO181" s="91">
        <v>18319.099610000001</v>
      </c>
      <c r="AP181" s="91">
        <v>18269</v>
      </c>
      <c r="AQ181" s="91">
        <v>18269</v>
      </c>
      <c r="AR181" s="91">
        <v>277700</v>
      </c>
      <c r="AS181" s="91">
        <v>-7.9000000000000008E-3</v>
      </c>
    </row>
    <row r="182" spans="1:45" x14ac:dyDescent="0.55000000000000004">
      <c r="A182" s="90">
        <v>44914</v>
      </c>
      <c r="B182" s="91">
        <v>6430</v>
      </c>
      <c r="C182" s="91">
        <v>6353.2998049999997</v>
      </c>
      <c r="D182" s="91">
        <v>6173.189453</v>
      </c>
      <c r="E182" s="91">
        <v>171823</v>
      </c>
      <c r="F182" s="91">
        <v>-1.18E-2</v>
      </c>
      <c r="H182" s="90">
        <v>44914</v>
      </c>
      <c r="I182" s="91">
        <v>1191.1311040000001</v>
      </c>
      <c r="J182" s="91">
        <v>1199.576538</v>
      </c>
      <c r="K182" s="91">
        <v>1186.571655</v>
      </c>
      <c r="L182" s="91">
        <v>7729933</v>
      </c>
      <c r="M182" s="91">
        <v>1.3100000000000001E-2</v>
      </c>
      <c r="O182" s="90">
        <v>44914</v>
      </c>
      <c r="P182" s="91">
        <v>822</v>
      </c>
      <c r="Q182" s="91">
        <v>822.375</v>
      </c>
      <c r="R182" s="91">
        <v>791.40069579999999</v>
      </c>
      <c r="S182" s="91">
        <v>9604542</v>
      </c>
      <c r="T182" s="91">
        <v>3.0999999999999999E-3</v>
      </c>
      <c r="V182" s="90">
        <v>44914</v>
      </c>
      <c r="W182" s="91">
        <v>1507.9499510000001</v>
      </c>
      <c r="X182" s="91">
        <v>1507.349976</v>
      </c>
      <c r="Y182" s="91">
        <v>1382.4320070000001</v>
      </c>
      <c r="Z182" s="91">
        <v>6222740</v>
      </c>
      <c r="AA182" s="91">
        <v>-9.7999999999999997E-3</v>
      </c>
      <c r="AB182" s="91"/>
      <c r="AC182" s="90">
        <v>44914</v>
      </c>
      <c r="AD182" s="91">
        <v>1395</v>
      </c>
      <c r="AE182" s="91">
        <v>1418.0500489999999</v>
      </c>
      <c r="AF182" s="91">
        <v>1413.7725829999999</v>
      </c>
      <c r="AG182" s="91">
        <v>467614</v>
      </c>
      <c r="AH182" s="91">
        <v>7.6E-3</v>
      </c>
      <c r="AI182" s="91"/>
      <c r="AJ182" s="91">
        <f>(F182*'Part 3 Portfolio Analysis'!$B$8+M182*'Part 3 Portfolio Analysis'!$C$8+T182*'Part 3 Portfolio Analysis'!$D$8+AA182*'Part 3 Portfolio Analysis'!$E$8+AH182*'Part 3 Portfolio Analysis'!$F$8)/100</f>
        <v>2.2273946268292375E-4</v>
      </c>
      <c r="AK182" s="91">
        <f>'Part 3 Portfolio Analysis'!$B$107*F182+M182*'Part 3 Portfolio Analysis'!$C$107+T182*'Part 3 Portfolio Analysis'!$D$107+AA182*'Part 3 Portfolio Analysis'!$E$107+AH182*'Part 3 Portfolio Analysis'!$F$107</f>
        <v>3.392E-3</v>
      </c>
      <c r="AL182" s="91">
        <f>F182*'Part 3 Portfolio Analysis'!$B$121+M182*'Part 3 Portfolio Analysis'!$C$121+'Part 3 Portfolio Analysis'!$D$121*T182+AA182*'Part 3 Portfolio Analysis'!$E$121+'Part 3 Portfolio Analysis'!$F$121*AH182</f>
        <v>3.6091199999999999E-3</v>
      </c>
      <c r="AM182" s="91"/>
      <c r="AN182" s="90">
        <v>44914</v>
      </c>
      <c r="AO182" s="91">
        <v>18288.099610000001</v>
      </c>
      <c r="AP182" s="91">
        <v>18420.449219999999</v>
      </c>
      <c r="AQ182" s="91">
        <v>18420.449219999999</v>
      </c>
      <c r="AR182" s="91">
        <v>154800</v>
      </c>
      <c r="AS182" s="91">
        <v>8.3000000000000001E-3</v>
      </c>
    </row>
    <row r="183" spans="1:45" x14ac:dyDescent="0.55000000000000004">
      <c r="A183" s="90">
        <v>44915</v>
      </c>
      <c r="B183" s="91">
        <v>6354</v>
      </c>
      <c r="C183" s="91">
        <v>6314.25</v>
      </c>
      <c r="D183" s="91">
        <v>6135.2460940000001</v>
      </c>
      <c r="E183" s="91">
        <v>186161</v>
      </c>
      <c r="F183" s="91">
        <v>-6.1000000000000004E-3</v>
      </c>
      <c r="H183" s="90">
        <v>44915</v>
      </c>
      <c r="I183" s="91">
        <v>1192.469482</v>
      </c>
      <c r="J183" s="91">
        <v>1209.960327</v>
      </c>
      <c r="K183" s="91">
        <v>1196.843018</v>
      </c>
      <c r="L183" s="91">
        <v>7467588</v>
      </c>
      <c r="M183" s="91">
        <v>8.6999999999999994E-3</v>
      </c>
      <c r="O183" s="90">
        <v>44915</v>
      </c>
      <c r="P183" s="91">
        <v>810.09997559999999</v>
      </c>
      <c r="Q183" s="91">
        <v>816.70001219999995</v>
      </c>
      <c r="R183" s="91">
        <v>785.93939209999996</v>
      </c>
      <c r="S183" s="91">
        <v>7174698</v>
      </c>
      <c r="T183" s="91">
        <v>-6.8999999999999999E-3</v>
      </c>
      <c r="V183" s="90">
        <v>44915</v>
      </c>
      <c r="W183" s="91">
        <v>1501</v>
      </c>
      <c r="X183" s="91">
        <v>1507.3000489999999</v>
      </c>
      <c r="Y183" s="91">
        <v>1382.3862300000001</v>
      </c>
      <c r="Z183" s="91">
        <v>7396259</v>
      </c>
      <c r="AA183" s="91">
        <v>0</v>
      </c>
      <c r="AB183" s="91"/>
      <c r="AC183" s="90">
        <v>44915</v>
      </c>
      <c r="AD183" s="91">
        <v>1418.0500489999999</v>
      </c>
      <c r="AE183" s="91">
        <v>1412.400024</v>
      </c>
      <c r="AF183" s="91">
        <v>1408.1395259999999</v>
      </c>
      <c r="AG183" s="91">
        <v>270778</v>
      </c>
      <c r="AH183" s="91">
        <v>-4.0000000000000001E-3</v>
      </c>
      <c r="AI183" s="91"/>
      <c r="AJ183" s="91">
        <f>(F183*'Part 3 Portfolio Analysis'!$B$8+M183*'Part 3 Portfolio Analysis'!$C$8+T183*'Part 3 Portfolio Analysis'!$D$8+AA183*'Part 3 Portfolio Analysis'!$E$8+AH183*'Part 3 Portfolio Analysis'!$F$8)/100</f>
        <v>1.3347513575327934E-4</v>
      </c>
      <c r="AK183" s="91">
        <f>'Part 3 Portfolio Analysis'!$B$107*F183+M183*'Part 3 Portfolio Analysis'!$C$107+T183*'Part 3 Portfolio Analysis'!$D$107+AA183*'Part 3 Portfolio Analysis'!$E$107+AH183*'Part 3 Portfolio Analysis'!$F$107</f>
        <v>-4.5239999999999994E-4</v>
      </c>
      <c r="AL183" s="91">
        <f>F183*'Part 3 Portfolio Analysis'!$B$121+M183*'Part 3 Portfolio Analysis'!$C$121+'Part 3 Portfolio Analysis'!$D$121*T183+AA183*'Part 3 Portfolio Analysis'!$E$121+'Part 3 Portfolio Analysis'!$F$121*AH183</f>
        <v>1.1674999999999993E-3</v>
      </c>
      <c r="AM183" s="91"/>
      <c r="AN183" s="90">
        <v>44915</v>
      </c>
      <c r="AO183" s="91">
        <v>18340.300780000001</v>
      </c>
      <c r="AP183" s="91">
        <v>18385.300780000001</v>
      </c>
      <c r="AQ183" s="91">
        <v>18385.300780000001</v>
      </c>
      <c r="AR183" s="91">
        <v>169000</v>
      </c>
      <c r="AS183" s="91">
        <v>-1.9E-3</v>
      </c>
    </row>
    <row r="184" spans="1:45" x14ac:dyDescent="0.55000000000000004">
      <c r="A184" s="90">
        <v>44916</v>
      </c>
      <c r="B184" s="91">
        <v>6355.6000979999999</v>
      </c>
      <c r="C184" s="91">
        <v>6202.6000979999999</v>
      </c>
      <c r="D184" s="91">
        <v>6026.7617190000001</v>
      </c>
      <c r="E184" s="91">
        <v>186139</v>
      </c>
      <c r="F184" s="91">
        <v>-1.77E-2</v>
      </c>
      <c r="H184" s="90">
        <v>44916</v>
      </c>
      <c r="I184" s="91">
        <v>1209.591064</v>
      </c>
      <c r="J184" s="91">
        <v>1192.7463379999999</v>
      </c>
      <c r="K184" s="91">
        <v>1179.815552</v>
      </c>
      <c r="L184" s="91">
        <v>8527550</v>
      </c>
      <c r="M184" s="91">
        <v>-1.4200000000000001E-2</v>
      </c>
      <c r="O184" s="90">
        <v>44916</v>
      </c>
      <c r="P184" s="91">
        <v>820.5</v>
      </c>
      <c r="Q184" s="91">
        <v>808.79998780000005</v>
      </c>
      <c r="R184" s="91">
        <v>778.33697510000002</v>
      </c>
      <c r="S184" s="91">
        <v>9269198</v>
      </c>
      <c r="T184" s="91">
        <v>-9.7000000000000003E-3</v>
      </c>
      <c r="V184" s="90">
        <v>44916</v>
      </c>
      <c r="W184" s="91">
        <v>1515</v>
      </c>
      <c r="X184" s="91">
        <v>1509.5500489999999</v>
      </c>
      <c r="Y184" s="91">
        <v>1384.449707</v>
      </c>
      <c r="Z184" s="91">
        <v>6236361</v>
      </c>
      <c r="AA184" s="91">
        <v>1.5E-3</v>
      </c>
      <c r="AB184" s="91"/>
      <c r="AC184" s="90">
        <v>44916</v>
      </c>
      <c r="AD184" s="91">
        <v>1411</v>
      </c>
      <c r="AE184" s="91">
        <v>1366.400024</v>
      </c>
      <c r="AF184" s="91">
        <v>1362.278442</v>
      </c>
      <c r="AG184" s="91">
        <v>585477</v>
      </c>
      <c r="AH184" s="91">
        <v>-3.2599999999999997E-2</v>
      </c>
      <c r="AI184" s="91"/>
      <c r="AJ184" s="91">
        <f>(F184*'Part 3 Portfolio Analysis'!$B$8+M184*'Part 3 Portfolio Analysis'!$C$8+T184*'Part 3 Portfolio Analysis'!$D$8+AA184*'Part 3 Portfolio Analysis'!$E$8+AH184*'Part 3 Portfolio Analysis'!$F$8)/100</f>
        <v>-1.2152519981923782E-2</v>
      </c>
      <c r="AK184" s="91">
        <f>'Part 3 Portfolio Analysis'!$B$107*F184+M184*'Part 3 Portfolio Analysis'!$C$107+T184*'Part 3 Portfolio Analysis'!$D$107+AA184*'Part 3 Portfolio Analysis'!$E$107+AH184*'Part 3 Portfolio Analysis'!$F$107</f>
        <v>-1.7199299999999997E-2</v>
      </c>
      <c r="AL184" s="91">
        <f>F184*'Part 3 Portfolio Analysis'!$B$121+M184*'Part 3 Portfolio Analysis'!$C$121+'Part 3 Portfolio Analysis'!$D$121*T184+AA184*'Part 3 Portfolio Analysis'!$E$121+'Part 3 Portfolio Analysis'!$F$121*AH184</f>
        <v>-1.060578E-2</v>
      </c>
      <c r="AM184" s="91"/>
      <c r="AN184" s="90">
        <v>44916</v>
      </c>
      <c r="AO184" s="91">
        <v>18435.150389999999</v>
      </c>
      <c r="AP184" s="91">
        <v>18199.099610000001</v>
      </c>
      <c r="AQ184" s="91">
        <v>18199.099610000001</v>
      </c>
      <c r="AR184" s="91">
        <v>187600</v>
      </c>
      <c r="AS184" s="91">
        <v>-1.01E-2</v>
      </c>
    </row>
    <row r="185" spans="1:45" x14ac:dyDescent="0.55000000000000004">
      <c r="A185" s="90">
        <v>44917</v>
      </c>
      <c r="B185" s="91">
        <v>6240</v>
      </c>
      <c r="C185" s="91">
        <v>6050.7998049999997</v>
      </c>
      <c r="D185" s="91">
        <v>5879.2651370000003</v>
      </c>
      <c r="E185" s="91">
        <v>278555</v>
      </c>
      <c r="F185" s="91">
        <v>-2.4500000000000001E-2</v>
      </c>
      <c r="H185" s="90">
        <v>44917</v>
      </c>
      <c r="I185" s="91">
        <v>1198.9765629999999</v>
      </c>
      <c r="J185" s="91">
        <v>1189.654297</v>
      </c>
      <c r="K185" s="91">
        <v>1176.7569579999999</v>
      </c>
      <c r="L185" s="91">
        <v>7451122</v>
      </c>
      <c r="M185" s="91">
        <v>-2.5999999999999999E-3</v>
      </c>
      <c r="O185" s="90">
        <v>44917</v>
      </c>
      <c r="P185" s="91">
        <v>811.09997559999999</v>
      </c>
      <c r="Q185" s="91">
        <v>806.02502440000001</v>
      </c>
      <c r="R185" s="91">
        <v>775.66650389999995</v>
      </c>
      <c r="S185" s="91">
        <v>9747096</v>
      </c>
      <c r="T185" s="91">
        <v>-3.3999999999999998E-3</v>
      </c>
      <c r="V185" s="90">
        <v>44917</v>
      </c>
      <c r="W185" s="91">
        <v>1521.5</v>
      </c>
      <c r="X185" s="91">
        <v>1522.0500489999999</v>
      </c>
      <c r="Y185" s="91">
        <v>1395.9136960000001</v>
      </c>
      <c r="Z185" s="91">
        <v>6302640</v>
      </c>
      <c r="AA185" s="91">
        <v>8.3000000000000001E-3</v>
      </c>
      <c r="AB185" s="91"/>
      <c r="AC185" s="90">
        <v>44917</v>
      </c>
      <c r="AD185" s="91">
        <v>1368</v>
      </c>
      <c r="AE185" s="91">
        <v>1332.4499510000001</v>
      </c>
      <c r="AF185" s="91">
        <v>1328.430664</v>
      </c>
      <c r="AG185" s="91">
        <v>879064</v>
      </c>
      <c r="AH185" s="91">
        <v>-2.4799999999999999E-2</v>
      </c>
      <c r="AI185" s="91"/>
      <c r="AJ185" s="91">
        <f>(F185*'Part 3 Portfolio Analysis'!$B$8+M185*'Part 3 Portfolio Analysis'!$C$8+T185*'Part 3 Portfolio Analysis'!$D$8+AA185*'Part 3 Portfolio Analysis'!$E$8+AH185*'Part 3 Portfolio Analysis'!$F$8)/100</f>
        <v>-7.766248097565087E-3</v>
      </c>
      <c r="AK185" s="91">
        <f>'Part 3 Portfolio Analysis'!$B$107*F185+M185*'Part 3 Portfolio Analysis'!$C$107+T185*'Part 3 Portfolio Analysis'!$D$107+AA185*'Part 3 Portfolio Analysis'!$E$107+AH185*'Part 3 Portfolio Analysis'!$F$107</f>
        <v>-1.11704E-2</v>
      </c>
      <c r="AL185" s="91">
        <f>F185*'Part 3 Portfolio Analysis'!$B$121+M185*'Part 3 Portfolio Analysis'!$C$121+'Part 3 Portfolio Analysis'!$D$121*T185+AA185*'Part 3 Portfolio Analysis'!$E$121+'Part 3 Portfolio Analysis'!$F$121*AH185</f>
        <v>-3.0194200000000001E-3</v>
      </c>
      <c r="AM185" s="91"/>
      <c r="AN185" s="90">
        <v>44917</v>
      </c>
      <c r="AO185" s="91">
        <v>18288.800780000001</v>
      </c>
      <c r="AP185" s="91">
        <v>18127.349610000001</v>
      </c>
      <c r="AQ185" s="91">
        <v>18127.349610000001</v>
      </c>
      <c r="AR185" s="91">
        <v>195700</v>
      </c>
      <c r="AS185" s="91">
        <v>-3.8999999999999998E-3</v>
      </c>
    </row>
    <row r="186" spans="1:45" x14ac:dyDescent="0.55000000000000004">
      <c r="A186" s="90">
        <v>44918</v>
      </c>
      <c r="B186" s="91">
        <v>6015</v>
      </c>
      <c r="C186" s="91">
        <v>5837.6000979999999</v>
      </c>
      <c r="D186" s="91">
        <v>5672.109375</v>
      </c>
      <c r="E186" s="91">
        <v>355787</v>
      </c>
      <c r="F186" s="91">
        <v>-3.5200000000000002E-2</v>
      </c>
      <c r="H186" s="90">
        <v>44918</v>
      </c>
      <c r="I186" s="91">
        <v>1182.962524</v>
      </c>
      <c r="J186" s="91">
        <v>1154.764893</v>
      </c>
      <c r="K186" s="91">
        <v>1142.24585</v>
      </c>
      <c r="L186" s="91">
        <v>10257115</v>
      </c>
      <c r="M186" s="91">
        <v>-2.93E-2</v>
      </c>
      <c r="O186" s="90">
        <v>44918</v>
      </c>
      <c r="P186" s="91">
        <v>793.5</v>
      </c>
      <c r="Q186" s="91">
        <v>798.82501219999995</v>
      </c>
      <c r="R186" s="91">
        <v>768.73760990000005</v>
      </c>
      <c r="S186" s="91">
        <v>10693152</v>
      </c>
      <c r="T186" s="91">
        <v>-8.8999999999999999E-3</v>
      </c>
      <c r="V186" s="90">
        <v>44918</v>
      </c>
      <c r="W186" s="91">
        <v>1508.6999510000001</v>
      </c>
      <c r="X186" s="91">
        <v>1497.099976</v>
      </c>
      <c r="Y186" s="91">
        <v>1373.0313719999999</v>
      </c>
      <c r="Z186" s="91">
        <v>6283822</v>
      </c>
      <c r="AA186" s="91">
        <v>-1.6400000000000001E-2</v>
      </c>
      <c r="AB186" s="91"/>
      <c r="AC186" s="90">
        <v>44918</v>
      </c>
      <c r="AD186" s="91">
        <v>1315</v>
      </c>
      <c r="AE186" s="91">
        <v>1284.400024</v>
      </c>
      <c r="AF186" s="91">
        <v>1280.5257570000001</v>
      </c>
      <c r="AG186" s="91">
        <v>1182635</v>
      </c>
      <c r="AH186" s="91">
        <v>-3.61E-2</v>
      </c>
      <c r="AI186" s="91"/>
      <c r="AJ186" s="91">
        <f>(F186*'Part 3 Portfolio Analysis'!$B$8+M186*'Part 3 Portfolio Analysis'!$C$8+T186*'Part 3 Portfolio Analysis'!$D$8+AA186*'Part 3 Portfolio Analysis'!$E$8+AH186*'Part 3 Portfolio Analysis'!$F$8)/100</f>
        <v>-2.5657438317807254E-2</v>
      </c>
      <c r="AK186" s="91">
        <f>'Part 3 Portfolio Analysis'!$B$107*F186+M186*'Part 3 Portfolio Analysis'!$C$107+T186*'Part 3 Portfolio Analysis'!$D$107+AA186*'Part 3 Portfolio Analysis'!$E$107+AH186*'Part 3 Portfolio Analysis'!$F$107</f>
        <v>-2.7623599999999998E-2</v>
      </c>
      <c r="AL186" s="91">
        <f>F186*'Part 3 Portfolio Analysis'!$B$121+M186*'Part 3 Portfolio Analysis'!$C$121+'Part 3 Portfolio Analysis'!$D$121*T186+AA186*'Part 3 Portfolio Analysis'!$E$121+'Part 3 Portfolio Analysis'!$F$121*AH186</f>
        <v>-2.1834340000000001E-2</v>
      </c>
      <c r="AM186" s="91"/>
      <c r="AN186" s="90">
        <v>44918</v>
      </c>
      <c r="AO186" s="91">
        <v>17977.650389999999</v>
      </c>
      <c r="AP186" s="91">
        <v>17806.800780000001</v>
      </c>
      <c r="AQ186" s="91">
        <v>17806.800780000001</v>
      </c>
      <c r="AR186" s="91">
        <v>221500</v>
      </c>
      <c r="AS186" s="91">
        <v>-1.77E-2</v>
      </c>
    </row>
    <row r="187" spans="1:45" x14ac:dyDescent="0.55000000000000004">
      <c r="A187" s="90">
        <v>44921</v>
      </c>
      <c r="B187" s="91">
        <v>5840</v>
      </c>
      <c r="C187" s="91">
        <v>6252.6499020000001</v>
      </c>
      <c r="D187" s="91">
        <v>6075.3920900000003</v>
      </c>
      <c r="E187" s="91">
        <v>619866</v>
      </c>
      <c r="F187" s="91">
        <v>7.1099999999999997E-2</v>
      </c>
      <c r="H187" s="90">
        <v>44921</v>
      </c>
      <c r="I187" s="91">
        <v>1160.556763</v>
      </c>
      <c r="J187" s="91">
        <v>1164.8486330000001</v>
      </c>
      <c r="K187" s="91">
        <v>1152.2202150000001</v>
      </c>
      <c r="L187" s="91">
        <v>5990242</v>
      </c>
      <c r="M187" s="91">
        <v>8.6999999999999994E-3</v>
      </c>
      <c r="O187" s="90">
        <v>44921</v>
      </c>
      <c r="P187" s="91">
        <v>799.75</v>
      </c>
      <c r="Q187" s="91">
        <v>814.72497559999999</v>
      </c>
      <c r="R187" s="91">
        <v>784.03875730000004</v>
      </c>
      <c r="S187" s="91">
        <v>9907322</v>
      </c>
      <c r="T187" s="91">
        <v>1.9900000000000001E-2</v>
      </c>
      <c r="V187" s="90">
        <v>44921</v>
      </c>
      <c r="W187" s="91">
        <v>1500.5</v>
      </c>
      <c r="X187" s="91">
        <v>1502.400024</v>
      </c>
      <c r="Y187" s="91">
        <v>1377.892212</v>
      </c>
      <c r="Z187" s="91">
        <v>4115459</v>
      </c>
      <c r="AA187" s="91">
        <v>3.5000000000000001E-3</v>
      </c>
      <c r="AB187" s="91"/>
      <c r="AC187" s="90">
        <v>44921</v>
      </c>
      <c r="AD187" s="91">
        <v>1289.9499510000001</v>
      </c>
      <c r="AE187" s="91">
        <v>1357.5</v>
      </c>
      <c r="AF187" s="91">
        <v>1353.4052730000001</v>
      </c>
      <c r="AG187" s="91">
        <v>835478</v>
      </c>
      <c r="AH187" s="91">
        <v>5.6899999999999999E-2</v>
      </c>
      <c r="AI187" s="91"/>
      <c r="AJ187" s="91">
        <f>(F187*'Part 3 Portfolio Analysis'!$B$8+M187*'Part 3 Portfolio Analysis'!$C$8+T187*'Part 3 Portfolio Analysis'!$D$8+AA187*'Part 3 Portfolio Analysis'!$E$8+AH187*'Part 3 Portfolio Analysis'!$F$8)/100</f>
        <v>2.8922535047377421E-2</v>
      </c>
      <c r="AK187" s="91">
        <f>'Part 3 Portfolio Analysis'!$B$107*F187+M187*'Part 3 Portfolio Analysis'!$C$107+T187*'Part 3 Portfolio Analysis'!$D$107+AA187*'Part 3 Portfolio Analysis'!$E$107+AH187*'Part 3 Portfolio Analysis'!$F$107</f>
        <v>3.3294400000000002E-2</v>
      </c>
      <c r="AL187" s="91">
        <f>F187*'Part 3 Portfolio Analysis'!$B$121+M187*'Part 3 Portfolio Analysis'!$C$121+'Part 3 Portfolio Analysis'!$D$121*T187+AA187*'Part 3 Portfolio Analysis'!$E$121+'Part 3 Portfolio Analysis'!$F$121*AH187</f>
        <v>1.7098519999999999E-2</v>
      </c>
      <c r="AM187" s="91"/>
      <c r="AN187" s="90">
        <v>44921</v>
      </c>
      <c r="AO187" s="91">
        <v>17830.400389999999</v>
      </c>
      <c r="AP187" s="91">
        <v>18014.599610000001</v>
      </c>
      <c r="AQ187" s="91">
        <v>18014.599610000001</v>
      </c>
      <c r="AR187" s="91">
        <v>176700</v>
      </c>
      <c r="AS187" s="91">
        <v>1.17E-2</v>
      </c>
    </row>
    <row r="188" spans="1:45" x14ac:dyDescent="0.55000000000000004">
      <c r="A188" s="90">
        <v>44922</v>
      </c>
      <c r="B188" s="91">
        <v>6349.7001950000003</v>
      </c>
      <c r="C188" s="91">
        <v>6431.6499020000001</v>
      </c>
      <c r="D188" s="91">
        <v>6249.3183589999999</v>
      </c>
      <c r="E188" s="91">
        <v>471338</v>
      </c>
      <c r="F188" s="91">
        <v>2.86E-2</v>
      </c>
      <c r="H188" s="90">
        <v>44922</v>
      </c>
      <c r="I188" s="91">
        <v>1167.5946039999999</v>
      </c>
      <c r="J188" s="91">
        <v>1174.3786620000001</v>
      </c>
      <c r="K188" s="91">
        <v>1161.6469729999999</v>
      </c>
      <c r="L188" s="91">
        <v>5763271</v>
      </c>
      <c r="M188" s="91">
        <v>8.2000000000000007E-3</v>
      </c>
      <c r="O188" s="90">
        <v>44922</v>
      </c>
      <c r="P188" s="91">
        <v>816.5</v>
      </c>
      <c r="Q188" s="91">
        <v>815.54998780000005</v>
      </c>
      <c r="R188" s="91">
        <v>784.83276369999999</v>
      </c>
      <c r="S188" s="91">
        <v>7926772</v>
      </c>
      <c r="T188" s="91">
        <v>1E-3</v>
      </c>
      <c r="V188" s="90">
        <v>44922</v>
      </c>
      <c r="W188" s="91">
        <v>1509.9499510000001</v>
      </c>
      <c r="X188" s="91">
        <v>1514.849976</v>
      </c>
      <c r="Y188" s="91">
        <v>1389.310303</v>
      </c>
      <c r="Z188" s="91">
        <v>4860076</v>
      </c>
      <c r="AA188" s="91">
        <v>8.3000000000000001E-3</v>
      </c>
      <c r="AB188" s="91"/>
      <c r="AC188" s="90">
        <v>44922</v>
      </c>
      <c r="AD188" s="91">
        <v>1358.6999510000001</v>
      </c>
      <c r="AE188" s="91">
        <v>1346.849976</v>
      </c>
      <c r="AF188" s="91">
        <v>1342.787231</v>
      </c>
      <c r="AG188" s="91">
        <v>868094</v>
      </c>
      <c r="AH188" s="91">
        <v>-7.7999999999999996E-3</v>
      </c>
      <c r="AI188" s="91"/>
      <c r="AJ188" s="91">
        <f>(F188*'Part 3 Portfolio Analysis'!$B$8+M188*'Part 3 Portfolio Analysis'!$C$8+T188*'Part 3 Portfolio Analysis'!$D$8+AA188*'Part 3 Portfolio Analysis'!$E$8+AH188*'Part 3 Portfolio Analysis'!$F$8)/100</f>
        <v>1.2978664365000137E-2</v>
      </c>
      <c r="AK188" s="91">
        <f>'Part 3 Portfolio Analysis'!$B$107*F188+M188*'Part 3 Portfolio Analysis'!$C$107+T188*'Part 3 Portfolio Analysis'!$D$107+AA188*'Part 3 Portfolio Analysis'!$E$107+AH188*'Part 3 Portfolio Analysis'!$F$107</f>
        <v>6.7340000000000021E-3</v>
      </c>
      <c r="AL188" s="91">
        <f>F188*'Part 3 Portfolio Analysis'!$B$121+M188*'Part 3 Portfolio Analysis'!$C$121+'Part 3 Portfolio Analysis'!$D$121*T188+AA188*'Part 3 Portfolio Analysis'!$E$121+'Part 3 Portfolio Analysis'!$F$121*AH188</f>
        <v>7.5192799999999997E-3</v>
      </c>
      <c r="AM188" s="91"/>
      <c r="AN188" s="90">
        <v>44922</v>
      </c>
      <c r="AO188" s="91">
        <v>18089.800780000001</v>
      </c>
      <c r="AP188" s="91">
        <v>18132.300780000001</v>
      </c>
      <c r="AQ188" s="91">
        <v>18132.300780000001</v>
      </c>
      <c r="AR188" s="91">
        <v>214300</v>
      </c>
      <c r="AS188" s="91">
        <v>6.4999999999999997E-3</v>
      </c>
    </row>
    <row r="189" spans="1:45" x14ac:dyDescent="0.55000000000000004">
      <c r="A189" s="90">
        <v>44923</v>
      </c>
      <c r="B189" s="91">
        <v>6365.0498049999997</v>
      </c>
      <c r="C189" s="91">
        <v>6332.0498049999997</v>
      </c>
      <c r="D189" s="91">
        <v>6152.5419920000004</v>
      </c>
      <c r="E189" s="91">
        <v>203048</v>
      </c>
      <c r="F189" s="91">
        <v>-1.55E-2</v>
      </c>
      <c r="H189" s="90">
        <v>44923</v>
      </c>
      <c r="I189" s="91">
        <v>1171.286621</v>
      </c>
      <c r="J189" s="91">
        <v>1174.2633060000001</v>
      </c>
      <c r="K189" s="91">
        <v>1161.532837</v>
      </c>
      <c r="L189" s="91">
        <v>7459393</v>
      </c>
      <c r="M189" s="91">
        <v>-1E-4</v>
      </c>
      <c r="O189" s="90">
        <v>44923</v>
      </c>
      <c r="P189" s="91">
        <v>811.54998780000005</v>
      </c>
      <c r="Q189" s="91">
        <v>814.90002440000001</v>
      </c>
      <c r="R189" s="91">
        <v>784.2072144</v>
      </c>
      <c r="S189" s="91">
        <v>8691870</v>
      </c>
      <c r="T189" s="91">
        <v>-8.0000000000000004E-4</v>
      </c>
      <c r="V189" s="90">
        <v>44923</v>
      </c>
      <c r="W189" s="91">
        <v>1505.099976</v>
      </c>
      <c r="X189" s="91">
        <v>1510.150024</v>
      </c>
      <c r="Y189" s="91">
        <v>1385</v>
      </c>
      <c r="Z189" s="91">
        <v>5029860</v>
      </c>
      <c r="AA189" s="91">
        <v>-3.0999999999999999E-3</v>
      </c>
      <c r="AB189" s="91"/>
      <c r="AC189" s="90">
        <v>44923</v>
      </c>
      <c r="AD189" s="91">
        <v>1345</v>
      </c>
      <c r="AE189" s="91">
        <v>1346.400024</v>
      </c>
      <c r="AF189" s="91">
        <v>1342.3386230000001</v>
      </c>
      <c r="AG189" s="91">
        <v>565769</v>
      </c>
      <c r="AH189" s="91">
        <v>-2.9999999999999997E-4</v>
      </c>
      <c r="AI189" s="91"/>
      <c r="AJ189" s="91">
        <f>(F189*'Part 3 Portfolio Analysis'!$B$8+M189*'Part 3 Portfolio Analysis'!$C$8+T189*'Part 3 Portfolio Analysis'!$D$8+AA189*'Part 3 Portfolio Analysis'!$E$8+AH189*'Part 3 Portfolio Analysis'!$F$8)/100</f>
        <v>-5.3215243193446057E-3</v>
      </c>
      <c r="AK189" s="91">
        <f>'Part 3 Portfolio Analysis'!$B$107*F189+M189*'Part 3 Portfolio Analysis'!$C$107+T189*'Part 3 Portfolio Analysis'!$D$107+AA189*'Part 3 Portfolio Analysis'!$E$107+AH189*'Part 3 Portfolio Analysis'!$F$107</f>
        <v>-3.3308999999999999E-3</v>
      </c>
      <c r="AL189" s="91">
        <f>F189*'Part 3 Portfolio Analysis'!$B$121+M189*'Part 3 Portfolio Analysis'!$C$121+'Part 3 Portfolio Analysis'!$D$121*T189+AA189*'Part 3 Portfolio Analysis'!$E$121+'Part 3 Portfolio Analysis'!$F$121*AH189</f>
        <v>-2.1615200000000001E-3</v>
      </c>
      <c r="AM189" s="91"/>
      <c r="AN189" s="90">
        <v>44923</v>
      </c>
      <c r="AO189" s="91">
        <v>18084.75</v>
      </c>
      <c r="AP189" s="91">
        <v>18122.5</v>
      </c>
      <c r="AQ189" s="91">
        <v>18122.5</v>
      </c>
      <c r="AR189" s="91">
        <v>193900</v>
      </c>
      <c r="AS189" s="91">
        <v>-5.0000000000000001E-4</v>
      </c>
    </row>
    <row r="190" spans="1:45" x14ac:dyDescent="0.55000000000000004">
      <c r="A190" s="90">
        <v>44924</v>
      </c>
      <c r="B190" s="91">
        <v>6280</v>
      </c>
      <c r="C190" s="91">
        <v>6256.3999020000001</v>
      </c>
      <c r="D190" s="91">
        <v>6079.0366210000002</v>
      </c>
      <c r="E190" s="91">
        <v>137789</v>
      </c>
      <c r="F190" s="91">
        <v>-1.1900000000000001E-2</v>
      </c>
      <c r="H190" s="90">
        <v>44924</v>
      </c>
      <c r="I190" s="91">
        <v>1166.2100829999999</v>
      </c>
      <c r="J190" s="91">
        <v>1173.732544</v>
      </c>
      <c r="K190" s="91">
        <v>1161.0078129999999</v>
      </c>
      <c r="L190" s="91">
        <v>6930648</v>
      </c>
      <c r="M190" s="91">
        <v>-5.0000000000000001E-4</v>
      </c>
      <c r="O190" s="90">
        <v>44924</v>
      </c>
      <c r="P190" s="91">
        <v>810.04998780000005</v>
      </c>
      <c r="Q190" s="91">
        <v>820.65002440000001</v>
      </c>
      <c r="R190" s="91">
        <v>789.74066159999995</v>
      </c>
      <c r="S190" s="91">
        <v>11012896</v>
      </c>
      <c r="T190" s="91">
        <v>7.1000000000000004E-3</v>
      </c>
      <c r="V190" s="90">
        <v>44924</v>
      </c>
      <c r="W190" s="91">
        <v>1504</v>
      </c>
      <c r="X190" s="91">
        <v>1517.5500489999999</v>
      </c>
      <c r="Y190" s="91">
        <v>1391.786865</v>
      </c>
      <c r="Z190" s="91">
        <v>4624745</v>
      </c>
      <c r="AA190" s="91">
        <v>4.8999999999999998E-3</v>
      </c>
      <c r="AB190" s="91"/>
      <c r="AC190" s="90">
        <v>44924</v>
      </c>
      <c r="AD190" s="91">
        <v>1341.0500489999999</v>
      </c>
      <c r="AE190" s="91">
        <v>1348.599976</v>
      </c>
      <c r="AF190" s="91">
        <v>1344.531982</v>
      </c>
      <c r="AG190" s="91">
        <v>572355</v>
      </c>
      <c r="AH190" s="91">
        <v>1.6000000000000001E-3</v>
      </c>
      <c r="AI190" s="91"/>
      <c r="AJ190" s="91">
        <f>(F190*'Part 3 Portfolio Analysis'!$B$8+M190*'Part 3 Portfolio Analysis'!$C$8+T190*'Part 3 Portfolio Analysis'!$D$8+AA190*'Part 3 Portfolio Analysis'!$E$8+AH190*'Part 3 Portfolio Analysis'!$F$8)/100</f>
        <v>-1.7626576459938072E-3</v>
      </c>
      <c r="AK190" s="91">
        <f>'Part 3 Portfolio Analysis'!$B$107*F190+M190*'Part 3 Portfolio Analysis'!$C$107+T190*'Part 3 Portfolio Analysis'!$D$107+AA190*'Part 3 Portfolio Analysis'!$E$107+AH190*'Part 3 Portfolio Analysis'!$F$107</f>
        <v>-3.0480000000000004E-4</v>
      </c>
      <c r="AL190" s="91">
        <f>F190*'Part 3 Portfolio Analysis'!$B$121+M190*'Part 3 Portfolio Analysis'!$C$121+'Part 3 Portfolio Analysis'!$D$121*T190+AA190*'Part 3 Portfolio Analysis'!$E$121+'Part 3 Portfolio Analysis'!$F$121*AH190</f>
        <v>1.7651400000000003E-3</v>
      </c>
      <c r="AM190" s="91"/>
      <c r="AN190" s="90">
        <v>44924</v>
      </c>
      <c r="AO190" s="91">
        <v>18045.699219999999</v>
      </c>
      <c r="AP190" s="91">
        <v>18191</v>
      </c>
      <c r="AQ190" s="91">
        <v>18191</v>
      </c>
      <c r="AR190" s="91">
        <v>281100</v>
      </c>
      <c r="AS190" s="91">
        <v>3.8E-3</v>
      </c>
    </row>
    <row r="191" spans="1:45" x14ac:dyDescent="0.55000000000000004">
      <c r="A191" s="90">
        <v>44925</v>
      </c>
      <c r="B191" s="91">
        <v>6337</v>
      </c>
      <c r="C191" s="91">
        <v>6285.8999020000001</v>
      </c>
      <c r="D191" s="91">
        <v>6107.7001950000003</v>
      </c>
      <c r="E191" s="91">
        <v>206310</v>
      </c>
      <c r="F191" s="91">
        <v>4.7000000000000002E-3</v>
      </c>
      <c r="H191" s="90">
        <v>44925</v>
      </c>
      <c r="I191" s="91">
        <v>1174.563232</v>
      </c>
      <c r="J191" s="91">
        <v>1175.5323490000001</v>
      </c>
      <c r="K191" s="91">
        <v>1162.788086</v>
      </c>
      <c r="L191" s="91">
        <v>7289476</v>
      </c>
      <c r="M191" s="91">
        <v>1.5E-3</v>
      </c>
      <c r="O191" s="90">
        <v>44925</v>
      </c>
      <c r="P191" s="91">
        <v>822.5</v>
      </c>
      <c r="Q191" s="91">
        <v>814.07501219999995</v>
      </c>
      <c r="R191" s="91">
        <v>783.41326900000001</v>
      </c>
      <c r="S191" s="91">
        <v>7122640</v>
      </c>
      <c r="T191" s="91">
        <v>-8.0000000000000002E-3</v>
      </c>
      <c r="V191" s="90">
        <v>44925</v>
      </c>
      <c r="W191" s="91">
        <v>1528</v>
      </c>
      <c r="X191" s="91">
        <v>1508.1999510000001</v>
      </c>
      <c r="Y191" s="91">
        <v>1383.2114260000001</v>
      </c>
      <c r="Z191" s="91">
        <v>5060544</v>
      </c>
      <c r="AA191" s="91">
        <v>-6.1999999999999998E-3</v>
      </c>
      <c r="AB191" s="91"/>
      <c r="AC191" s="90">
        <v>44925</v>
      </c>
      <c r="AD191" s="91">
        <v>1355.349976</v>
      </c>
      <c r="AE191" s="91">
        <v>1351.349976</v>
      </c>
      <c r="AF191" s="91">
        <v>1347.273682</v>
      </c>
      <c r="AG191" s="91">
        <v>310890</v>
      </c>
      <c r="AH191" s="91">
        <v>2E-3</v>
      </c>
      <c r="AI191" s="91"/>
      <c r="AJ191" s="91">
        <f>(F191*'Part 3 Portfolio Analysis'!$B$8+M191*'Part 3 Portfolio Analysis'!$C$8+T191*'Part 3 Portfolio Analysis'!$D$8+AA191*'Part 3 Portfolio Analysis'!$E$8+AH191*'Part 3 Portfolio Analysis'!$F$8)/100</f>
        <v>-3.5902234389280976E-4</v>
      </c>
      <c r="AK191" s="91">
        <f>'Part 3 Portfolio Analysis'!$B$107*F191+M191*'Part 3 Portfolio Analysis'!$C$107+T191*'Part 3 Portfolio Analysis'!$D$107+AA191*'Part 3 Portfolio Analysis'!$E$107+AH191*'Part 3 Portfolio Analysis'!$F$107</f>
        <v>-4.0499999999999954E-5</v>
      </c>
      <c r="AL191" s="91">
        <f>F191*'Part 3 Portfolio Analysis'!$B$121+M191*'Part 3 Portfolio Analysis'!$C$121+'Part 3 Portfolio Analysis'!$D$121*T191+AA191*'Part 3 Portfolio Analysis'!$E$121+'Part 3 Portfolio Analysis'!$F$121*AH191</f>
        <v>-2.3478600000000002E-3</v>
      </c>
      <c r="AM191" s="91"/>
      <c r="AN191" s="90">
        <v>44925</v>
      </c>
      <c r="AO191" s="91">
        <v>18259.099610000001</v>
      </c>
      <c r="AP191" s="91">
        <v>18105.300780000001</v>
      </c>
      <c r="AQ191" s="91">
        <v>18105.300780000001</v>
      </c>
      <c r="AR191" s="91">
        <v>192000</v>
      </c>
      <c r="AS191" s="91">
        <v>-4.7000000000000002E-3</v>
      </c>
    </row>
    <row r="192" spans="1:45" x14ac:dyDescent="0.55000000000000004">
      <c r="A192" s="90">
        <v>44928</v>
      </c>
      <c r="B192" s="91">
        <v>6317.3500979999999</v>
      </c>
      <c r="C192" s="91">
        <v>6300.3999020000001</v>
      </c>
      <c r="D192" s="91">
        <v>6121.7890630000002</v>
      </c>
      <c r="E192" s="91">
        <v>181854</v>
      </c>
      <c r="F192" s="91">
        <v>2.3E-3</v>
      </c>
      <c r="H192" s="90">
        <v>44928</v>
      </c>
      <c r="I192" s="91">
        <v>1176.8245850000001</v>
      </c>
      <c r="J192" s="91">
        <v>1188.777466</v>
      </c>
      <c r="K192" s="91">
        <v>1175.8896480000001</v>
      </c>
      <c r="L192" s="91">
        <v>5316175</v>
      </c>
      <c r="M192" s="91">
        <v>1.1299999999999999E-2</v>
      </c>
      <c r="O192" s="90">
        <v>44928</v>
      </c>
      <c r="P192" s="91">
        <v>813.5</v>
      </c>
      <c r="Q192" s="91">
        <v>814.34997559999999</v>
      </c>
      <c r="R192" s="91">
        <v>783.6778564</v>
      </c>
      <c r="S192" s="91">
        <v>4381378</v>
      </c>
      <c r="T192" s="91">
        <v>2.9999999999999997E-4</v>
      </c>
      <c r="V192" s="90">
        <v>44928</v>
      </c>
      <c r="W192" s="91">
        <v>1514</v>
      </c>
      <c r="X192" s="91">
        <v>1524</v>
      </c>
      <c r="Y192" s="91">
        <v>1397.7021480000001</v>
      </c>
      <c r="Z192" s="91">
        <v>3801140</v>
      </c>
      <c r="AA192" s="91">
        <v>1.0500000000000001E-2</v>
      </c>
      <c r="AB192" s="91"/>
      <c r="AC192" s="90">
        <v>44928</v>
      </c>
      <c r="AD192" s="91">
        <v>1358</v>
      </c>
      <c r="AE192" s="91">
        <v>1342.150024</v>
      </c>
      <c r="AF192" s="91">
        <v>1338.1015629999999</v>
      </c>
      <c r="AG192" s="91">
        <v>195562</v>
      </c>
      <c r="AH192" s="91">
        <v>-6.7999999999999996E-3</v>
      </c>
      <c r="AI192" s="91"/>
      <c r="AJ192" s="91">
        <f>(F192*'Part 3 Portfolio Analysis'!$B$8+M192*'Part 3 Portfolio Analysis'!$C$8+T192*'Part 3 Portfolio Analysis'!$D$8+AA192*'Part 3 Portfolio Analysis'!$E$8+AH192*'Part 3 Portfolio Analysis'!$F$8)/100</f>
        <v>6.4594113371607255E-3</v>
      </c>
      <c r="AK192" s="91">
        <f>'Part 3 Portfolio Analysis'!$B$107*F192+M192*'Part 3 Portfolio Analysis'!$C$107+T192*'Part 3 Portfolio Analysis'!$D$107+AA192*'Part 3 Portfolio Analysis'!$E$107+AH192*'Part 3 Portfolio Analysis'!$F$107</f>
        <v>3.3338000000000005E-3</v>
      </c>
      <c r="AL192" s="91">
        <f>F192*'Part 3 Portfolio Analysis'!$B$121+M192*'Part 3 Portfolio Analysis'!$C$121+'Part 3 Portfolio Analysis'!$D$121*T192+AA192*'Part 3 Portfolio Analysis'!$E$121+'Part 3 Portfolio Analysis'!$F$121*AH192</f>
        <v>6.9339799999999993E-3</v>
      </c>
      <c r="AM192" s="91"/>
      <c r="AN192" s="90">
        <v>44928</v>
      </c>
      <c r="AO192" s="91">
        <v>18131.699219999999</v>
      </c>
      <c r="AP192" s="91">
        <v>18197.449219999999</v>
      </c>
      <c r="AQ192" s="91">
        <v>18197.449219999999</v>
      </c>
      <c r="AR192" s="91">
        <v>256100</v>
      </c>
      <c r="AS192" s="91">
        <v>5.1000000000000004E-3</v>
      </c>
    </row>
    <row r="193" spans="1:45" x14ac:dyDescent="0.55000000000000004">
      <c r="A193" s="90">
        <v>44929</v>
      </c>
      <c r="B193" s="91">
        <v>6321</v>
      </c>
      <c r="C193" s="91">
        <v>6416.6499020000001</v>
      </c>
      <c r="D193" s="91">
        <v>6234.7436520000001</v>
      </c>
      <c r="E193" s="91">
        <v>206183</v>
      </c>
      <c r="F193" s="91">
        <v>1.8499999999999999E-2</v>
      </c>
      <c r="H193" s="90">
        <v>44929</v>
      </c>
      <c r="I193" s="91">
        <v>1183.7701420000001</v>
      </c>
      <c r="J193" s="91">
        <v>1180.078125</v>
      </c>
      <c r="K193" s="91">
        <v>1167.2845460000001</v>
      </c>
      <c r="L193" s="91">
        <v>7658932</v>
      </c>
      <c r="M193" s="91">
        <v>-7.3000000000000001E-3</v>
      </c>
      <c r="O193" s="90">
        <v>44929</v>
      </c>
      <c r="P193" s="91">
        <v>811.09997559999999</v>
      </c>
      <c r="Q193" s="91">
        <v>819.67498780000005</v>
      </c>
      <c r="R193" s="91">
        <v>788.80236820000005</v>
      </c>
      <c r="S193" s="91">
        <v>8378030</v>
      </c>
      <c r="T193" s="91">
        <v>6.4999999999999997E-3</v>
      </c>
      <c r="V193" s="90">
        <v>44929</v>
      </c>
      <c r="W193" s="91">
        <v>1519.849976</v>
      </c>
      <c r="X193" s="91">
        <v>1522.5500489999999</v>
      </c>
      <c r="Y193" s="91">
        <v>1396.372314</v>
      </c>
      <c r="Z193" s="91">
        <v>4551130</v>
      </c>
      <c r="AA193" s="91">
        <v>-1E-3</v>
      </c>
      <c r="AB193" s="91"/>
      <c r="AC193" s="90">
        <v>44929</v>
      </c>
      <c r="AD193" s="91">
        <v>1342</v>
      </c>
      <c r="AE193" s="91">
        <v>1347.400024</v>
      </c>
      <c r="AF193" s="91">
        <v>1343.3355710000001</v>
      </c>
      <c r="AG193" s="91">
        <v>233893</v>
      </c>
      <c r="AH193" s="91">
        <v>3.8999999999999998E-3</v>
      </c>
      <c r="AI193" s="91"/>
      <c r="AJ193" s="91">
        <f>(F193*'Part 3 Portfolio Analysis'!$B$8+M193*'Part 3 Portfolio Analysis'!$C$8+T193*'Part 3 Portfolio Analysis'!$D$8+AA193*'Part 3 Portfolio Analysis'!$E$8+AH193*'Part 3 Portfolio Analysis'!$F$8)/100</f>
        <v>3.8653610405160145E-3</v>
      </c>
      <c r="AK193" s="91">
        <f>'Part 3 Portfolio Analysis'!$B$107*F193+M193*'Part 3 Portfolio Analysis'!$C$107+T193*'Part 3 Portfolio Analysis'!$D$107+AA193*'Part 3 Portfolio Analysis'!$E$107+AH193*'Part 3 Portfolio Analysis'!$F$107</f>
        <v>2.9353999999999999E-3</v>
      </c>
      <c r="AL193" s="91">
        <f>F193*'Part 3 Portfolio Analysis'!$B$121+M193*'Part 3 Portfolio Analysis'!$C$121+'Part 3 Portfolio Analysis'!$D$121*T193+AA193*'Part 3 Portfolio Analysis'!$E$121+'Part 3 Portfolio Analysis'!$F$121*AH193</f>
        <v>1.2780000000000015E-4</v>
      </c>
      <c r="AM193" s="91"/>
      <c r="AN193" s="90">
        <v>44929</v>
      </c>
      <c r="AO193" s="91">
        <v>18163.199219999999</v>
      </c>
      <c r="AP193" s="91">
        <v>18232.550780000001</v>
      </c>
      <c r="AQ193" s="91">
        <v>18232.550780000001</v>
      </c>
      <c r="AR193" s="91">
        <v>208700</v>
      </c>
      <c r="AS193" s="91">
        <v>1.9E-3</v>
      </c>
    </row>
    <row r="194" spans="1:45" x14ac:dyDescent="0.55000000000000004">
      <c r="A194" s="90">
        <v>44930</v>
      </c>
      <c r="B194" s="91">
        <v>6448.75</v>
      </c>
      <c r="C194" s="91">
        <v>6369.5498049999997</v>
      </c>
      <c r="D194" s="91">
        <v>6188.9785160000001</v>
      </c>
      <c r="E194" s="91">
        <v>122264</v>
      </c>
      <c r="F194" s="91">
        <v>-7.3000000000000001E-3</v>
      </c>
      <c r="H194" s="90">
        <v>44930</v>
      </c>
      <c r="I194" s="91">
        <v>1180.0550539999999</v>
      </c>
      <c r="J194" s="91">
        <v>1162.3104249999999</v>
      </c>
      <c r="K194" s="91">
        <v>1149.709595</v>
      </c>
      <c r="L194" s="91">
        <v>9264891</v>
      </c>
      <c r="M194" s="91">
        <v>-1.5100000000000001E-2</v>
      </c>
      <c r="O194" s="90">
        <v>44930</v>
      </c>
      <c r="P194" s="91">
        <v>817.5</v>
      </c>
      <c r="Q194" s="91">
        <v>805.02502440000001</v>
      </c>
      <c r="R194" s="91">
        <v>774.70422359999998</v>
      </c>
      <c r="S194" s="91">
        <v>10351600</v>
      </c>
      <c r="T194" s="91">
        <v>-1.7899999999999999E-2</v>
      </c>
      <c r="V194" s="90">
        <v>44930</v>
      </c>
      <c r="W194" s="91">
        <v>1521</v>
      </c>
      <c r="X194" s="91">
        <v>1494.8000489999999</v>
      </c>
      <c r="Y194" s="91">
        <v>1370.9221190000001</v>
      </c>
      <c r="Z194" s="91">
        <v>7059590</v>
      </c>
      <c r="AA194" s="91">
        <v>-1.8200000000000001E-2</v>
      </c>
      <c r="AB194" s="91"/>
      <c r="AC194" s="90">
        <v>44930</v>
      </c>
      <c r="AD194" s="91">
        <v>1346.0500489999999</v>
      </c>
      <c r="AE194" s="91">
        <v>1307.400024</v>
      </c>
      <c r="AF194" s="91">
        <v>1303.4562989999999</v>
      </c>
      <c r="AG194" s="91">
        <v>589604</v>
      </c>
      <c r="AH194" s="91">
        <v>-2.9700000000000001E-2</v>
      </c>
      <c r="AI194" s="91"/>
      <c r="AJ194" s="91">
        <f>(F194*'Part 3 Portfolio Analysis'!$B$8+M194*'Part 3 Portfolio Analysis'!$C$8+T194*'Part 3 Portfolio Analysis'!$D$8+AA194*'Part 3 Portfolio Analysis'!$E$8+AH194*'Part 3 Portfolio Analysis'!$F$8)/100</f>
        <v>-1.3868664141227005E-2</v>
      </c>
      <c r="AK194" s="91">
        <f>'Part 3 Portfolio Analysis'!$B$107*F194+M194*'Part 3 Portfolio Analysis'!$C$107+T194*'Part 3 Portfolio Analysis'!$D$107+AA194*'Part 3 Portfolio Analysis'!$E$107+AH194*'Part 3 Portfolio Analysis'!$F$107</f>
        <v>-1.8119200000000002E-2</v>
      </c>
      <c r="AL194" s="91">
        <f>F194*'Part 3 Portfolio Analysis'!$B$121+M194*'Part 3 Portfolio Analysis'!$C$121+'Part 3 Portfolio Analysis'!$D$121*T194+AA194*'Part 3 Portfolio Analysis'!$E$121+'Part 3 Portfolio Analysis'!$F$121*AH194</f>
        <v>-1.6222960000000002E-2</v>
      </c>
      <c r="AM194" s="91"/>
      <c r="AN194" s="90">
        <v>44930</v>
      </c>
      <c r="AO194" s="91">
        <v>18230.650389999999</v>
      </c>
      <c r="AP194" s="91">
        <v>18042.949219999999</v>
      </c>
      <c r="AQ194" s="91">
        <v>18042.949219999999</v>
      </c>
      <c r="AR194" s="91">
        <v>235200</v>
      </c>
      <c r="AS194" s="91">
        <v>-1.04E-2</v>
      </c>
    </row>
    <row r="195" spans="1:45" x14ac:dyDescent="0.55000000000000004">
      <c r="A195" s="90">
        <v>44931</v>
      </c>
      <c r="B195" s="91">
        <v>6384.9501950000003</v>
      </c>
      <c r="C195" s="91">
        <v>6287.4501950000003</v>
      </c>
      <c r="D195" s="91">
        <v>6109.2060549999997</v>
      </c>
      <c r="E195" s="91">
        <v>125426</v>
      </c>
      <c r="F195" s="91">
        <v>-1.29E-2</v>
      </c>
      <c r="H195" s="90">
        <v>44931</v>
      </c>
      <c r="I195" s="91">
        <v>1164.5948490000001</v>
      </c>
      <c r="J195" s="91">
        <v>1160.233643</v>
      </c>
      <c r="K195" s="91">
        <v>1147.6553960000001</v>
      </c>
      <c r="L195" s="91">
        <v>13637099</v>
      </c>
      <c r="M195" s="91">
        <v>-1.8E-3</v>
      </c>
      <c r="O195" s="90">
        <v>44931</v>
      </c>
      <c r="P195" s="91">
        <v>807.5</v>
      </c>
      <c r="Q195" s="91">
        <v>799.84997559999999</v>
      </c>
      <c r="R195" s="91">
        <v>769.72412110000005</v>
      </c>
      <c r="S195" s="91">
        <v>10941436</v>
      </c>
      <c r="T195" s="91">
        <v>-6.4000000000000003E-3</v>
      </c>
      <c r="V195" s="90">
        <v>44931</v>
      </c>
      <c r="W195" s="91">
        <v>1505.900024</v>
      </c>
      <c r="X195" s="91">
        <v>1475.1999510000001</v>
      </c>
      <c r="Y195" s="91">
        <v>1352.9461670000001</v>
      </c>
      <c r="Z195" s="91">
        <v>9868404</v>
      </c>
      <c r="AA195" s="91">
        <v>-1.3100000000000001E-2</v>
      </c>
      <c r="AB195" s="91"/>
      <c r="AC195" s="90">
        <v>44931</v>
      </c>
      <c r="AD195" s="91">
        <v>1312</v>
      </c>
      <c r="AE195" s="91">
        <v>1279.900024</v>
      </c>
      <c r="AF195" s="91">
        <v>1276.039307</v>
      </c>
      <c r="AG195" s="91">
        <v>617568</v>
      </c>
      <c r="AH195" s="91">
        <v>-2.1000000000000001E-2</v>
      </c>
      <c r="AI195" s="91"/>
      <c r="AJ195" s="91">
        <f>(F195*'Part 3 Portfolio Analysis'!$B$8+M195*'Part 3 Portfolio Analysis'!$C$8+T195*'Part 3 Portfolio Analysis'!$D$8+AA195*'Part 3 Portfolio Analysis'!$E$8+AH195*'Part 3 Portfolio Analysis'!$F$8)/100</f>
        <v>-7.9035408204336834E-3</v>
      </c>
      <c r="AK195" s="91">
        <f>'Part 3 Portfolio Analysis'!$B$107*F195+M195*'Part 3 Portfolio Analysis'!$C$107+T195*'Part 3 Portfolio Analysis'!$D$107+AA195*'Part 3 Portfolio Analysis'!$E$107+AH195*'Part 3 Portfolio Analysis'!$F$107</f>
        <v>-1.04794E-2</v>
      </c>
      <c r="AL195" s="91">
        <f>F195*'Part 3 Portfolio Analysis'!$B$121+M195*'Part 3 Portfolio Analysis'!$C$121+'Part 3 Portfolio Analysis'!$D$121*T195+AA195*'Part 3 Portfolio Analysis'!$E$121+'Part 3 Portfolio Analysis'!$F$121*AH195</f>
        <v>-6.7266599999999998E-3</v>
      </c>
      <c r="AM195" s="91"/>
      <c r="AN195" s="90">
        <v>44931</v>
      </c>
      <c r="AO195" s="91">
        <v>18101.949219999999</v>
      </c>
      <c r="AP195" s="91">
        <v>17992.150389999999</v>
      </c>
      <c r="AQ195" s="91">
        <v>17992.150389999999</v>
      </c>
      <c r="AR195" s="91">
        <v>269900</v>
      </c>
      <c r="AS195" s="91">
        <v>-2.8E-3</v>
      </c>
    </row>
    <row r="196" spans="1:45" x14ac:dyDescent="0.55000000000000004">
      <c r="A196" s="90">
        <v>44932</v>
      </c>
      <c r="B196" s="91">
        <v>6315</v>
      </c>
      <c r="C196" s="91">
        <v>6193.8999020000001</v>
      </c>
      <c r="D196" s="91">
        <v>6018.3081050000001</v>
      </c>
      <c r="E196" s="91">
        <v>117274</v>
      </c>
      <c r="F196" s="91">
        <v>-1.49E-2</v>
      </c>
      <c r="H196" s="90">
        <v>44932</v>
      </c>
      <c r="I196" s="91">
        <v>1166.0485839999999</v>
      </c>
      <c r="J196" s="91">
        <v>1170.7789310000001</v>
      </c>
      <c r="K196" s="91">
        <v>1158.086182</v>
      </c>
      <c r="L196" s="91">
        <v>6349597</v>
      </c>
      <c r="M196" s="91">
        <v>9.1000000000000004E-3</v>
      </c>
      <c r="O196" s="90">
        <v>44932</v>
      </c>
      <c r="P196" s="91">
        <v>801</v>
      </c>
      <c r="Q196" s="91">
        <v>797.20001219999995</v>
      </c>
      <c r="R196" s="91">
        <v>767.17388919999996</v>
      </c>
      <c r="S196" s="91">
        <v>9092462</v>
      </c>
      <c r="T196" s="91">
        <v>-3.3E-3</v>
      </c>
      <c r="V196" s="90">
        <v>44932</v>
      </c>
      <c r="W196" s="91">
        <v>1470</v>
      </c>
      <c r="X196" s="91">
        <v>1448.5</v>
      </c>
      <c r="Y196" s="91">
        <v>1328.4589840000001</v>
      </c>
      <c r="Z196" s="91">
        <v>6443714</v>
      </c>
      <c r="AA196" s="91">
        <v>-1.8100000000000002E-2</v>
      </c>
      <c r="AB196" s="91"/>
      <c r="AC196" s="90">
        <v>44932</v>
      </c>
      <c r="AD196" s="91">
        <v>1281</v>
      </c>
      <c r="AE196" s="91">
        <v>1248.150024</v>
      </c>
      <c r="AF196" s="91">
        <v>1244.3851320000001</v>
      </c>
      <c r="AG196" s="91">
        <v>1046858</v>
      </c>
      <c r="AH196" s="91">
        <v>-2.4799999999999999E-2</v>
      </c>
      <c r="AI196" s="91"/>
      <c r="AJ196" s="91">
        <f>(F196*'Part 3 Portfolio Analysis'!$B$8+M196*'Part 3 Portfolio Analysis'!$C$8+T196*'Part 3 Portfolio Analysis'!$D$8+AA196*'Part 3 Portfolio Analysis'!$E$8+AH196*'Part 3 Portfolio Analysis'!$F$8)/100</f>
        <v>-4.8771955181437874E-3</v>
      </c>
      <c r="AK196" s="91">
        <f>'Part 3 Portfolio Analysis'!$B$107*F196+M196*'Part 3 Portfolio Analysis'!$C$107+T196*'Part 3 Portfolio Analysis'!$D$107+AA196*'Part 3 Portfolio Analysis'!$E$107+AH196*'Part 3 Portfolio Analysis'!$F$107</f>
        <v>-8.4048000000000005E-3</v>
      </c>
      <c r="AL196" s="91">
        <f>F196*'Part 3 Portfolio Analysis'!$B$121+M196*'Part 3 Portfolio Analysis'!$C$121+'Part 3 Portfolio Analysis'!$D$121*T196+AA196*'Part 3 Portfolio Analysis'!$E$121+'Part 3 Portfolio Analysis'!$F$121*AH196</f>
        <v>-2.5737800000000008E-3</v>
      </c>
      <c r="AM196" s="91"/>
      <c r="AN196" s="90">
        <v>44932</v>
      </c>
      <c r="AO196" s="91">
        <v>18008.050780000001</v>
      </c>
      <c r="AP196" s="91">
        <v>17859.449219999999</v>
      </c>
      <c r="AQ196" s="91">
        <v>17859.449219999999</v>
      </c>
      <c r="AR196" s="91">
        <v>238200</v>
      </c>
      <c r="AS196" s="91">
        <v>-7.4000000000000003E-3</v>
      </c>
    </row>
    <row r="197" spans="1:45" x14ac:dyDescent="0.55000000000000004">
      <c r="A197" s="90">
        <v>44935</v>
      </c>
      <c r="B197" s="91">
        <v>6270</v>
      </c>
      <c r="C197" s="91">
        <v>6232</v>
      </c>
      <c r="D197" s="91">
        <v>6055.328125</v>
      </c>
      <c r="E197" s="91">
        <v>134158</v>
      </c>
      <c r="F197" s="91">
        <v>6.1999999999999998E-3</v>
      </c>
      <c r="H197" s="90">
        <v>44935</v>
      </c>
      <c r="I197" s="91">
        <v>1174.655518</v>
      </c>
      <c r="J197" s="91">
        <v>1198.4227289999999</v>
      </c>
      <c r="K197" s="91">
        <v>1185.430298</v>
      </c>
      <c r="L197" s="91">
        <v>10722753</v>
      </c>
      <c r="M197" s="91">
        <v>2.3599999999999999E-2</v>
      </c>
      <c r="O197" s="90">
        <v>44935</v>
      </c>
      <c r="P197" s="91">
        <v>798</v>
      </c>
      <c r="Q197" s="91">
        <v>798.75</v>
      </c>
      <c r="R197" s="91">
        <v>768.66552730000001</v>
      </c>
      <c r="S197" s="91">
        <v>10729340</v>
      </c>
      <c r="T197" s="91">
        <v>1.9E-3</v>
      </c>
      <c r="V197" s="90">
        <v>44935</v>
      </c>
      <c r="W197" s="91">
        <v>1448.1999510000001</v>
      </c>
      <c r="X197" s="91">
        <v>1484.4499510000001</v>
      </c>
      <c r="Y197" s="91">
        <v>1361.4298100000001</v>
      </c>
      <c r="Z197" s="91">
        <v>11498717</v>
      </c>
      <c r="AA197" s="91">
        <v>2.4799999999999999E-2</v>
      </c>
      <c r="AB197" s="91"/>
      <c r="AC197" s="90">
        <v>44935</v>
      </c>
      <c r="AD197" s="91">
        <v>1253.8000489999999</v>
      </c>
      <c r="AE197" s="91">
        <v>1219.75</v>
      </c>
      <c r="AF197" s="91">
        <v>1216.0706789999999</v>
      </c>
      <c r="AG197" s="91">
        <v>852556</v>
      </c>
      <c r="AH197" s="91">
        <v>-2.2800000000000001E-2</v>
      </c>
      <c r="AI197" s="91"/>
      <c r="AJ197" s="91">
        <f>(F197*'Part 3 Portfolio Analysis'!$B$8+M197*'Part 3 Portfolio Analysis'!$C$8+T197*'Part 3 Portfolio Analysis'!$D$8+AA197*'Part 3 Portfolio Analysis'!$E$8+AH197*'Part 3 Portfolio Analysis'!$F$8)/100</f>
        <v>1.4499789792748295E-2</v>
      </c>
      <c r="AK197" s="91">
        <f>'Part 3 Portfolio Analysis'!$B$107*F197+M197*'Part 3 Portfolio Analysis'!$C$107+T197*'Part 3 Portfolio Analysis'!$D$107+AA197*'Part 3 Portfolio Analysis'!$E$107+AH197*'Part 3 Portfolio Analysis'!$F$107</f>
        <v>5.5316999999999988E-3</v>
      </c>
      <c r="AL197" s="91">
        <f>F197*'Part 3 Portfolio Analysis'!$B$121+M197*'Part 3 Portfolio Analysis'!$C$121+'Part 3 Portfolio Analysis'!$D$121*T197+AA197*'Part 3 Portfolio Analysis'!$E$121+'Part 3 Portfolio Analysis'!$F$121*AH197</f>
        <v>1.529164E-2</v>
      </c>
      <c r="AM197" s="91"/>
      <c r="AN197" s="90">
        <v>44935</v>
      </c>
      <c r="AO197" s="91">
        <v>17952.550780000001</v>
      </c>
      <c r="AP197" s="91">
        <v>18101.199219999999</v>
      </c>
      <c r="AQ197" s="91">
        <v>18101.199219999999</v>
      </c>
      <c r="AR197" s="91">
        <v>257200</v>
      </c>
      <c r="AS197" s="91">
        <v>1.35E-2</v>
      </c>
    </row>
    <row r="198" spans="1:45" x14ac:dyDescent="0.55000000000000004">
      <c r="A198" s="90">
        <v>44936</v>
      </c>
      <c r="B198" s="91">
        <v>6232</v>
      </c>
      <c r="C198" s="91">
        <v>6199.7998049999997</v>
      </c>
      <c r="D198" s="91">
        <v>6024.0405270000001</v>
      </c>
      <c r="E198" s="91">
        <v>101262</v>
      </c>
      <c r="F198" s="91">
        <v>-5.1999999999999998E-3</v>
      </c>
      <c r="H198" s="90">
        <v>44936</v>
      </c>
      <c r="I198" s="91">
        <v>1202.6685789999999</v>
      </c>
      <c r="J198" s="91">
        <v>1180.701172</v>
      </c>
      <c r="K198" s="91">
        <v>1167.900879</v>
      </c>
      <c r="L198" s="91">
        <v>8047142</v>
      </c>
      <c r="M198" s="91">
        <v>-1.4800000000000001E-2</v>
      </c>
      <c r="O198" s="90">
        <v>44936</v>
      </c>
      <c r="P198" s="91">
        <v>800</v>
      </c>
      <c r="Q198" s="91">
        <v>784.15002440000001</v>
      </c>
      <c r="R198" s="91">
        <v>754.61541750000004</v>
      </c>
      <c r="S198" s="91">
        <v>16371766</v>
      </c>
      <c r="T198" s="91">
        <v>-1.83E-2</v>
      </c>
      <c r="V198" s="90">
        <v>44936</v>
      </c>
      <c r="W198" s="91">
        <v>1482</v>
      </c>
      <c r="X198" s="91">
        <v>1469.75</v>
      </c>
      <c r="Y198" s="91">
        <v>1347.94812</v>
      </c>
      <c r="Z198" s="91">
        <v>7158624</v>
      </c>
      <c r="AA198" s="91">
        <v>-9.9000000000000008E-3</v>
      </c>
      <c r="AB198" s="91"/>
      <c r="AC198" s="90">
        <v>44936</v>
      </c>
      <c r="AD198" s="91">
        <v>1225</v>
      </c>
      <c r="AE198" s="91">
        <v>1223.650024</v>
      </c>
      <c r="AF198" s="91">
        <v>1219.958862</v>
      </c>
      <c r="AG198" s="91">
        <v>588497</v>
      </c>
      <c r="AH198" s="91">
        <v>3.2000000000000002E-3</v>
      </c>
      <c r="AI198" s="91"/>
      <c r="AJ198" s="91">
        <f>(F198*'Part 3 Portfolio Analysis'!$B$8+M198*'Part 3 Portfolio Analysis'!$C$8+T198*'Part 3 Portfolio Analysis'!$D$8+AA198*'Part 3 Portfolio Analysis'!$E$8+AH198*'Part 3 Portfolio Analysis'!$F$8)/100</f>
        <v>-1.153934521655863E-2</v>
      </c>
      <c r="AK198" s="91">
        <f>'Part 3 Portfolio Analysis'!$B$107*F198+M198*'Part 3 Portfolio Analysis'!$C$107+T198*'Part 3 Portfolio Analysis'!$D$107+AA198*'Part 3 Portfolio Analysis'!$E$107+AH198*'Part 3 Portfolio Analysis'!$F$107</f>
        <v>-8.5884999999999989E-3</v>
      </c>
      <c r="AL198" s="91">
        <f>F198*'Part 3 Portfolio Analysis'!$B$121+M198*'Part 3 Portfolio Analysis'!$C$121+'Part 3 Portfolio Analysis'!$D$121*T198+AA198*'Part 3 Portfolio Analysis'!$E$121+'Part 3 Portfolio Analysis'!$F$121*AH198</f>
        <v>-1.3511280000000001E-2</v>
      </c>
      <c r="AM198" s="91"/>
      <c r="AN198" s="90">
        <v>44936</v>
      </c>
      <c r="AO198" s="91">
        <v>18121.300780000001</v>
      </c>
      <c r="AP198" s="91">
        <v>17914.150389999999</v>
      </c>
      <c r="AQ198" s="91">
        <v>17914.150389999999</v>
      </c>
      <c r="AR198" s="91">
        <v>283300</v>
      </c>
      <c r="AS198" s="91">
        <v>-1.03E-2</v>
      </c>
    </row>
    <row r="199" spans="1:45" x14ac:dyDescent="0.55000000000000004">
      <c r="A199" s="90">
        <v>44937</v>
      </c>
      <c r="B199" s="91">
        <v>6230.7998049999997</v>
      </c>
      <c r="C199" s="91">
        <v>6216.7998049999997</v>
      </c>
      <c r="D199" s="91">
        <v>6040.5590819999998</v>
      </c>
      <c r="E199" s="91">
        <v>109176</v>
      </c>
      <c r="F199" s="91">
        <v>2.7000000000000001E-3</v>
      </c>
      <c r="H199" s="90">
        <v>44937</v>
      </c>
      <c r="I199" s="91">
        <v>1177.978394</v>
      </c>
      <c r="J199" s="91">
        <v>1165.817871</v>
      </c>
      <c r="K199" s="91">
        <v>1153.179077</v>
      </c>
      <c r="L199" s="91">
        <v>11509553</v>
      </c>
      <c r="M199" s="91">
        <v>-1.26E-2</v>
      </c>
      <c r="O199" s="90">
        <v>44937</v>
      </c>
      <c r="P199" s="91">
        <v>783.97497559999999</v>
      </c>
      <c r="Q199" s="91">
        <v>795.45001219999995</v>
      </c>
      <c r="R199" s="91">
        <v>765.48974610000005</v>
      </c>
      <c r="S199" s="91">
        <v>15195798</v>
      </c>
      <c r="T199" s="91">
        <v>1.44E-2</v>
      </c>
      <c r="V199" s="90">
        <v>44937</v>
      </c>
      <c r="W199" s="91">
        <v>1470</v>
      </c>
      <c r="X199" s="91">
        <v>1471.25</v>
      </c>
      <c r="Y199" s="91">
        <v>1349.3236079999999</v>
      </c>
      <c r="Z199" s="91">
        <v>6173092</v>
      </c>
      <c r="AA199" s="91">
        <v>1E-3</v>
      </c>
      <c r="AB199" s="91"/>
      <c r="AC199" s="90">
        <v>44937</v>
      </c>
      <c r="AD199" s="91">
        <v>1230.099976</v>
      </c>
      <c r="AE199" s="91">
        <v>1210.6999510000001</v>
      </c>
      <c r="AF199" s="91">
        <v>1207.0479740000001</v>
      </c>
      <c r="AG199" s="91">
        <v>680945</v>
      </c>
      <c r="AH199" s="91">
        <v>-1.06E-2</v>
      </c>
      <c r="AI199" s="91"/>
      <c r="AJ199" s="91">
        <f>(F199*'Part 3 Portfolio Analysis'!$B$8+M199*'Part 3 Portfolio Analysis'!$C$8+T199*'Part 3 Portfolio Analysis'!$D$8+AA199*'Part 3 Portfolio Analysis'!$E$8+AH199*'Part 3 Portfolio Analysis'!$F$8)/100</f>
        <v>-1.2978133441441909E-3</v>
      </c>
      <c r="AK199" s="91">
        <f>'Part 3 Portfolio Analysis'!$B$107*F199+M199*'Part 3 Portfolio Analysis'!$C$107+T199*'Part 3 Portfolio Analysis'!$D$107+AA199*'Part 3 Portfolio Analysis'!$E$107+AH199*'Part 3 Portfolio Analysis'!$F$107</f>
        <v>-3.797E-3</v>
      </c>
      <c r="AL199" s="91">
        <f>F199*'Part 3 Portfolio Analysis'!$B$121+M199*'Part 3 Portfolio Analysis'!$C$121+'Part 3 Portfolio Analysis'!$D$121*T199+AA199*'Part 3 Portfolio Analysis'!$E$121+'Part 3 Portfolio Analysis'!$F$121*AH199</f>
        <v>-1.2259399999999994E-3</v>
      </c>
      <c r="AM199" s="91"/>
      <c r="AN199" s="90">
        <v>44937</v>
      </c>
      <c r="AO199" s="91">
        <v>17924.25</v>
      </c>
      <c r="AP199" s="91">
        <v>17895.699219999999</v>
      </c>
      <c r="AQ199" s="91">
        <v>17895.699219999999</v>
      </c>
      <c r="AR199" s="91">
        <v>259900</v>
      </c>
      <c r="AS199" s="91">
        <v>-1E-3</v>
      </c>
    </row>
    <row r="200" spans="1:45" x14ac:dyDescent="0.55000000000000004">
      <c r="A200" s="90">
        <v>44938</v>
      </c>
      <c r="B200" s="91">
        <v>6217.6000979999999</v>
      </c>
      <c r="C200" s="91">
        <v>6196.6499020000001</v>
      </c>
      <c r="D200" s="91">
        <v>6020.9804690000001</v>
      </c>
      <c r="E200" s="91">
        <v>95308</v>
      </c>
      <c r="F200" s="91">
        <v>-3.2000000000000002E-3</v>
      </c>
      <c r="H200" s="90">
        <v>44938</v>
      </c>
      <c r="I200" s="91">
        <v>1165.2178960000001</v>
      </c>
      <c r="J200" s="91">
        <v>1140.6429439999999</v>
      </c>
      <c r="K200" s="91">
        <v>1128.2769780000001</v>
      </c>
      <c r="L200" s="91">
        <v>17688773</v>
      </c>
      <c r="M200" s="91">
        <v>-2.1600000000000001E-2</v>
      </c>
      <c r="O200" s="90">
        <v>44938</v>
      </c>
      <c r="P200" s="91">
        <v>793.90002440000001</v>
      </c>
      <c r="Q200" s="91">
        <v>799.70001219999995</v>
      </c>
      <c r="R200" s="91">
        <v>769.57971190000001</v>
      </c>
      <c r="S200" s="91">
        <v>9250070</v>
      </c>
      <c r="T200" s="91">
        <v>5.3E-3</v>
      </c>
      <c r="V200" s="90">
        <v>44938</v>
      </c>
      <c r="W200" s="91">
        <v>1481.9499510000001</v>
      </c>
      <c r="X200" s="91">
        <v>1480.599976</v>
      </c>
      <c r="Y200" s="91">
        <v>1357.898682</v>
      </c>
      <c r="Z200" s="91">
        <v>6591385</v>
      </c>
      <c r="AA200" s="91">
        <v>6.4000000000000003E-3</v>
      </c>
      <c r="AB200" s="91"/>
      <c r="AC200" s="90">
        <v>44938</v>
      </c>
      <c r="AD200" s="91">
        <v>1215</v>
      </c>
      <c r="AE200" s="91">
        <v>1209.5</v>
      </c>
      <c r="AF200" s="91">
        <v>1205.8516850000001</v>
      </c>
      <c r="AG200" s="91">
        <v>566434</v>
      </c>
      <c r="AH200" s="91">
        <v>-1E-3</v>
      </c>
      <c r="AI200" s="91"/>
      <c r="AJ200" s="91">
        <f>(F200*'Part 3 Portfolio Analysis'!$B$8+M200*'Part 3 Portfolio Analysis'!$C$8+T200*'Part 3 Portfolio Analysis'!$D$8+AA200*'Part 3 Portfolio Analysis'!$E$8+AH200*'Part 3 Portfolio Analysis'!$F$8)/100</f>
        <v>-6.8852623071591424E-3</v>
      </c>
      <c r="AK200" s="91">
        <f>'Part 3 Portfolio Analysis'!$B$107*F200+M200*'Part 3 Portfolio Analysis'!$C$107+T200*'Part 3 Portfolio Analysis'!$D$107+AA200*'Part 3 Portfolio Analysis'!$E$107+AH200*'Part 3 Portfolio Analysis'!$F$107</f>
        <v>-6.1272999999999996E-3</v>
      </c>
      <c r="AL200" s="91">
        <f>F200*'Part 3 Portfolio Analysis'!$B$121+M200*'Part 3 Portfolio Analysis'!$C$121+'Part 3 Portfolio Analysis'!$D$121*T200+AA200*'Part 3 Portfolio Analysis'!$E$121+'Part 3 Portfolio Analysis'!$F$121*AH200</f>
        <v>-6.6309999999999989E-3</v>
      </c>
      <c r="AM200" s="91"/>
      <c r="AN200" s="90">
        <v>44938</v>
      </c>
      <c r="AO200" s="91">
        <v>17920.849610000001</v>
      </c>
      <c r="AP200" s="91">
        <v>17858.199219999999</v>
      </c>
      <c r="AQ200" s="91">
        <v>17858.199219999999</v>
      </c>
      <c r="AR200" s="91">
        <v>227800</v>
      </c>
      <c r="AS200" s="91">
        <v>-2.0999999999999999E-3</v>
      </c>
    </row>
    <row r="201" spans="1:45" x14ac:dyDescent="0.55000000000000004">
      <c r="A201" s="90">
        <v>44939</v>
      </c>
      <c r="B201" s="91">
        <v>6225</v>
      </c>
      <c r="C201" s="91">
        <v>6242.25</v>
      </c>
      <c r="D201" s="91">
        <v>6065.2875979999999</v>
      </c>
      <c r="E201" s="91">
        <v>91031</v>
      </c>
      <c r="F201" s="91">
        <v>7.4000000000000003E-3</v>
      </c>
      <c r="H201" s="90">
        <v>44939</v>
      </c>
      <c r="I201" s="91">
        <v>1134.5511469999999</v>
      </c>
      <c r="J201" s="91">
        <v>1138.7969969999999</v>
      </c>
      <c r="K201" s="91">
        <v>1126.451172</v>
      </c>
      <c r="L201" s="91">
        <v>20618583</v>
      </c>
      <c r="M201" s="91">
        <v>-1.6000000000000001E-3</v>
      </c>
      <c r="O201" s="90">
        <v>44939</v>
      </c>
      <c r="P201" s="91">
        <v>799.375</v>
      </c>
      <c r="Q201" s="91">
        <v>800.32501219999995</v>
      </c>
      <c r="R201" s="91">
        <v>770.18121340000005</v>
      </c>
      <c r="S201" s="91">
        <v>9244546</v>
      </c>
      <c r="T201" s="91">
        <v>8.0000000000000004E-4</v>
      </c>
      <c r="V201" s="90">
        <v>44939</v>
      </c>
      <c r="W201" s="91">
        <v>1483.5</v>
      </c>
      <c r="X201" s="91">
        <v>1503.650024</v>
      </c>
      <c r="Y201" s="91">
        <v>1379.0386960000001</v>
      </c>
      <c r="Z201" s="91">
        <v>11610426</v>
      </c>
      <c r="AA201" s="91">
        <v>1.5599999999999999E-2</v>
      </c>
      <c r="AB201" s="91"/>
      <c r="AC201" s="90">
        <v>44939</v>
      </c>
      <c r="AD201" s="91">
        <v>1214</v>
      </c>
      <c r="AE201" s="91">
        <v>1205.400024</v>
      </c>
      <c r="AF201" s="91">
        <v>1201.764038</v>
      </c>
      <c r="AG201" s="91">
        <v>819106</v>
      </c>
      <c r="AH201" s="91">
        <v>-3.3999999999999998E-3</v>
      </c>
      <c r="AI201" s="91"/>
      <c r="AJ201" s="91">
        <f>(F201*'Part 3 Portfolio Analysis'!$B$8+M201*'Part 3 Portfolio Analysis'!$C$8+T201*'Part 3 Portfolio Analysis'!$D$8+AA201*'Part 3 Portfolio Analysis'!$E$8+AH201*'Part 3 Portfolio Analysis'!$F$8)/100</f>
        <v>4.2508154089599343E-3</v>
      </c>
      <c r="AK201" s="91">
        <f>'Part 3 Portfolio Analysis'!$B$107*F201+M201*'Part 3 Portfolio Analysis'!$C$107+T201*'Part 3 Portfolio Analysis'!$D$107+AA201*'Part 3 Portfolio Analysis'!$E$107+AH201*'Part 3 Portfolio Analysis'!$F$107</f>
        <v>1.6584E-3</v>
      </c>
      <c r="AL201" s="91">
        <f>F201*'Part 3 Portfolio Analysis'!$B$121+M201*'Part 3 Portfolio Analysis'!$C$121+'Part 3 Portfolio Analysis'!$D$121*T201+AA201*'Part 3 Portfolio Analysis'!$E$121+'Part 3 Portfolio Analysis'!$F$121*AH201</f>
        <v>3.1854399999999999E-3</v>
      </c>
      <c r="AM201" s="91"/>
      <c r="AN201" s="90">
        <v>44939</v>
      </c>
      <c r="AO201" s="91">
        <v>17867.5</v>
      </c>
      <c r="AP201" s="91">
        <v>17956.599610000001</v>
      </c>
      <c r="AQ201" s="91">
        <v>17956.599610000001</v>
      </c>
      <c r="AR201" s="91">
        <v>256700</v>
      </c>
      <c r="AS201" s="91">
        <v>5.4999999999999997E-3</v>
      </c>
    </row>
    <row r="202" spans="1:45" x14ac:dyDescent="0.55000000000000004">
      <c r="A202" s="90">
        <v>44942</v>
      </c>
      <c r="B202" s="91">
        <v>6251</v>
      </c>
      <c r="C202" s="91">
        <v>6252.8500979999999</v>
      </c>
      <c r="D202" s="91">
        <v>6075.5869140000004</v>
      </c>
      <c r="E202" s="91">
        <v>81340</v>
      </c>
      <c r="F202" s="91">
        <v>1.6999999999999999E-3</v>
      </c>
      <c r="H202" s="90">
        <v>44942</v>
      </c>
      <c r="I202" s="91">
        <v>1141.150635</v>
      </c>
      <c r="J202" s="91">
        <v>1127.9517820000001</v>
      </c>
      <c r="K202" s="91">
        <v>1115.723389</v>
      </c>
      <c r="L202" s="91">
        <v>13623855</v>
      </c>
      <c r="M202" s="91">
        <v>-9.4999999999999998E-3</v>
      </c>
      <c r="O202" s="90">
        <v>44942</v>
      </c>
      <c r="P202" s="91">
        <v>807.5</v>
      </c>
      <c r="Q202" s="91">
        <v>792.65002440000001</v>
      </c>
      <c r="R202" s="91">
        <v>762.79528809999999</v>
      </c>
      <c r="S202" s="91">
        <v>14748094</v>
      </c>
      <c r="T202" s="91">
        <v>-9.5999999999999992E-3</v>
      </c>
      <c r="V202" s="90">
        <v>44942</v>
      </c>
      <c r="W202" s="91">
        <v>1510</v>
      </c>
      <c r="X202" s="91">
        <v>1525.5</v>
      </c>
      <c r="Y202" s="91">
        <v>1399.0780030000001</v>
      </c>
      <c r="Z202" s="91">
        <v>6073063</v>
      </c>
      <c r="AA202" s="91">
        <v>1.4500000000000001E-2</v>
      </c>
      <c r="AB202" s="91"/>
      <c r="AC202" s="90">
        <v>44942</v>
      </c>
      <c r="AD202" s="91">
        <v>1206.9499510000001</v>
      </c>
      <c r="AE202" s="91">
        <v>1197.400024</v>
      </c>
      <c r="AF202" s="91">
        <v>1193.788086</v>
      </c>
      <c r="AG202" s="91">
        <v>372068</v>
      </c>
      <c r="AH202" s="91">
        <v>-6.6E-3</v>
      </c>
      <c r="AI202" s="91"/>
      <c r="AJ202" s="91">
        <f>(F202*'Part 3 Portfolio Analysis'!$B$8+M202*'Part 3 Portfolio Analysis'!$C$8+T202*'Part 3 Portfolio Analysis'!$D$8+AA202*'Part 3 Portfolio Analysis'!$E$8+AH202*'Part 3 Portfolio Analysis'!$F$8)/100</f>
        <v>-2.2659321618664417E-3</v>
      </c>
      <c r="AK202" s="91">
        <f>'Part 3 Portfolio Analysis'!$B$107*F202+M202*'Part 3 Portfolio Analysis'!$C$107+T202*'Part 3 Portfolio Analysis'!$D$107+AA202*'Part 3 Portfolio Analysis'!$E$107+AH202*'Part 3 Portfolio Analysis'!$F$107</f>
        <v>-4.3687000000000005E-3</v>
      </c>
      <c r="AL202" s="91">
        <f>F202*'Part 3 Portfolio Analysis'!$B$121+M202*'Part 3 Portfolio Analysis'!$C$121+'Part 3 Portfolio Analysis'!$D$121*T202+AA202*'Part 3 Portfolio Analysis'!$E$121+'Part 3 Portfolio Analysis'!$F$121*AH202</f>
        <v>-3.7305799999999994E-3</v>
      </c>
      <c r="AM202" s="91"/>
      <c r="AN202" s="90">
        <v>44942</v>
      </c>
      <c r="AO202" s="91">
        <v>18033.150389999999</v>
      </c>
      <c r="AP202" s="91">
        <v>17894.849610000001</v>
      </c>
      <c r="AQ202" s="91">
        <v>17894.849610000001</v>
      </c>
      <c r="AR202" s="91">
        <v>206200</v>
      </c>
      <c r="AS202" s="91">
        <v>-3.3999999999999998E-3</v>
      </c>
    </row>
    <row r="203" spans="1:45" x14ac:dyDescent="0.55000000000000004">
      <c r="A203" s="90">
        <v>44943</v>
      </c>
      <c r="B203" s="91">
        <v>6277</v>
      </c>
      <c r="C203" s="91">
        <v>6254.75</v>
      </c>
      <c r="D203" s="91">
        <v>6077.4335940000001</v>
      </c>
      <c r="E203" s="91">
        <v>58291</v>
      </c>
      <c r="F203" s="91">
        <v>2.9999999999999997E-4</v>
      </c>
      <c r="H203" s="90">
        <v>44943</v>
      </c>
      <c r="I203" s="91">
        <v>1134.366577</v>
      </c>
      <c r="J203" s="91">
        <v>1143.9658199999999</v>
      </c>
      <c r="K203" s="91">
        <v>1131.5639650000001</v>
      </c>
      <c r="L203" s="91">
        <v>10751000</v>
      </c>
      <c r="M203" s="91">
        <v>1.4200000000000001E-2</v>
      </c>
      <c r="O203" s="90">
        <v>44943</v>
      </c>
      <c r="P203" s="91">
        <v>794.90002440000001</v>
      </c>
      <c r="Q203" s="91">
        <v>804.45001219999995</v>
      </c>
      <c r="R203" s="91">
        <v>774.15075679999995</v>
      </c>
      <c r="S203" s="91">
        <v>10786354</v>
      </c>
      <c r="T203" s="91">
        <v>1.49E-2</v>
      </c>
      <c r="V203" s="90">
        <v>44943</v>
      </c>
      <c r="W203" s="91">
        <v>1527</v>
      </c>
      <c r="X203" s="91">
        <v>1539.5</v>
      </c>
      <c r="Y203" s="91">
        <v>1411.9174800000001</v>
      </c>
      <c r="Z203" s="91">
        <v>5922644</v>
      </c>
      <c r="AA203" s="91">
        <v>9.1999999999999998E-3</v>
      </c>
      <c r="AB203" s="91"/>
      <c r="AC203" s="90">
        <v>44943</v>
      </c>
      <c r="AD203" s="91">
        <v>1199.9499510000001</v>
      </c>
      <c r="AE203" s="91">
        <v>1193.099976</v>
      </c>
      <c r="AF203" s="91">
        <v>1189.5010990000001</v>
      </c>
      <c r="AG203" s="91">
        <v>528204</v>
      </c>
      <c r="AH203" s="91">
        <v>-3.5999999999999999E-3</v>
      </c>
      <c r="AI203" s="91"/>
      <c r="AJ203" s="91">
        <f>(F203*'Part 3 Portfolio Analysis'!$B$8+M203*'Part 3 Portfolio Analysis'!$C$8+T203*'Part 3 Portfolio Analysis'!$D$8+AA203*'Part 3 Portfolio Analysis'!$E$8+AH203*'Part 3 Portfolio Analysis'!$F$8)/100</f>
        <v>9.1681310177173098E-3</v>
      </c>
      <c r="AK203" s="91">
        <f>'Part 3 Portfolio Analysis'!$B$107*F203+M203*'Part 3 Portfolio Analysis'!$C$107+T203*'Part 3 Portfolio Analysis'!$D$107+AA203*'Part 3 Portfolio Analysis'!$E$107+AH203*'Part 3 Portfolio Analysis'!$F$107</f>
        <v>6.8208999999999995E-3</v>
      </c>
      <c r="AL203" s="91">
        <f>F203*'Part 3 Portfolio Analysis'!$B$121+M203*'Part 3 Portfolio Analysis'!$C$121+'Part 3 Portfolio Analysis'!$D$121*T203+AA203*'Part 3 Portfolio Analysis'!$E$121+'Part 3 Portfolio Analysis'!$F$121*AH203</f>
        <v>1.1781460000000001E-2</v>
      </c>
      <c r="AM203" s="91"/>
      <c r="AN203" s="90">
        <v>44943</v>
      </c>
      <c r="AO203" s="91">
        <v>17922.800780000001</v>
      </c>
      <c r="AP203" s="91">
        <v>18053.300780000001</v>
      </c>
      <c r="AQ203" s="91">
        <v>18053.300780000001</v>
      </c>
      <c r="AR203" s="91">
        <v>219100</v>
      </c>
      <c r="AS203" s="91">
        <v>8.8999999999999999E-3</v>
      </c>
    </row>
    <row r="204" spans="1:45" x14ac:dyDescent="0.55000000000000004">
      <c r="A204" s="90">
        <v>44944</v>
      </c>
      <c r="B204" s="91">
        <v>6270</v>
      </c>
      <c r="C204" s="91">
        <v>6262.8999020000001</v>
      </c>
      <c r="D204" s="91">
        <v>6085.3515630000002</v>
      </c>
      <c r="E204" s="91">
        <v>64601</v>
      </c>
      <c r="F204" s="91">
        <v>1.2999999999999999E-3</v>
      </c>
      <c r="H204" s="90">
        <v>44944</v>
      </c>
      <c r="I204" s="91">
        <v>1141.5198969999999</v>
      </c>
      <c r="J204" s="91">
        <v>1142.0736079999999</v>
      </c>
      <c r="K204" s="91">
        <v>1129.692139</v>
      </c>
      <c r="L204" s="91">
        <v>13448286</v>
      </c>
      <c r="M204" s="91">
        <v>-1.6999999999999999E-3</v>
      </c>
      <c r="O204" s="90">
        <v>44944</v>
      </c>
      <c r="P204" s="91">
        <v>802.5</v>
      </c>
      <c r="Q204" s="91">
        <v>818.65002440000001</v>
      </c>
      <c r="R204" s="91">
        <v>787.81597899999997</v>
      </c>
      <c r="S204" s="91">
        <v>19090642</v>
      </c>
      <c r="T204" s="91">
        <v>1.77E-2</v>
      </c>
      <c r="V204" s="90">
        <v>44944</v>
      </c>
      <c r="W204" s="91">
        <v>1544.75</v>
      </c>
      <c r="X204" s="91">
        <v>1545.400024</v>
      </c>
      <c r="Y204" s="91">
        <v>1417.3287350000001</v>
      </c>
      <c r="Z204" s="91">
        <v>5843098</v>
      </c>
      <c r="AA204" s="91">
        <v>3.8E-3</v>
      </c>
      <c r="AB204" s="91"/>
      <c r="AC204" s="90">
        <v>44944</v>
      </c>
      <c r="AD204" s="91">
        <v>1198</v>
      </c>
      <c r="AE204" s="91">
        <v>1222.8000489999999</v>
      </c>
      <c r="AF204" s="91">
        <v>1219.111572</v>
      </c>
      <c r="AG204" s="91">
        <v>802598</v>
      </c>
      <c r="AH204" s="91">
        <v>2.4899999999999999E-2</v>
      </c>
      <c r="AI204" s="91"/>
      <c r="AJ204" s="91">
        <f>(F204*'Part 3 Portfolio Analysis'!$B$8+M204*'Part 3 Portfolio Analysis'!$C$8+T204*'Part 3 Portfolio Analysis'!$D$8+AA204*'Part 3 Portfolio Analysis'!$E$8+AH204*'Part 3 Portfolio Analysis'!$F$8)/100</f>
        <v>3.5812786978147242E-3</v>
      </c>
      <c r="AK204" s="91">
        <f>'Part 3 Portfolio Analysis'!$B$107*F204+M204*'Part 3 Portfolio Analysis'!$C$107+T204*'Part 3 Portfolio Analysis'!$D$107+AA204*'Part 3 Portfolio Analysis'!$E$107+AH204*'Part 3 Portfolio Analysis'!$F$107</f>
        <v>9.1001999999999993E-3</v>
      </c>
      <c r="AL204" s="91">
        <f>F204*'Part 3 Portfolio Analysis'!$B$121+M204*'Part 3 Portfolio Analysis'!$C$121+'Part 3 Portfolio Analysis'!$D$121*T204+AA204*'Part 3 Portfolio Analysis'!$E$121+'Part 3 Portfolio Analysis'!$F$121*AH204</f>
        <v>5.6203200000000016E-3</v>
      </c>
      <c r="AM204" s="91"/>
      <c r="AN204" s="90">
        <v>44944</v>
      </c>
      <c r="AO204" s="91">
        <v>18074.300780000001</v>
      </c>
      <c r="AP204" s="91">
        <v>18165.349610000001</v>
      </c>
      <c r="AQ204" s="91">
        <v>18165.349610000001</v>
      </c>
      <c r="AR204" s="91">
        <v>255800</v>
      </c>
      <c r="AS204" s="91">
        <v>6.1999999999999998E-3</v>
      </c>
    </row>
    <row r="205" spans="1:45" x14ac:dyDescent="0.55000000000000004">
      <c r="A205" s="90">
        <v>44945</v>
      </c>
      <c r="B205" s="91">
        <v>6283</v>
      </c>
      <c r="C205" s="91">
        <v>6301.6499020000001</v>
      </c>
      <c r="D205" s="91">
        <v>6123.0039059999999</v>
      </c>
      <c r="E205" s="91">
        <v>220851</v>
      </c>
      <c r="F205" s="91">
        <v>6.1999999999999998E-3</v>
      </c>
      <c r="H205" s="90">
        <v>44945</v>
      </c>
      <c r="I205" s="91">
        <v>1141.2429199999999</v>
      </c>
      <c r="J205" s="91">
        <v>1140.8507079999999</v>
      </c>
      <c r="K205" s="91">
        <v>1128.482544</v>
      </c>
      <c r="L205" s="91">
        <v>11940054</v>
      </c>
      <c r="M205" s="91">
        <v>-1.1000000000000001E-3</v>
      </c>
      <c r="O205" s="90">
        <v>44945</v>
      </c>
      <c r="P205" s="91">
        <v>818.5</v>
      </c>
      <c r="Q205" s="91">
        <v>822.04998780000005</v>
      </c>
      <c r="R205" s="91">
        <v>791.08795169999996</v>
      </c>
      <c r="S205" s="91">
        <v>11172162</v>
      </c>
      <c r="T205" s="91">
        <v>4.1999999999999997E-3</v>
      </c>
      <c r="V205" s="90">
        <v>44945</v>
      </c>
      <c r="W205" s="91">
        <v>1539.900024</v>
      </c>
      <c r="X205" s="91">
        <v>1538.900024</v>
      </c>
      <c r="Y205" s="91">
        <v>1411.3673100000001</v>
      </c>
      <c r="Z205" s="91">
        <v>6165284</v>
      </c>
      <c r="AA205" s="91">
        <v>-4.1999999999999997E-3</v>
      </c>
      <c r="AB205" s="91"/>
      <c r="AC205" s="90">
        <v>44945</v>
      </c>
      <c r="AD205" s="91">
        <v>1222.9499510000001</v>
      </c>
      <c r="AE205" s="91">
        <v>1198.3000489999999</v>
      </c>
      <c r="AF205" s="91">
        <v>1194.685303</v>
      </c>
      <c r="AG205" s="91">
        <v>334432</v>
      </c>
      <c r="AH205" s="91">
        <v>-0.02</v>
      </c>
      <c r="AI205" s="91"/>
      <c r="AJ205" s="91">
        <f>(F205*'Part 3 Portfolio Analysis'!$B$8+M205*'Part 3 Portfolio Analysis'!$C$8+T205*'Part 3 Portfolio Analysis'!$D$8+AA205*'Part 3 Portfolio Analysis'!$E$8+AH205*'Part 3 Portfolio Analysis'!$F$8)/100</f>
        <v>1.2904922660226651E-3</v>
      </c>
      <c r="AK205" s="91">
        <f>'Part 3 Portfolio Analysis'!$B$107*F205+M205*'Part 3 Portfolio Analysis'!$C$107+T205*'Part 3 Portfolio Analysis'!$D$107+AA205*'Part 3 Portfolio Analysis'!$E$107+AH205*'Part 3 Portfolio Analysis'!$F$107</f>
        <v>-4.0373000000000006E-3</v>
      </c>
      <c r="AL205" s="91">
        <f>F205*'Part 3 Portfolio Analysis'!$B$121+M205*'Part 3 Portfolio Analysis'!$C$121+'Part 3 Portfolio Analysis'!$D$121*T205+AA205*'Part 3 Portfolio Analysis'!$E$121+'Part 3 Portfolio Analysis'!$F$121*AH205</f>
        <v>-1.7352000000000003E-4</v>
      </c>
      <c r="AM205" s="91"/>
      <c r="AN205" s="90">
        <v>44945</v>
      </c>
      <c r="AO205" s="91">
        <v>18119.800780000001</v>
      </c>
      <c r="AP205" s="91">
        <v>18107.849610000001</v>
      </c>
      <c r="AQ205" s="91">
        <v>18107.849610000001</v>
      </c>
      <c r="AR205" s="91">
        <v>237800</v>
      </c>
      <c r="AS205" s="91">
        <v>-3.2000000000000002E-3</v>
      </c>
    </row>
    <row r="206" spans="1:45" x14ac:dyDescent="0.55000000000000004">
      <c r="A206" s="90">
        <v>44946</v>
      </c>
      <c r="B206" s="91">
        <v>6301</v>
      </c>
      <c r="C206" s="91">
        <v>6378.2998049999997</v>
      </c>
      <c r="D206" s="91">
        <v>6197.4804690000001</v>
      </c>
      <c r="E206" s="91">
        <v>145009</v>
      </c>
      <c r="F206" s="91">
        <v>1.2200000000000001E-2</v>
      </c>
      <c r="H206" s="90">
        <v>44946</v>
      </c>
      <c r="I206" s="91">
        <v>1142.2120359999999</v>
      </c>
      <c r="J206" s="91">
        <v>1127.2825929999999</v>
      </c>
      <c r="K206" s="91">
        <v>1115.0615230000001</v>
      </c>
      <c r="L206" s="91">
        <v>14930286</v>
      </c>
      <c r="M206" s="91">
        <v>-1.1900000000000001E-2</v>
      </c>
      <c r="O206" s="90">
        <v>44946</v>
      </c>
      <c r="P206" s="91">
        <v>822.04998780000005</v>
      </c>
      <c r="Q206" s="91">
        <v>830.47497559999999</v>
      </c>
      <c r="R206" s="91">
        <v>799.19555660000003</v>
      </c>
      <c r="S206" s="91">
        <v>18843404</v>
      </c>
      <c r="T206" s="91">
        <v>1.0200000000000001E-2</v>
      </c>
      <c r="V206" s="90">
        <v>44946</v>
      </c>
      <c r="W206" s="91">
        <v>1538</v>
      </c>
      <c r="X206" s="91">
        <v>1525.5500489999999</v>
      </c>
      <c r="Y206" s="91">
        <v>1399.123779</v>
      </c>
      <c r="Z206" s="91">
        <v>6496429</v>
      </c>
      <c r="AA206" s="91">
        <v>-8.6999999999999994E-3</v>
      </c>
      <c r="AB206" s="91"/>
      <c r="AC206" s="90">
        <v>44946</v>
      </c>
      <c r="AD206" s="91">
        <v>1204.599976</v>
      </c>
      <c r="AE206" s="91">
        <v>1182.3000489999999</v>
      </c>
      <c r="AF206" s="91">
        <v>1178.7337649999999</v>
      </c>
      <c r="AG206" s="91">
        <v>373948</v>
      </c>
      <c r="AH206" s="91">
        <v>-1.34E-2</v>
      </c>
      <c r="AI206" s="91"/>
      <c r="AJ206" s="91">
        <f>(F206*'Part 3 Portfolio Analysis'!$B$8+M206*'Part 3 Portfolio Analysis'!$C$8+T206*'Part 3 Portfolio Analysis'!$D$8+AA206*'Part 3 Portfolio Analysis'!$E$8+AH206*'Part 3 Portfolio Analysis'!$F$8)/100</f>
        <v>-4.8311229197453559E-4</v>
      </c>
      <c r="AK206" s="91">
        <f>'Part 3 Portfolio Analysis'!$B$107*F206+M206*'Part 3 Portfolio Analysis'!$C$107+T206*'Part 3 Portfolio Analysis'!$D$107+AA206*'Part 3 Portfolio Analysis'!$E$107+AH206*'Part 3 Portfolio Analysis'!$F$107</f>
        <v>-4.1945000000000003E-3</v>
      </c>
      <c r="AL206" s="91">
        <f>F206*'Part 3 Portfolio Analysis'!$B$121+M206*'Part 3 Portfolio Analysis'!$C$121+'Part 3 Portfolio Analysis'!$D$121*T206+AA206*'Part 3 Portfolio Analysis'!$E$121+'Part 3 Portfolio Analysis'!$F$121*AH206</f>
        <v>-3.3070799999999996E-3</v>
      </c>
      <c r="AM206" s="91"/>
      <c r="AN206" s="90">
        <v>44946</v>
      </c>
      <c r="AO206" s="91">
        <v>18115.599610000001</v>
      </c>
      <c r="AP206" s="91">
        <v>18027.650389999999</v>
      </c>
      <c r="AQ206" s="91">
        <v>18027.650389999999</v>
      </c>
      <c r="AR206" s="91">
        <v>237200</v>
      </c>
      <c r="AS206" s="91">
        <v>-4.4000000000000003E-3</v>
      </c>
    </row>
    <row r="207" spans="1:45" x14ac:dyDescent="0.55000000000000004">
      <c r="A207" s="90">
        <v>44949</v>
      </c>
      <c r="B207" s="91">
        <v>6412</v>
      </c>
      <c r="C207" s="91">
        <v>6655.4501950000003</v>
      </c>
      <c r="D207" s="91">
        <v>6466.7739259999998</v>
      </c>
      <c r="E207" s="91">
        <v>422749</v>
      </c>
      <c r="F207" s="91">
        <v>4.3499999999999997E-2</v>
      </c>
      <c r="H207" s="90">
        <v>44949</v>
      </c>
      <c r="I207" s="91">
        <v>1130.213135</v>
      </c>
      <c r="J207" s="91">
        <v>1121.5830080000001</v>
      </c>
      <c r="K207" s="91">
        <v>1109.423706</v>
      </c>
      <c r="L207" s="91">
        <v>10954118</v>
      </c>
      <c r="M207" s="91">
        <v>-5.1000000000000004E-3</v>
      </c>
      <c r="O207" s="90">
        <v>44949</v>
      </c>
      <c r="P207" s="91">
        <v>833.125</v>
      </c>
      <c r="Q207" s="91">
        <v>836.54998780000005</v>
      </c>
      <c r="R207" s="91">
        <v>805.04180910000002</v>
      </c>
      <c r="S207" s="91">
        <v>15444400</v>
      </c>
      <c r="T207" s="91">
        <v>7.3000000000000001E-3</v>
      </c>
      <c r="V207" s="90">
        <v>44949</v>
      </c>
      <c r="W207" s="91">
        <v>1535</v>
      </c>
      <c r="X207" s="91">
        <v>1548</v>
      </c>
      <c r="Y207" s="91">
        <v>1419.713135</v>
      </c>
      <c r="Z207" s="91">
        <v>4855020</v>
      </c>
      <c r="AA207" s="91">
        <v>1.47E-2</v>
      </c>
      <c r="AB207" s="91"/>
      <c r="AC207" s="90">
        <v>44949</v>
      </c>
      <c r="AD207" s="91">
        <v>1188.25</v>
      </c>
      <c r="AE207" s="91">
        <v>1177.25</v>
      </c>
      <c r="AF207" s="91">
        <v>1173.6987300000001</v>
      </c>
      <c r="AG207" s="91">
        <v>485408</v>
      </c>
      <c r="AH207" s="91">
        <v>-4.3E-3</v>
      </c>
      <c r="AI207" s="91"/>
      <c r="AJ207" s="91">
        <f>(F207*'Part 3 Portfolio Analysis'!$B$8+M207*'Part 3 Portfolio Analysis'!$C$8+T207*'Part 3 Portfolio Analysis'!$D$8+AA207*'Part 3 Portfolio Analysis'!$E$8+AH207*'Part 3 Portfolio Analysis'!$F$8)/100</f>
        <v>1.4742781046706101E-2</v>
      </c>
      <c r="AK207" s="91">
        <f>'Part 3 Portfolio Analysis'!$B$107*F207+M207*'Part 3 Portfolio Analysis'!$C$107+T207*'Part 3 Portfolio Analysis'!$D$107+AA207*'Part 3 Portfolio Analysis'!$E$107+AH207*'Part 3 Portfolio Analysis'!$F$107</f>
        <v>7.7515999999999974E-3</v>
      </c>
      <c r="AL207" s="91">
        <f>F207*'Part 3 Portfolio Analysis'!$B$121+M207*'Part 3 Portfolio Analysis'!$C$121+'Part 3 Portfolio Analysis'!$D$121*T207+AA207*'Part 3 Portfolio Analysis'!$E$121+'Part 3 Portfolio Analysis'!$F$121*AH207</f>
        <v>6.2486799999999995E-3</v>
      </c>
      <c r="AM207" s="91"/>
      <c r="AN207" s="90">
        <v>44949</v>
      </c>
      <c r="AO207" s="91">
        <v>18118.449219999999</v>
      </c>
      <c r="AP207" s="91">
        <v>18118.550780000001</v>
      </c>
      <c r="AQ207" s="91">
        <v>18118.550780000001</v>
      </c>
      <c r="AR207" s="91">
        <v>202500</v>
      </c>
      <c r="AS207" s="91">
        <v>5.0000000000000001E-3</v>
      </c>
    </row>
    <row r="208" spans="1:45" x14ac:dyDescent="0.55000000000000004">
      <c r="A208" s="90">
        <v>44950</v>
      </c>
      <c r="B208" s="91">
        <v>6744</v>
      </c>
      <c r="C208" s="91">
        <v>6698.8500979999999</v>
      </c>
      <c r="D208" s="91">
        <v>6508.9433589999999</v>
      </c>
      <c r="E208" s="91">
        <v>368883</v>
      </c>
      <c r="F208" s="91">
        <v>6.4999999999999997E-3</v>
      </c>
      <c r="H208" s="90">
        <v>44950</v>
      </c>
      <c r="I208" s="91">
        <v>1126.0595699999999</v>
      </c>
      <c r="J208" s="91">
        <v>1114.9605710000001</v>
      </c>
      <c r="K208" s="91">
        <v>1102.873047</v>
      </c>
      <c r="L208" s="91">
        <v>16488755</v>
      </c>
      <c r="M208" s="91">
        <v>-5.8999999999999999E-3</v>
      </c>
      <c r="O208" s="90">
        <v>44950</v>
      </c>
      <c r="P208" s="91">
        <v>837.52502440000001</v>
      </c>
      <c r="Q208" s="91">
        <v>847.75</v>
      </c>
      <c r="R208" s="91">
        <v>815.81988530000001</v>
      </c>
      <c r="S208" s="91">
        <v>24983940</v>
      </c>
      <c r="T208" s="91">
        <v>1.34E-2</v>
      </c>
      <c r="V208" s="90">
        <v>44950</v>
      </c>
      <c r="W208" s="91">
        <v>1560</v>
      </c>
      <c r="X208" s="91">
        <v>1551.900024</v>
      </c>
      <c r="Y208" s="91">
        <v>1423.2899170000001</v>
      </c>
      <c r="Z208" s="91">
        <v>5200802</v>
      </c>
      <c r="AA208" s="91">
        <v>2.5000000000000001E-3</v>
      </c>
      <c r="AB208" s="91"/>
      <c r="AC208" s="90">
        <v>44950</v>
      </c>
      <c r="AD208" s="91">
        <v>1177</v>
      </c>
      <c r="AE208" s="91">
        <v>1202.75</v>
      </c>
      <c r="AF208" s="91">
        <v>1199.121948</v>
      </c>
      <c r="AG208" s="91">
        <v>1173927</v>
      </c>
      <c r="AH208" s="91">
        <v>2.1700000000000001E-2</v>
      </c>
      <c r="AI208" s="91"/>
      <c r="AJ208" s="91">
        <f>(F208*'Part 3 Portfolio Analysis'!$B$8+M208*'Part 3 Portfolio Analysis'!$C$8+T208*'Part 3 Portfolio Analysis'!$D$8+AA208*'Part 3 Portfolio Analysis'!$E$8+AH208*'Part 3 Portfolio Analysis'!$F$8)/100</f>
        <v>2.6610783772669745E-3</v>
      </c>
      <c r="AK208" s="91">
        <f>'Part 3 Portfolio Analysis'!$B$107*F208+M208*'Part 3 Portfolio Analysis'!$C$107+T208*'Part 3 Portfolio Analysis'!$D$107+AA208*'Part 3 Portfolio Analysis'!$E$107+AH208*'Part 3 Portfolio Analysis'!$F$107</f>
        <v>7.1186999999999995E-3</v>
      </c>
      <c r="AL208" s="91">
        <f>F208*'Part 3 Portfolio Analysis'!$B$121+M208*'Part 3 Portfolio Analysis'!$C$121+'Part 3 Portfolio Analysis'!$D$121*T208+AA208*'Part 3 Portfolio Analysis'!$E$121+'Part 3 Portfolio Analysis'!$F$121*AH208</f>
        <v>2.772000000000001E-3</v>
      </c>
      <c r="AM208" s="91"/>
      <c r="AN208" s="90">
        <v>44950</v>
      </c>
      <c r="AO208" s="91">
        <v>18183.949219999999</v>
      </c>
      <c r="AP208" s="91">
        <v>18118.300780000001</v>
      </c>
      <c r="AQ208" s="91">
        <v>18118.300780000001</v>
      </c>
      <c r="AR208" s="91">
        <v>216900</v>
      </c>
      <c r="AS208" s="91">
        <v>0</v>
      </c>
    </row>
    <row r="209" spans="1:45" x14ac:dyDescent="0.55000000000000004">
      <c r="A209" s="90">
        <v>44951</v>
      </c>
      <c r="B209" s="91">
        <v>6678</v>
      </c>
      <c r="C209" s="91">
        <v>6597.2001950000003</v>
      </c>
      <c r="D209" s="91">
        <v>6410.1752930000002</v>
      </c>
      <c r="E209" s="91">
        <v>174700</v>
      </c>
      <c r="F209" s="91">
        <v>-1.52E-2</v>
      </c>
      <c r="H209" s="90">
        <v>44951</v>
      </c>
      <c r="I209" s="91">
        <v>1113.345337</v>
      </c>
      <c r="J209" s="91">
        <v>1099.5463870000001</v>
      </c>
      <c r="K209" s="91">
        <v>1087.6259769999999</v>
      </c>
      <c r="L209" s="91">
        <v>12385018</v>
      </c>
      <c r="M209" s="91">
        <v>-1.38E-2</v>
      </c>
      <c r="O209" s="90">
        <v>44951</v>
      </c>
      <c r="P209" s="91">
        <v>845.70001219999995</v>
      </c>
      <c r="Q209" s="91">
        <v>824.32501219999995</v>
      </c>
      <c r="R209" s="91">
        <v>793.2771606</v>
      </c>
      <c r="S209" s="91">
        <v>14704142</v>
      </c>
      <c r="T209" s="91">
        <v>-2.76E-2</v>
      </c>
      <c r="V209" s="90">
        <v>44951</v>
      </c>
      <c r="W209" s="91">
        <v>1547</v>
      </c>
      <c r="X209" s="91">
        <v>1543</v>
      </c>
      <c r="Y209" s="91">
        <v>1415.127563</v>
      </c>
      <c r="Z209" s="91">
        <v>4158617</v>
      </c>
      <c r="AA209" s="91">
        <v>-5.7000000000000002E-3</v>
      </c>
      <c r="AB209" s="91"/>
      <c r="AC209" s="90">
        <v>44951</v>
      </c>
      <c r="AD209" s="91">
        <v>1205.849976</v>
      </c>
      <c r="AE209" s="91">
        <v>1212.099976</v>
      </c>
      <c r="AF209" s="91">
        <v>1208.443726</v>
      </c>
      <c r="AG209" s="91">
        <v>765489</v>
      </c>
      <c r="AH209" s="91">
        <v>7.7999999999999996E-3</v>
      </c>
      <c r="AI209" s="91"/>
      <c r="AJ209" s="91">
        <f>(F209*'Part 3 Portfolio Analysis'!$B$8+M209*'Part 3 Portfolio Analysis'!$C$8+T209*'Part 3 Portfolio Analysis'!$D$8+AA209*'Part 3 Portfolio Analysis'!$E$8+AH209*'Part 3 Portfolio Analysis'!$F$8)/100</f>
        <v>-1.500734365886512E-2</v>
      </c>
      <c r="AK209" s="91">
        <f>'Part 3 Portfolio Analysis'!$B$107*F209+M209*'Part 3 Portfolio Analysis'!$C$107+T209*'Part 3 Portfolio Analysis'!$D$107+AA209*'Part 3 Portfolio Analysis'!$E$107+AH209*'Part 3 Portfolio Analysis'!$F$107</f>
        <v>-9.9378000000000001E-3</v>
      </c>
      <c r="AL209" s="91">
        <f>F209*'Part 3 Portfolio Analysis'!$B$121+M209*'Part 3 Portfolio Analysis'!$C$121+'Part 3 Portfolio Analysis'!$D$121*T209+AA209*'Part 3 Portfolio Analysis'!$E$121+'Part 3 Portfolio Analysis'!$F$121*AH209</f>
        <v>-1.5482759999999998E-2</v>
      </c>
      <c r="AM209" s="91"/>
      <c r="AN209" s="90">
        <v>44951</v>
      </c>
      <c r="AO209" s="91">
        <v>18093.349610000001</v>
      </c>
      <c r="AP209" s="91">
        <v>17891.949219999999</v>
      </c>
      <c r="AQ209" s="91">
        <v>17891.949219999999</v>
      </c>
      <c r="AR209" s="91">
        <v>257200</v>
      </c>
      <c r="AS209" s="91">
        <v>-1.2500000000000001E-2</v>
      </c>
    </row>
    <row r="210" spans="1:45" x14ac:dyDescent="0.55000000000000004">
      <c r="A210" s="90">
        <v>44953</v>
      </c>
      <c r="B210" s="91">
        <v>6700</v>
      </c>
      <c r="C210" s="91">
        <v>6664.3500979999999</v>
      </c>
      <c r="D210" s="91">
        <v>6475.4213870000003</v>
      </c>
      <c r="E210" s="91">
        <v>305450</v>
      </c>
      <c r="F210" s="91">
        <v>1.0200000000000001E-2</v>
      </c>
      <c r="H210" s="90">
        <v>44953</v>
      </c>
      <c r="I210" s="91">
        <v>1100.400269</v>
      </c>
      <c r="J210" s="91">
        <v>1078.6866460000001</v>
      </c>
      <c r="K210" s="91">
        <v>1066.992432</v>
      </c>
      <c r="L210" s="91">
        <v>25830975</v>
      </c>
      <c r="M210" s="91">
        <v>-1.9E-2</v>
      </c>
      <c r="O210" s="90">
        <v>44953</v>
      </c>
      <c r="P210" s="91">
        <v>816</v>
      </c>
      <c r="Q210" s="91">
        <v>807.90002440000001</v>
      </c>
      <c r="R210" s="91">
        <v>777.47082520000004</v>
      </c>
      <c r="S210" s="91">
        <v>35179948</v>
      </c>
      <c r="T210" s="91">
        <v>-1.9900000000000001E-2</v>
      </c>
      <c r="V210" s="90">
        <v>44953</v>
      </c>
      <c r="W210" s="91">
        <v>1546</v>
      </c>
      <c r="X210" s="91">
        <v>1519.150024</v>
      </c>
      <c r="Y210" s="91">
        <v>1393.25415</v>
      </c>
      <c r="Z210" s="91">
        <v>6209955</v>
      </c>
      <c r="AA210" s="91">
        <v>-1.55E-2</v>
      </c>
      <c r="AB210" s="91"/>
      <c r="AC210" s="90">
        <v>44953</v>
      </c>
      <c r="AD210" s="91">
        <v>1212</v>
      </c>
      <c r="AE210" s="91">
        <v>1176.3000489999999</v>
      </c>
      <c r="AF210" s="91">
        <v>1172.751831</v>
      </c>
      <c r="AG210" s="91">
        <v>1368360</v>
      </c>
      <c r="AH210" s="91">
        <v>-2.9499999999999998E-2</v>
      </c>
      <c r="AI210" s="91"/>
      <c r="AJ210" s="91">
        <f>(F210*'Part 3 Portfolio Analysis'!$B$8+M210*'Part 3 Portfolio Analysis'!$C$8+T210*'Part 3 Portfolio Analysis'!$D$8+AA210*'Part 3 Portfolio Analysis'!$E$8+AH210*'Part 3 Portfolio Analysis'!$F$8)/100</f>
        <v>-9.9294867022088132E-3</v>
      </c>
      <c r="AK210" s="91">
        <f>'Part 3 Portfolio Analysis'!$B$107*F210+M210*'Part 3 Portfolio Analysis'!$C$107+T210*'Part 3 Portfolio Analysis'!$D$107+AA210*'Part 3 Portfolio Analysis'!$E$107+AH210*'Part 3 Portfolio Analysis'!$F$107</f>
        <v>-1.6179499999999999E-2</v>
      </c>
      <c r="AL210" s="91">
        <f>F210*'Part 3 Portfolio Analysis'!$B$121+M210*'Part 3 Portfolio Analysis'!$C$121+'Part 3 Portfolio Analysis'!$D$121*T210+AA210*'Part 3 Portfolio Analysis'!$E$121+'Part 3 Portfolio Analysis'!$F$121*AH210</f>
        <v>-1.6419660000000003E-2</v>
      </c>
      <c r="AM210" s="91"/>
      <c r="AN210" s="90">
        <v>44953</v>
      </c>
      <c r="AO210" s="91">
        <v>17877.199219999999</v>
      </c>
      <c r="AP210" s="91">
        <v>17604.349610000001</v>
      </c>
      <c r="AQ210" s="91">
        <v>17604.349610000001</v>
      </c>
      <c r="AR210" s="91">
        <v>476300</v>
      </c>
      <c r="AS210" s="91">
        <v>-1.61E-2</v>
      </c>
    </row>
    <row r="211" spans="1:45" x14ac:dyDescent="0.55000000000000004">
      <c r="A211" s="90">
        <v>44956</v>
      </c>
      <c r="B211" s="91">
        <v>6655</v>
      </c>
      <c r="C211" s="91">
        <v>6578.1499020000001</v>
      </c>
      <c r="D211" s="91">
        <v>6391.6650390000004</v>
      </c>
      <c r="E211" s="91">
        <v>147520</v>
      </c>
      <c r="F211" s="91">
        <v>-1.29E-2</v>
      </c>
      <c r="H211" s="90">
        <v>44956</v>
      </c>
      <c r="I211" s="91">
        <v>1076.0792240000001</v>
      </c>
      <c r="J211" s="91">
        <v>1089.0242920000001</v>
      </c>
      <c r="K211" s="91">
        <v>1077.218018</v>
      </c>
      <c r="L211" s="91">
        <v>21772103</v>
      </c>
      <c r="M211" s="91">
        <v>9.5999999999999992E-3</v>
      </c>
      <c r="O211" s="90">
        <v>44956</v>
      </c>
      <c r="P211" s="91">
        <v>797.5</v>
      </c>
      <c r="Q211" s="91">
        <v>807.07501219999995</v>
      </c>
      <c r="R211" s="91">
        <v>776.67687990000002</v>
      </c>
      <c r="S211" s="91">
        <v>18512822</v>
      </c>
      <c r="T211" s="91">
        <v>-1E-3</v>
      </c>
      <c r="V211" s="90">
        <v>44956</v>
      </c>
      <c r="W211" s="91">
        <v>1528.8000489999999</v>
      </c>
      <c r="X211" s="91">
        <v>1538.8000489999999</v>
      </c>
      <c r="Y211" s="91">
        <v>1411.275635</v>
      </c>
      <c r="Z211" s="91">
        <v>6964719</v>
      </c>
      <c r="AA211" s="91">
        <v>1.29E-2</v>
      </c>
      <c r="AB211" s="91"/>
      <c r="AC211" s="90">
        <v>44956</v>
      </c>
      <c r="AD211" s="91">
        <v>1179.900024</v>
      </c>
      <c r="AE211" s="91">
        <v>1180.349976</v>
      </c>
      <c r="AF211" s="91">
        <v>1176.7894289999999</v>
      </c>
      <c r="AG211" s="91">
        <v>932999</v>
      </c>
      <c r="AH211" s="91">
        <v>3.3999999999999998E-3</v>
      </c>
      <c r="AI211" s="91"/>
      <c r="AJ211" s="91">
        <f>(F211*'Part 3 Portfolio Analysis'!$B$8+M211*'Part 3 Portfolio Analysis'!$C$8+T211*'Part 3 Portfolio Analysis'!$D$8+AA211*'Part 3 Portfolio Analysis'!$E$8+AH211*'Part 3 Portfolio Analysis'!$F$8)/100</f>
        <v>1.5522698558697577E-3</v>
      </c>
      <c r="AK211" s="91">
        <f>'Part 3 Portfolio Analysis'!$B$107*F211+M211*'Part 3 Portfolio Analysis'!$C$107+T211*'Part 3 Portfolio Analysis'!$D$107+AA211*'Part 3 Portfolio Analysis'!$E$107+AH211*'Part 3 Portfolio Analysis'!$F$107</f>
        <v>2.6746000000000001E-3</v>
      </c>
      <c r="AL211" s="91">
        <f>F211*'Part 3 Portfolio Analysis'!$B$121+M211*'Part 3 Portfolio Analysis'!$C$121+'Part 3 Portfolio Analysis'!$D$121*T211+AA211*'Part 3 Portfolio Analysis'!$E$121+'Part 3 Portfolio Analysis'!$F$121*AH211</f>
        <v>5.3648599999999999E-3</v>
      </c>
      <c r="AM211" s="91"/>
      <c r="AN211" s="90">
        <v>44956</v>
      </c>
      <c r="AO211" s="91">
        <v>17541.949219999999</v>
      </c>
      <c r="AP211" s="91">
        <v>17648.949219999999</v>
      </c>
      <c r="AQ211" s="91">
        <v>17648.949219999999</v>
      </c>
      <c r="AR211" s="91">
        <v>432400</v>
      </c>
      <c r="AS211" s="91">
        <v>2.5000000000000001E-3</v>
      </c>
    </row>
    <row r="212" spans="1:45" x14ac:dyDescent="0.55000000000000004">
      <c r="A212" s="90">
        <v>44957</v>
      </c>
      <c r="B212" s="91">
        <v>6580</v>
      </c>
      <c r="C212" s="91">
        <v>6632.7001950000003</v>
      </c>
      <c r="D212" s="91">
        <v>6444.6689450000003</v>
      </c>
      <c r="E212" s="91">
        <v>164980</v>
      </c>
      <c r="F212" s="91">
        <v>8.3000000000000001E-3</v>
      </c>
      <c r="H212" s="90">
        <v>44957</v>
      </c>
      <c r="I212" s="91">
        <v>1099.2926030000001</v>
      </c>
      <c r="J212" s="91">
        <v>1086.3013920000001</v>
      </c>
      <c r="K212" s="91">
        <v>1074.524414</v>
      </c>
      <c r="L212" s="91">
        <v>22691594</v>
      </c>
      <c r="M212" s="91">
        <v>-2.5000000000000001E-3</v>
      </c>
      <c r="O212" s="90">
        <v>44957</v>
      </c>
      <c r="P212" s="91">
        <v>809.84997559999999</v>
      </c>
      <c r="Q212" s="91">
        <v>801.75</v>
      </c>
      <c r="R212" s="91">
        <v>771.55249019999997</v>
      </c>
      <c r="S212" s="91">
        <v>18596244</v>
      </c>
      <c r="T212" s="91">
        <v>-6.6E-3</v>
      </c>
      <c r="V212" s="90">
        <v>44957</v>
      </c>
      <c r="W212" s="91">
        <v>1548.900024</v>
      </c>
      <c r="X212" s="91">
        <v>1533.75</v>
      </c>
      <c r="Y212" s="91">
        <v>1406.644043</v>
      </c>
      <c r="Z212" s="91">
        <v>9448126</v>
      </c>
      <c r="AA212" s="91">
        <v>-3.3E-3</v>
      </c>
      <c r="AB212" s="91"/>
      <c r="AC212" s="90">
        <v>44957</v>
      </c>
      <c r="AD212" s="91">
        <v>1180.349976</v>
      </c>
      <c r="AE212" s="91">
        <v>1196.599976</v>
      </c>
      <c r="AF212" s="91">
        <v>1192.9904790000001</v>
      </c>
      <c r="AG212" s="91">
        <v>965496</v>
      </c>
      <c r="AH212" s="91">
        <v>1.38E-2</v>
      </c>
      <c r="AI212" s="91"/>
      <c r="AJ212" s="91">
        <f>(F212*'Part 3 Portfolio Analysis'!$B$8+M212*'Part 3 Portfolio Analysis'!$C$8+T212*'Part 3 Portfolio Analysis'!$D$8+AA212*'Part 3 Portfolio Analysis'!$E$8+AH212*'Part 3 Portfolio Analysis'!$F$8)/100</f>
        <v>8.6630700221012184E-5</v>
      </c>
      <c r="AK212" s="91">
        <f>'Part 3 Portfolio Analysis'!$B$107*F212+M212*'Part 3 Portfolio Analysis'!$C$107+T212*'Part 3 Portfolio Analysis'!$D$107+AA212*'Part 3 Portfolio Analysis'!$E$107+AH212*'Part 3 Portfolio Analysis'!$F$107</f>
        <v>2.8360999999999998E-3</v>
      </c>
      <c r="AL212" s="91">
        <f>F212*'Part 3 Portfolio Analysis'!$B$121+M212*'Part 3 Portfolio Analysis'!$C$121+'Part 3 Portfolio Analysis'!$D$121*T212+AA212*'Part 3 Portfolio Analysis'!$E$121+'Part 3 Portfolio Analysis'!$F$121*AH212</f>
        <v>-2.4603800000000003E-3</v>
      </c>
      <c r="AM212" s="91"/>
      <c r="AN212" s="90">
        <v>44957</v>
      </c>
      <c r="AO212" s="91">
        <v>17731.449219999999</v>
      </c>
      <c r="AP212" s="91">
        <v>17662.150389999999</v>
      </c>
      <c r="AQ212" s="91">
        <v>17662.150389999999</v>
      </c>
      <c r="AR212" s="91">
        <v>398300</v>
      </c>
      <c r="AS212" s="91">
        <v>6.9999999999999999E-4</v>
      </c>
    </row>
    <row r="213" spans="1:45" x14ac:dyDescent="0.55000000000000004">
      <c r="A213" s="90">
        <v>44958</v>
      </c>
      <c r="B213" s="91">
        <v>6666</v>
      </c>
      <c r="C213" s="91">
        <v>6597.1499020000001</v>
      </c>
      <c r="D213" s="91">
        <v>6410.1259769999997</v>
      </c>
      <c r="E213" s="91">
        <v>221307</v>
      </c>
      <c r="F213" s="91">
        <v>-5.4000000000000003E-3</v>
      </c>
      <c r="H213" s="90">
        <v>44958</v>
      </c>
      <c r="I213" s="91">
        <v>1098.346558</v>
      </c>
      <c r="J213" s="91">
        <v>1079.863525</v>
      </c>
      <c r="K213" s="91">
        <v>1068.1563719999999</v>
      </c>
      <c r="L213" s="91">
        <v>19347800</v>
      </c>
      <c r="M213" s="91">
        <v>-5.8999999999999999E-3</v>
      </c>
      <c r="O213" s="90">
        <v>44958</v>
      </c>
      <c r="P213" s="91">
        <v>812</v>
      </c>
      <c r="Q213" s="91">
        <v>813.77502440000001</v>
      </c>
      <c r="R213" s="91">
        <v>783.12463379999997</v>
      </c>
      <c r="S213" s="91">
        <v>17302790</v>
      </c>
      <c r="T213" s="91">
        <v>1.4999999999999999E-2</v>
      </c>
      <c r="V213" s="90">
        <v>44958</v>
      </c>
      <c r="W213" s="91">
        <v>1542.1999510000001</v>
      </c>
      <c r="X213" s="91">
        <v>1551.099976</v>
      </c>
      <c r="Y213" s="91">
        <v>1422.5561520000001</v>
      </c>
      <c r="Z213" s="91">
        <v>6194199</v>
      </c>
      <c r="AA213" s="91">
        <v>1.1299999999999999E-2</v>
      </c>
      <c r="AB213" s="91"/>
      <c r="AC213" s="90">
        <v>44958</v>
      </c>
      <c r="AD213" s="91">
        <v>1204</v>
      </c>
      <c r="AE213" s="91">
        <v>1216</v>
      </c>
      <c r="AF213" s="91">
        <v>1212.331909</v>
      </c>
      <c r="AG213" s="91">
        <v>1724393</v>
      </c>
      <c r="AH213" s="91">
        <v>1.6199999999999999E-2</v>
      </c>
      <c r="AI213" s="91"/>
      <c r="AJ213" s="91">
        <f>(F213*'Part 3 Portfolio Analysis'!$B$8+M213*'Part 3 Portfolio Analysis'!$C$8+T213*'Part 3 Portfolio Analysis'!$D$8+AA213*'Part 3 Portfolio Analysis'!$E$8+AH213*'Part 3 Portfolio Analysis'!$F$8)/100</f>
        <v>7.204393305986509E-4</v>
      </c>
      <c r="AK213" s="91">
        <f>'Part 3 Portfolio Analysis'!$B$107*F213+M213*'Part 3 Portfolio Analysis'!$C$107+T213*'Part 3 Portfolio Analysis'!$D$107+AA213*'Part 3 Portfolio Analysis'!$E$107+AH213*'Part 3 Portfolio Analysis'!$F$107</f>
        <v>4.7186999999999993E-3</v>
      </c>
      <c r="AL213" s="91">
        <f>F213*'Part 3 Portfolio Analysis'!$B$121+M213*'Part 3 Portfolio Analysis'!$C$121+'Part 3 Portfolio Analysis'!$D$121*T213+AA213*'Part 3 Portfolio Analysis'!$E$121+'Part 3 Portfolio Analysis'!$F$121*AH213</f>
        <v>3.8449199999999999E-3</v>
      </c>
      <c r="AM213" s="91"/>
      <c r="AN213" s="90">
        <v>44958</v>
      </c>
      <c r="AO213" s="91">
        <v>17811.599610000001</v>
      </c>
      <c r="AP213" s="91">
        <v>17616.300780000001</v>
      </c>
      <c r="AQ213" s="91">
        <v>17616.300780000001</v>
      </c>
      <c r="AR213" s="91">
        <v>512900</v>
      </c>
      <c r="AS213" s="91">
        <v>-2.5999999999999999E-3</v>
      </c>
    </row>
    <row r="214" spans="1:45" x14ac:dyDescent="0.55000000000000004">
      <c r="A214" s="90">
        <v>44959</v>
      </c>
      <c r="B214" s="91">
        <v>6619.8500979999999</v>
      </c>
      <c r="C214" s="91">
        <v>6588.25</v>
      </c>
      <c r="D214" s="91">
        <v>6401.4785160000001</v>
      </c>
      <c r="E214" s="91">
        <v>154532</v>
      </c>
      <c r="F214" s="91">
        <v>-1.2999999999999999E-3</v>
      </c>
      <c r="H214" s="90">
        <v>44959</v>
      </c>
      <c r="I214" s="91">
        <v>1069.756592</v>
      </c>
      <c r="J214" s="91">
        <v>1073.8870850000001</v>
      </c>
      <c r="K214" s="91">
        <v>1062.244751</v>
      </c>
      <c r="L214" s="91">
        <v>13662663</v>
      </c>
      <c r="M214" s="91">
        <v>-5.4999999999999997E-3</v>
      </c>
      <c r="O214" s="90">
        <v>44959</v>
      </c>
      <c r="P214" s="91">
        <v>804.04998780000005</v>
      </c>
      <c r="Q214" s="91">
        <v>801.67498780000005</v>
      </c>
      <c r="R214" s="91">
        <v>771.4802856</v>
      </c>
      <c r="S214" s="91">
        <v>17497106</v>
      </c>
      <c r="T214" s="91">
        <v>-1.49E-2</v>
      </c>
      <c r="V214" s="90">
        <v>44959</v>
      </c>
      <c r="W214" s="91">
        <v>1552</v>
      </c>
      <c r="X214" s="91">
        <v>1583.75</v>
      </c>
      <c r="Y214" s="91">
        <v>1452.500366</v>
      </c>
      <c r="Z214" s="91">
        <v>6916834</v>
      </c>
      <c r="AA214" s="91">
        <v>2.1000000000000001E-2</v>
      </c>
      <c r="AB214" s="91"/>
      <c r="AC214" s="90">
        <v>44959</v>
      </c>
      <c r="AD214" s="91">
        <v>1215.099976</v>
      </c>
      <c r="AE214" s="91">
        <v>1210.599976</v>
      </c>
      <c r="AF214" s="91">
        <v>1206.94812</v>
      </c>
      <c r="AG214" s="91">
        <v>590000</v>
      </c>
      <c r="AH214" s="91">
        <v>-4.4000000000000003E-3</v>
      </c>
      <c r="AI214" s="91"/>
      <c r="AJ214" s="91">
        <f>(F214*'Part 3 Portfolio Analysis'!$B$8+M214*'Part 3 Portfolio Analysis'!$C$8+T214*'Part 3 Portfolio Analysis'!$D$8+AA214*'Part 3 Portfolio Analysis'!$E$8+AH214*'Part 3 Portfolio Analysis'!$F$8)/100</f>
        <v>-1.5325488254090036E-3</v>
      </c>
      <c r="AK214" s="91">
        <f>'Part 3 Portfolio Analysis'!$B$107*F214+M214*'Part 3 Portfolio Analysis'!$C$107+T214*'Part 3 Portfolio Analysis'!$D$107+AA214*'Part 3 Portfolio Analysis'!$E$107+AH214*'Part 3 Portfolio Analysis'!$F$107</f>
        <v>-3.2737999999999995E-3</v>
      </c>
      <c r="AL214" s="91">
        <f>F214*'Part 3 Portfolio Analysis'!$B$121+M214*'Part 3 Portfolio Analysis'!$C$121+'Part 3 Portfolio Analysis'!$D$121*T214+AA214*'Part 3 Portfolio Analysis'!$E$121+'Part 3 Portfolio Analysis'!$F$121*AH214</f>
        <v>-2.3827399999999991E-3</v>
      </c>
      <c r="AM214" s="91"/>
      <c r="AN214" s="90">
        <v>44959</v>
      </c>
      <c r="AO214" s="91">
        <v>17517.099610000001</v>
      </c>
      <c r="AP214" s="91">
        <v>17610.400389999999</v>
      </c>
      <c r="AQ214" s="91">
        <v>17610.400389999999</v>
      </c>
      <c r="AR214" s="91">
        <v>490100</v>
      </c>
      <c r="AS214" s="91">
        <v>-2.9999999999999997E-4</v>
      </c>
    </row>
    <row r="215" spans="1:45" x14ac:dyDescent="0.55000000000000004">
      <c r="A215" s="90">
        <v>44960</v>
      </c>
      <c r="B215" s="91">
        <v>6621.2001950000003</v>
      </c>
      <c r="C215" s="91">
        <v>6571.1499020000001</v>
      </c>
      <c r="D215" s="91">
        <v>6384.8637699999999</v>
      </c>
      <c r="E215" s="91">
        <v>121697</v>
      </c>
      <c r="F215" s="91">
        <v>-2.5999999999999999E-3</v>
      </c>
      <c r="H215" s="90">
        <v>44960</v>
      </c>
      <c r="I215" s="91">
        <v>1084.0631100000001</v>
      </c>
      <c r="J215" s="91">
        <v>1074.83313</v>
      </c>
      <c r="K215" s="91">
        <v>1063.180664</v>
      </c>
      <c r="L215" s="91">
        <v>24699575</v>
      </c>
      <c r="M215" s="91">
        <v>8.9999999999999998E-4</v>
      </c>
      <c r="O215" s="90">
        <v>44960</v>
      </c>
      <c r="P215" s="91">
        <v>805.5</v>
      </c>
      <c r="Q215" s="91">
        <v>829.40002440000001</v>
      </c>
      <c r="R215" s="91">
        <v>798.16101070000002</v>
      </c>
      <c r="S215" s="91">
        <v>14411100</v>
      </c>
      <c r="T215" s="91">
        <v>3.4599999999999999E-2</v>
      </c>
      <c r="V215" s="90">
        <v>44960</v>
      </c>
      <c r="W215" s="91">
        <v>1597.5</v>
      </c>
      <c r="X215" s="91">
        <v>1599.400024</v>
      </c>
      <c r="Y215" s="91">
        <v>1466.8535159999999</v>
      </c>
      <c r="Z215" s="91">
        <v>7040194</v>
      </c>
      <c r="AA215" s="91">
        <v>9.9000000000000008E-3</v>
      </c>
      <c r="AB215" s="91"/>
      <c r="AC215" s="90">
        <v>44960</v>
      </c>
      <c r="AD215" s="91">
        <v>1217</v>
      </c>
      <c r="AE215" s="91">
        <v>1235.650024</v>
      </c>
      <c r="AF215" s="91">
        <v>1231.9227289999999</v>
      </c>
      <c r="AG215" s="91">
        <v>304320</v>
      </c>
      <c r="AH215" s="91">
        <v>2.07E-2</v>
      </c>
      <c r="AI215" s="91"/>
      <c r="AJ215" s="91">
        <f>(F215*'Part 3 Portfolio Analysis'!$B$8+M215*'Part 3 Portfolio Analysis'!$C$8+T215*'Part 3 Portfolio Analysis'!$D$8+AA215*'Part 3 Portfolio Analysis'!$E$8+AH215*'Part 3 Portfolio Analysis'!$F$8)/100</f>
        <v>7.113507350366248E-3</v>
      </c>
      <c r="AK215" s="91">
        <f>'Part 3 Portfolio Analysis'!$B$107*F215+M215*'Part 3 Portfolio Analysis'!$C$107+T215*'Part 3 Portfolio Analysis'!$D$107+AA215*'Part 3 Portfolio Analysis'!$E$107+AH215*'Part 3 Portfolio Analysis'!$F$107</f>
        <v>1.13831E-2</v>
      </c>
      <c r="AL215" s="91">
        <f>F215*'Part 3 Portfolio Analysis'!$B$121+M215*'Part 3 Portfolio Analysis'!$C$121+'Part 3 Portfolio Analysis'!$D$121*T215+AA215*'Part 3 Portfolio Analysis'!$E$121+'Part 3 Portfolio Analysis'!$F$121*AH215</f>
        <v>1.2097460000000001E-2</v>
      </c>
      <c r="AM215" s="91"/>
      <c r="AN215" s="90">
        <v>44960</v>
      </c>
      <c r="AO215" s="91">
        <v>17721.75</v>
      </c>
      <c r="AP215" s="91">
        <v>17854.050780000001</v>
      </c>
      <c r="AQ215" s="91">
        <v>17854.050780000001</v>
      </c>
      <c r="AR215" s="91">
        <v>424100</v>
      </c>
      <c r="AS215" s="91">
        <v>1.38E-2</v>
      </c>
    </row>
    <row r="216" spans="1:45" x14ac:dyDescent="0.55000000000000004">
      <c r="A216" s="90">
        <v>44963</v>
      </c>
      <c r="B216" s="91">
        <v>6575</v>
      </c>
      <c r="C216" s="91">
        <v>6669.2001950000003</v>
      </c>
      <c r="D216" s="91">
        <v>6480.1342770000001</v>
      </c>
      <c r="E216" s="91">
        <v>140677</v>
      </c>
      <c r="F216" s="91">
        <v>1.49E-2</v>
      </c>
      <c r="H216" s="90">
        <v>44963</v>
      </c>
      <c r="I216" s="91">
        <v>1068.3720699999999</v>
      </c>
      <c r="J216" s="91">
        <v>1066.7337649999999</v>
      </c>
      <c r="K216" s="91">
        <v>1055.169189</v>
      </c>
      <c r="L216" s="91">
        <v>14837879</v>
      </c>
      <c r="M216" s="91">
        <v>-7.4999999999999997E-3</v>
      </c>
      <c r="O216" s="90">
        <v>44963</v>
      </c>
      <c r="P216" s="91">
        <v>830</v>
      </c>
      <c r="Q216" s="91">
        <v>825.875</v>
      </c>
      <c r="R216" s="91">
        <v>794.76885990000005</v>
      </c>
      <c r="S216" s="91">
        <v>11167672</v>
      </c>
      <c r="T216" s="91">
        <v>-4.1999999999999997E-3</v>
      </c>
      <c r="V216" s="90">
        <v>44963</v>
      </c>
      <c r="W216" s="91">
        <v>1598</v>
      </c>
      <c r="X216" s="91">
        <v>1569.849976</v>
      </c>
      <c r="Y216" s="91">
        <v>1439.7524410000001</v>
      </c>
      <c r="Z216" s="91">
        <v>4570612</v>
      </c>
      <c r="AA216" s="91">
        <v>-1.8499999999999999E-2</v>
      </c>
      <c r="AB216" s="91"/>
      <c r="AC216" s="90">
        <v>44963</v>
      </c>
      <c r="AD216" s="91">
        <v>1241</v>
      </c>
      <c r="AE216" s="91">
        <v>1230.099976</v>
      </c>
      <c r="AF216" s="91">
        <v>1226.389404</v>
      </c>
      <c r="AG216" s="91">
        <v>365009</v>
      </c>
      <c r="AH216" s="91">
        <v>-4.4999999999999997E-3</v>
      </c>
      <c r="AI216" s="91"/>
      <c r="AJ216" s="91">
        <f>(F216*'Part 3 Portfolio Analysis'!$B$8+M216*'Part 3 Portfolio Analysis'!$C$8+T216*'Part 3 Portfolio Analysis'!$D$8+AA216*'Part 3 Portfolio Analysis'!$E$8+AH216*'Part 3 Portfolio Analysis'!$F$8)/100</f>
        <v>-1.9704665669859063E-3</v>
      </c>
      <c r="AK216" s="91">
        <f>'Part 3 Portfolio Analysis'!$B$107*F216+M216*'Part 3 Portfolio Analysis'!$C$107+T216*'Part 3 Portfolio Analysis'!$D$107+AA216*'Part 3 Portfolio Analysis'!$E$107+AH216*'Part 3 Portfolio Analysis'!$F$107</f>
        <v>-3.3005E-3</v>
      </c>
      <c r="AL216" s="91">
        <f>F216*'Part 3 Portfolio Analysis'!$B$121+M216*'Part 3 Portfolio Analysis'!$C$121+'Part 3 Portfolio Analysis'!$D$121*T216+AA216*'Part 3 Portfolio Analysis'!$E$121+'Part 3 Portfolio Analysis'!$F$121*AH216</f>
        <v>-6.8825199999999996E-3</v>
      </c>
      <c r="AM216" s="91"/>
      <c r="AN216" s="90">
        <v>44963</v>
      </c>
      <c r="AO216" s="91">
        <v>17818.550780000001</v>
      </c>
      <c r="AP216" s="91">
        <v>17764.599610000001</v>
      </c>
      <c r="AQ216" s="91">
        <v>17764.599610000001</v>
      </c>
      <c r="AR216" s="91">
        <v>282500</v>
      </c>
      <c r="AS216" s="91">
        <v>-5.0000000000000001E-3</v>
      </c>
    </row>
    <row r="217" spans="1:45" x14ac:dyDescent="0.55000000000000004">
      <c r="A217" s="90">
        <v>44964</v>
      </c>
      <c r="B217" s="91">
        <v>6700</v>
      </c>
      <c r="C217" s="91">
        <v>6692.5</v>
      </c>
      <c r="D217" s="91">
        <v>6502.7734380000002</v>
      </c>
      <c r="E217" s="91">
        <v>137821</v>
      </c>
      <c r="F217" s="91">
        <v>3.5000000000000001E-3</v>
      </c>
      <c r="H217" s="90">
        <v>44964</v>
      </c>
      <c r="I217" s="91">
        <v>1066.9876710000001</v>
      </c>
      <c r="J217" s="91">
        <v>1064.1724850000001</v>
      </c>
      <c r="K217" s="91">
        <v>1052.63562</v>
      </c>
      <c r="L217" s="91">
        <v>15135435</v>
      </c>
      <c r="M217" s="91">
        <v>-2.3999999999999998E-3</v>
      </c>
      <c r="O217" s="90">
        <v>44964</v>
      </c>
      <c r="P217" s="91">
        <v>829.70001219999995</v>
      </c>
      <c r="Q217" s="91">
        <v>827.09997559999999</v>
      </c>
      <c r="R217" s="91">
        <v>795.94769289999999</v>
      </c>
      <c r="S217" s="91">
        <v>10264588</v>
      </c>
      <c r="T217" s="91">
        <v>1.5E-3</v>
      </c>
      <c r="V217" s="90">
        <v>44964</v>
      </c>
      <c r="W217" s="91">
        <v>1569</v>
      </c>
      <c r="X217" s="91">
        <v>1562.400024</v>
      </c>
      <c r="Y217" s="91">
        <v>1432.919922</v>
      </c>
      <c r="Z217" s="91">
        <v>4336238</v>
      </c>
      <c r="AA217" s="91">
        <v>-4.7000000000000002E-3</v>
      </c>
      <c r="AB217" s="91"/>
      <c r="AC217" s="90">
        <v>44964</v>
      </c>
      <c r="AD217" s="91">
        <v>1232.099976</v>
      </c>
      <c r="AE217" s="91">
        <v>1213.150024</v>
      </c>
      <c r="AF217" s="91">
        <v>1209.490601</v>
      </c>
      <c r="AG217" s="91">
        <v>499648</v>
      </c>
      <c r="AH217" s="91">
        <v>-1.38E-2</v>
      </c>
      <c r="AI217" s="91"/>
      <c r="AJ217" s="91">
        <f>(F217*'Part 3 Portfolio Analysis'!$B$8+M217*'Part 3 Portfolio Analysis'!$C$8+T217*'Part 3 Portfolio Analysis'!$D$8+AA217*'Part 3 Portfolio Analysis'!$E$8+AH217*'Part 3 Portfolio Analysis'!$F$8)/100</f>
        <v>-4.6099668263593116E-4</v>
      </c>
      <c r="AK217" s="91">
        <f>'Part 3 Portfolio Analysis'!$B$107*F217+M217*'Part 3 Portfolio Analysis'!$C$107+T217*'Part 3 Portfolio Analysis'!$D$107+AA217*'Part 3 Portfolio Analysis'!$E$107+AH217*'Part 3 Portfolio Analysis'!$F$107</f>
        <v>-3.8363E-3</v>
      </c>
      <c r="AL217" s="91">
        <f>F217*'Part 3 Portfolio Analysis'!$B$121+M217*'Part 3 Portfolio Analysis'!$C$121+'Part 3 Portfolio Analysis'!$D$121*T217+AA217*'Part 3 Portfolio Analysis'!$E$121+'Part 3 Portfolio Analysis'!$F$121*AH217</f>
        <v>-1.6129E-3</v>
      </c>
      <c r="AM217" s="91"/>
      <c r="AN217" s="90">
        <v>44964</v>
      </c>
      <c r="AO217" s="91">
        <v>17790.099610000001</v>
      </c>
      <c r="AP217" s="91">
        <v>17721.5</v>
      </c>
      <c r="AQ217" s="91">
        <v>17721.5</v>
      </c>
      <c r="AR217" s="91">
        <v>354400</v>
      </c>
      <c r="AS217" s="91">
        <v>-2.3999999999999998E-3</v>
      </c>
    </row>
    <row r="218" spans="1:45" x14ac:dyDescent="0.55000000000000004">
      <c r="A218" s="90">
        <v>44965</v>
      </c>
      <c r="B218" s="91">
        <v>6726</v>
      </c>
      <c r="C218" s="91">
        <v>6697.8500979999999</v>
      </c>
      <c r="D218" s="91">
        <v>6507.9716799999997</v>
      </c>
      <c r="E218" s="91">
        <v>154384</v>
      </c>
      <c r="F218" s="91">
        <v>8.0000000000000004E-4</v>
      </c>
      <c r="H218" s="90">
        <v>44965</v>
      </c>
      <c r="I218" s="91">
        <v>1067.4490969999999</v>
      </c>
      <c r="J218" s="91">
        <v>1085.424561</v>
      </c>
      <c r="K218" s="91">
        <v>1073.6573490000001</v>
      </c>
      <c r="L218" s="91">
        <v>21160332</v>
      </c>
      <c r="M218" s="91">
        <v>0.02</v>
      </c>
      <c r="O218" s="90">
        <v>44965</v>
      </c>
      <c r="P218" s="91">
        <v>827.125</v>
      </c>
      <c r="Q218" s="91">
        <v>827</v>
      </c>
      <c r="R218" s="91">
        <v>795.85137940000004</v>
      </c>
      <c r="S218" s="91">
        <v>8444826</v>
      </c>
      <c r="T218" s="91">
        <v>-1E-4</v>
      </c>
      <c r="V218" s="90">
        <v>44965</v>
      </c>
      <c r="W218" s="91">
        <v>1565.5</v>
      </c>
      <c r="X218" s="91">
        <v>1590.5</v>
      </c>
      <c r="Y218" s="91">
        <v>1458.6911620000001</v>
      </c>
      <c r="Z218" s="91">
        <v>7983338</v>
      </c>
      <c r="AA218" s="91">
        <v>1.7999999999999999E-2</v>
      </c>
      <c r="AB218" s="91"/>
      <c r="AC218" s="90">
        <v>44965</v>
      </c>
      <c r="AD218" s="91">
        <v>1212.099976</v>
      </c>
      <c r="AE218" s="91">
        <v>1236.0500489999999</v>
      </c>
      <c r="AF218" s="91">
        <v>1232.321533</v>
      </c>
      <c r="AG218" s="91">
        <v>336510</v>
      </c>
      <c r="AH218" s="91">
        <v>1.89E-2</v>
      </c>
      <c r="AI218" s="91"/>
      <c r="AJ218" s="91">
        <f>(F218*'Part 3 Portfolio Analysis'!$B$8+M218*'Part 3 Portfolio Analysis'!$C$8+T218*'Part 3 Portfolio Analysis'!$D$8+AA218*'Part 3 Portfolio Analysis'!$E$8+AH218*'Part 3 Portfolio Analysis'!$F$8)/100</f>
        <v>1.0554446625021615E-2</v>
      </c>
      <c r="AK218" s="91">
        <f>'Part 3 Portfolio Analysis'!$B$107*F218+M218*'Part 3 Portfolio Analysis'!$C$107+T218*'Part 3 Portfolio Analysis'!$D$107+AA218*'Part 3 Portfolio Analysis'!$E$107+AH218*'Part 3 Portfolio Analysis'!$F$107</f>
        <v>1.2951299999999999E-2</v>
      </c>
      <c r="AL218" s="91">
        <f>F218*'Part 3 Portfolio Analysis'!$B$121+M218*'Part 3 Portfolio Analysis'!$C$121+'Part 3 Portfolio Analysis'!$D$121*T218+AA218*'Part 3 Portfolio Analysis'!$E$121+'Part 3 Portfolio Analysis'!$F$121*AH218</f>
        <v>1.2525739999999999E-2</v>
      </c>
      <c r="AM218" s="91"/>
      <c r="AN218" s="90">
        <v>44965</v>
      </c>
      <c r="AO218" s="91">
        <v>17750.300780000001</v>
      </c>
      <c r="AP218" s="91">
        <v>17871.699219999999</v>
      </c>
      <c r="AQ218" s="91">
        <v>17871.699219999999</v>
      </c>
      <c r="AR218" s="91">
        <v>291000</v>
      </c>
      <c r="AS218" s="91">
        <v>8.5000000000000006E-3</v>
      </c>
    </row>
    <row r="219" spans="1:45" x14ac:dyDescent="0.55000000000000004">
      <c r="A219" s="90">
        <v>44966</v>
      </c>
      <c r="B219" s="91">
        <v>6700</v>
      </c>
      <c r="C219" s="91">
        <v>6685.1499020000001</v>
      </c>
      <c r="D219" s="91">
        <v>6495.6318359999996</v>
      </c>
      <c r="E219" s="91">
        <v>77303</v>
      </c>
      <c r="F219" s="91">
        <v>-1.9E-3</v>
      </c>
      <c r="H219" s="90">
        <v>44966</v>
      </c>
      <c r="I219" s="91">
        <v>1086.1168210000001</v>
      </c>
      <c r="J219" s="91">
        <v>1087.31665</v>
      </c>
      <c r="K219" s="91">
        <v>1075.5288089999999</v>
      </c>
      <c r="L219" s="91">
        <v>13172763</v>
      </c>
      <c r="M219" s="91">
        <v>1.6999999999999999E-3</v>
      </c>
      <c r="O219" s="90">
        <v>44966</v>
      </c>
      <c r="P219" s="91">
        <v>830</v>
      </c>
      <c r="Q219" s="91">
        <v>825.27502440000001</v>
      </c>
      <c r="R219" s="91">
        <v>794.1914673</v>
      </c>
      <c r="S219" s="91">
        <v>11777336</v>
      </c>
      <c r="T219" s="91">
        <v>-2.0999999999999999E-3</v>
      </c>
      <c r="V219" s="90">
        <v>44966</v>
      </c>
      <c r="W219" s="91">
        <v>1596.1999510000001</v>
      </c>
      <c r="X219" s="91">
        <v>1617</v>
      </c>
      <c r="Y219" s="91">
        <v>1482.994995</v>
      </c>
      <c r="Z219" s="91">
        <v>6904911</v>
      </c>
      <c r="AA219" s="91">
        <v>1.67E-2</v>
      </c>
      <c r="AB219" s="91"/>
      <c r="AC219" s="90">
        <v>44966</v>
      </c>
      <c r="AD219" s="91">
        <v>1290</v>
      </c>
      <c r="AE219" s="91">
        <v>1341.900024</v>
      </c>
      <c r="AF219" s="91">
        <v>1337.852173</v>
      </c>
      <c r="AG219" s="91">
        <v>4103779</v>
      </c>
      <c r="AH219" s="91">
        <v>8.5599999999999996E-2</v>
      </c>
      <c r="AI219" s="91"/>
      <c r="AJ219" s="91">
        <f>(F219*'Part 3 Portfolio Analysis'!$B$8+M219*'Part 3 Portfolio Analysis'!$C$8+T219*'Part 3 Portfolio Analysis'!$D$8+AA219*'Part 3 Portfolio Analysis'!$E$8+AH219*'Part 3 Portfolio Analysis'!$F$8)/100</f>
        <v>3.2201200586459977E-3</v>
      </c>
      <c r="AK219" s="91">
        <f>'Part 3 Portfolio Analysis'!$B$107*F219+M219*'Part 3 Portfolio Analysis'!$C$107+T219*'Part 3 Portfolio Analysis'!$D$107+AA219*'Part 3 Portfolio Analysis'!$E$107+AH219*'Part 3 Portfolio Analysis'!$F$107</f>
        <v>2.3105799999999999E-2</v>
      </c>
      <c r="AL219" s="91">
        <f>F219*'Part 3 Portfolio Analysis'!$B$121+M219*'Part 3 Portfolio Analysis'!$C$121+'Part 3 Portfolio Analysis'!$D$121*T219+AA219*'Part 3 Portfolio Analysis'!$E$121+'Part 3 Portfolio Analysis'!$F$121*AH219</f>
        <v>5.5686599999999996E-3</v>
      </c>
      <c r="AM219" s="91"/>
      <c r="AN219" s="90">
        <v>44966</v>
      </c>
      <c r="AO219" s="91">
        <v>17885.5</v>
      </c>
      <c r="AP219" s="91">
        <v>17893.449219999999</v>
      </c>
      <c r="AQ219" s="91">
        <v>17893.449219999999</v>
      </c>
      <c r="AR219" s="91">
        <v>260900</v>
      </c>
      <c r="AS219" s="91">
        <v>1.1999999999999999E-3</v>
      </c>
    </row>
    <row r="220" spans="1:45" x14ac:dyDescent="0.55000000000000004">
      <c r="A220" s="90">
        <v>44967</v>
      </c>
      <c r="B220" s="91">
        <v>6710</v>
      </c>
      <c r="C220" s="91">
        <v>6683.6499020000001</v>
      </c>
      <c r="D220" s="91">
        <v>6494.173828</v>
      </c>
      <c r="E220" s="91">
        <v>76760</v>
      </c>
      <c r="F220" s="91">
        <v>-2.0000000000000001E-4</v>
      </c>
      <c r="H220" s="90">
        <v>44967</v>
      </c>
      <c r="I220" s="91">
        <v>1086.7860109999999</v>
      </c>
      <c r="J220" s="91">
        <v>1078.3636469999999</v>
      </c>
      <c r="K220" s="91">
        <v>1066.6728519999999</v>
      </c>
      <c r="L220" s="91">
        <v>10790445</v>
      </c>
      <c r="M220" s="91">
        <v>-8.2000000000000007E-3</v>
      </c>
      <c r="O220" s="90">
        <v>44967</v>
      </c>
      <c r="P220" s="91">
        <v>824.40002440000001</v>
      </c>
      <c r="Q220" s="91">
        <v>828.54998780000005</v>
      </c>
      <c r="R220" s="91">
        <v>797.34307860000001</v>
      </c>
      <c r="S220" s="91">
        <v>8172116</v>
      </c>
      <c r="T220" s="91">
        <v>4.0000000000000001E-3</v>
      </c>
      <c r="V220" s="90">
        <v>44967</v>
      </c>
      <c r="W220" s="91">
        <v>1612.9499510000001</v>
      </c>
      <c r="X220" s="91">
        <v>1608.5500489999999</v>
      </c>
      <c r="Y220" s="91">
        <v>1475.245361</v>
      </c>
      <c r="Z220" s="91">
        <v>4786762</v>
      </c>
      <c r="AA220" s="91">
        <v>-5.1999999999999998E-3</v>
      </c>
      <c r="AB220" s="91"/>
      <c r="AC220" s="90">
        <v>44967</v>
      </c>
      <c r="AD220" s="91">
        <v>1341.900024</v>
      </c>
      <c r="AE220" s="91">
        <v>1328.8000489999999</v>
      </c>
      <c r="AF220" s="91">
        <v>1324.7917480000001</v>
      </c>
      <c r="AG220" s="91">
        <v>820161</v>
      </c>
      <c r="AH220" s="91">
        <v>-9.7999999999999997E-3</v>
      </c>
      <c r="AI220" s="91"/>
      <c r="AJ220" s="91">
        <f>(F220*'Part 3 Portfolio Analysis'!$B$8+M220*'Part 3 Portfolio Analysis'!$C$8+T220*'Part 3 Portfolio Analysis'!$D$8+AA220*'Part 3 Portfolio Analysis'!$E$8+AH220*'Part 3 Portfolio Analysis'!$F$8)/100</f>
        <v>-3.2977220999219703E-3</v>
      </c>
      <c r="AK220" s="91">
        <f>'Part 3 Portfolio Analysis'!$B$107*F220+M220*'Part 3 Portfolio Analysis'!$C$107+T220*'Part 3 Portfolio Analysis'!$D$107+AA220*'Part 3 Portfolio Analysis'!$E$107+AH220*'Part 3 Portfolio Analysis'!$F$107</f>
        <v>-4.9721999999999995E-3</v>
      </c>
      <c r="AL220" s="91">
        <f>F220*'Part 3 Portfolio Analysis'!$B$121+M220*'Part 3 Portfolio Analysis'!$C$121+'Part 3 Portfolio Analysis'!$D$121*T220+AA220*'Part 3 Portfolio Analysis'!$E$121+'Part 3 Portfolio Analysis'!$F$121*AH220</f>
        <v>-3.6659199999999996E-3</v>
      </c>
      <c r="AM220" s="91"/>
      <c r="AN220" s="90">
        <v>44967</v>
      </c>
      <c r="AO220" s="91">
        <v>17847.550780000001</v>
      </c>
      <c r="AP220" s="91">
        <v>17856.5</v>
      </c>
      <c r="AQ220" s="91">
        <v>17856.5</v>
      </c>
      <c r="AR220" s="91">
        <v>232000</v>
      </c>
      <c r="AS220" s="91">
        <v>-2.0999999999999999E-3</v>
      </c>
    </row>
    <row r="221" spans="1:45" x14ac:dyDescent="0.55000000000000004">
      <c r="A221" s="90">
        <v>44970</v>
      </c>
      <c r="B221" s="91">
        <v>6685</v>
      </c>
      <c r="C221" s="91">
        <v>6571.9501950000003</v>
      </c>
      <c r="D221" s="91">
        <v>6385.6411129999997</v>
      </c>
      <c r="E221" s="91">
        <v>69536</v>
      </c>
      <c r="F221" s="91">
        <v>-1.67E-2</v>
      </c>
      <c r="H221" s="90">
        <v>44970</v>
      </c>
      <c r="I221" s="91">
        <v>1080.001953</v>
      </c>
      <c r="J221" s="91">
        <v>1072.2257079999999</v>
      </c>
      <c r="K221" s="91">
        <v>1060.6014399999999</v>
      </c>
      <c r="L221" s="91">
        <v>10352493</v>
      </c>
      <c r="M221" s="91">
        <v>-5.7000000000000002E-3</v>
      </c>
      <c r="O221" s="90">
        <v>44970</v>
      </c>
      <c r="P221" s="91">
        <v>827.5</v>
      </c>
      <c r="Q221" s="91">
        <v>829.17498780000005</v>
      </c>
      <c r="R221" s="91">
        <v>797.94451900000001</v>
      </c>
      <c r="S221" s="91">
        <v>5736944</v>
      </c>
      <c r="T221" s="91">
        <v>8.0000000000000004E-4</v>
      </c>
      <c r="V221" s="90">
        <v>44970</v>
      </c>
      <c r="W221" s="91">
        <v>1597</v>
      </c>
      <c r="X221" s="91">
        <v>1567.4499510000001</v>
      </c>
      <c r="Y221" s="91">
        <v>1437.5513920000001</v>
      </c>
      <c r="Z221" s="91">
        <v>4001199</v>
      </c>
      <c r="AA221" s="91">
        <v>-2.5600000000000001E-2</v>
      </c>
      <c r="AB221" s="91"/>
      <c r="AC221" s="90">
        <v>44970</v>
      </c>
      <c r="AD221" s="91">
        <v>1335</v>
      </c>
      <c r="AE221" s="91">
        <v>1306.4499510000001</v>
      </c>
      <c r="AF221" s="91">
        <v>1302.509155</v>
      </c>
      <c r="AG221" s="91">
        <v>338292</v>
      </c>
      <c r="AH221" s="91">
        <v>-1.6799999999999999E-2</v>
      </c>
      <c r="AI221" s="91"/>
      <c r="AJ221" s="91">
        <f>(F221*'Part 3 Portfolio Analysis'!$B$8+M221*'Part 3 Portfolio Analysis'!$C$8+T221*'Part 3 Portfolio Analysis'!$D$8+AA221*'Part 3 Portfolio Analysis'!$E$8+AH221*'Part 3 Portfolio Analysis'!$F$8)/100</f>
        <v>-1.1226782412594068E-2</v>
      </c>
      <c r="AK221" s="91">
        <f>'Part 3 Portfolio Analysis'!$B$107*F221+M221*'Part 3 Portfolio Analysis'!$C$107+T221*'Part 3 Portfolio Analysis'!$D$107+AA221*'Part 3 Portfolio Analysis'!$E$107+AH221*'Part 3 Portfolio Analysis'!$F$107</f>
        <v>-1.14597E-2</v>
      </c>
      <c r="AL221" s="91">
        <f>F221*'Part 3 Portfolio Analysis'!$B$121+M221*'Part 3 Portfolio Analysis'!$C$121+'Part 3 Portfolio Analysis'!$D$121*T221+AA221*'Part 3 Portfolio Analysis'!$E$121+'Part 3 Portfolio Analysis'!$F$121*AH221</f>
        <v>-9.1070200000000004E-3</v>
      </c>
      <c r="AM221" s="91"/>
      <c r="AN221" s="90">
        <v>44970</v>
      </c>
      <c r="AO221" s="91">
        <v>17859.099610000001</v>
      </c>
      <c r="AP221" s="91">
        <v>17770.900389999999</v>
      </c>
      <c r="AQ221" s="91">
        <v>17770.900389999999</v>
      </c>
      <c r="AR221" s="91">
        <v>231300</v>
      </c>
      <c r="AS221" s="91">
        <v>-4.7999999999999996E-3</v>
      </c>
    </row>
    <row r="222" spans="1:45" x14ac:dyDescent="0.55000000000000004">
      <c r="A222" s="90">
        <v>44971</v>
      </c>
      <c r="B222" s="91">
        <v>6580.1000979999999</v>
      </c>
      <c r="C222" s="91">
        <v>6596.7998049999997</v>
      </c>
      <c r="D222" s="91">
        <v>6409.7861329999996</v>
      </c>
      <c r="E222" s="91">
        <v>65601</v>
      </c>
      <c r="F222" s="91">
        <v>3.8E-3</v>
      </c>
      <c r="H222" s="90">
        <v>44971</v>
      </c>
      <c r="I222" s="91">
        <v>1075.271606</v>
      </c>
      <c r="J222" s="91">
        <v>1097.492798</v>
      </c>
      <c r="K222" s="91">
        <v>1085.5947269999999</v>
      </c>
      <c r="L222" s="91">
        <v>14321920</v>
      </c>
      <c r="M222" s="91">
        <v>2.3599999999999999E-2</v>
      </c>
      <c r="O222" s="90">
        <v>44971</v>
      </c>
      <c r="P222" s="91">
        <v>832.5</v>
      </c>
      <c r="Q222" s="91">
        <v>836.84997559999999</v>
      </c>
      <c r="R222" s="91">
        <v>805.33044429999995</v>
      </c>
      <c r="S222" s="91">
        <v>10908592</v>
      </c>
      <c r="T222" s="91">
        <v>9.2999999999999992E-3</v>
      </c>
      <c r="V222" s="90">
        <v>44971</v>
      </c>
      <c r="W222" s="91">
        <v>1584.6999510000001</v>
      </c>
      <c r="X222" s="91">
        <v>1593.25</v>
      </c>
      <c r="Y222" s="91">
        <v>1461.213135</v>
      </c>
      <c r="Z222" s="91">
        <v>5043736</v>
      </c>
      <c r="AA222" s="91">
        <v>1.6500000000000001E-2</v>
      </c>
      <c r="AB222" s="91"/>
      <c r="AC222" s="90">
        <v>44971</v>
      </c>
      <c r="AD222" s="91">
        <v>1307.349976</v>
      </c>
      <c r="AE222" s="91">
        <v>1320.599976</v>
      </c>
      <c r="AF222" s="91">
        <v>1316.6163329999999</v>
      </c>
      <c r="AG222" s="91">
        <v>316603</v>
      </c>
      <c r="AH222" s="91">
        <v>1.0800000000000001E-2</v>
      </c>
      <c r="AI222" s="91"/>
      <c r="AJ222" s="91">
        <f>(F222*'Part 3 Portfolio Analysis'!$B$8+M222*'Part 3 Portfolio Analysis'!$C$8+T222*'Part 3 Portfolio Analysis'!$D$8+AA222*'Part 3 Portfolio Analysis'!$E$8+AH222*'Part 3 Portfolio Analysis'!$F$8)/100</f>
        <v>1.4006847998465554E-2</v>
      </c>
      <c r="AK222" s="91">
        <f>'Part 3 Portfolio Analysis'!$B$107*F222+M222*'Part 3 Portfolio Analysis'!$C$107+T222*'Part 3 Portfolio Analysis'!$D$107+AA222*'Part 3 Portfolio Analysis'!$E$107+AH222*'Part 3 Portfolio Analysis'!$F$107</f>
        <v>1.3883900000000001E-2</v>
      </c>
      <c r="AL222" s="91">
        <f>F222*'Part 3 Portfolio Analysis'!$B$121+M222*'Part 3 Portfolio Analysis'!$C$121+'Part 3 Portfolio Analysis'!$D$121*T222+AA222*'Part 3 Portfolio Analysis'!$E$121+'Part 3 Portfolio Analysis'!$F$121*AH222</f>
        <v>1.6327479999999998E-2</v>
      </c>
      <c r="AM222" s="91"/>
      <c r="AN222" s="90">
        <v>44971</v>
      </c>
      <c r="AO222" s="91">
        <v>17840.349610000001</v>
      </c>
      <c r="AP222" s="91">
        <v>17929.849610000001</v>
      </c>
      <c r="AQ222" s="91">
        <v>17929.849610000001</v>
      </c>
      <c r="AR222" s="91">
        <v>244500</v>
      </c>
      <c r="AS222" s="91">
        <v>8.8999999999999999E-3</v>
      </c>
    </row>
    <row r="223" spans="1:45" x14ac:dyDescent="0.55000000000000004">
      <c r="A223" s="90">
        <v>44972</v>
      </c>
      <c r="B223" s="91">
        <v>6610</v>
      </c>
      <c r="C223" s="91">
        <v>6649.9501950000003</v>
      </c>
      <c r="D223" s="91">
        <v>6461.4296880000002</v>
      </c>
      <c r="E223" s="91">
        <v>121266</v>
      </c>
      <c r="F223" s="91">
        <v>8.0999999999999996E-3</v>
      </c>
      <c r="H223" s="90">
        <v>44972</v>
      </c>
      <c r="I223" s="91">
        <v>1096.5235600000001</v>
      </c>
      <c r="J223" s="91">
        <v>1122.344482</v>
      </c>
      <c r="K223" s="91">
        <v>1110.17688</v>
      </c>
      <c r="L223" s="91">
        <v>33503591</v>
      </c>
      <c r="M223" s="91">
        <v>2.2599999999999999E-2</v>
      </c>
      <c r="O223" s="90">
        <v>44972</v>
      </c>
      <c r="P223" s="91">
        <v>839</v>
      </c>
      <c r="Q223" s="91">
        <v>835.15002440000001</v>
      </c>
      <c r="R223" s="91">
        <v>803.69451900000001</v>
      </c>
      <c r="S223" s="91">
        <v>11438712</v>
      </c>
      <c r="T223" s="91">
        <v>-2E-3</v>
      </c>
      <c r="V223" s="90">
        <v>44972</v>
      </c>
      <c r="W223" s="91">
        <v>1584</v>
      </c>
      <c r="X223" s="91">
        <v>1597.0500489999999</v>
      </c>
      <c r="Y223" s="91">
        <v>1464.6982419999999</v>
      </c>
      <c r="Z223" s="91">
        <v>3465747</v>
      </c>
      <c r="AA223" s="91">
        <v>2.3999999999999998E-3</v>
      </c>
      <c r="AB223" s="91"/>
      <c r="AC223" s="90">
        <v>44972</v>
      </c>
      <c r="AD223" s="91">
        <v>1318.5500489999999</v>
      </c>
      <c r="AE223" s="91">
        <v>1347.4499510000001</v>
      </c>
      <c r="AF223" s="91">
        <v>1343.385376</v>
      </c>
      <c r="AG223" s="91">
        <v>821781</v>
      </c>
      <c r="AH223" s="91">
        <v>2.0299999999999999E-2</v>
      </c>
      <c r="AI223" s="91"/>
      <c r="AJ223" s="91">
        <f>(F223*'Part 3 Portfolio Analysis'!$B$8+M223*'Part 3 Portfolio Analysis'!$C$8+T223*'Part 3 Portfolio Analysis'!$D$8+AA223*'Part 3 Portfolio Analysis'!$E$8+AH223*'Part 3 Portfolio Analysis'!$F$8)/100</f>
        <v>1.0873070184845329E-2</v>
      </c>
      <c r="AK223" s="91">
        <f>'Part 3 Portfolio Analysis'!$B$107*F223+M223*'Part 3 Portfolio Analysis'!$C$107+T223*'Part 3 Portfolio Analysis'!$D$107+AA223*'Part 3 Portfolio Analysis'!$E$107+AH223*'Part 3 Portfolio Analysis'!$F$107</f>
        <v>1.35774E-2</v>
      </c>
      <c r="AL223" s="91">
        <f>F223*'Part 3 Portfolio Analysis'!$B$121+M223*'Part 3 Portfolio Analysis'!$C$121+'Part 3 Portfolio Analysis'!$D$121*T223+AA223*'Part 3 Portfolio Analysis'!$E$121+'Part 3 Portfolio Analysis'!$F$121*AH223</f>
        <v>1.0616639999999998E-2</v>
      </c>
      <c r="AM223" s="91"/>
      <c r="AN223" s="90">
        <v>44972</v>
      </c>
      <c r="AO223" s="91">
        <v>17896.599610000001</v>
      </c>
      <c r="AP223" s="91">
        <v>18015.849610000001</v>
      </c>
      <c r="AQ223" s="91">
        <v>18015.849610000001</v>
      </c>
      <c r="AR223" s="91">
        <v>229300</v>
      </c>
      <c r="AS223" s="91">
        <v>4.7999999999999996E-3</v>
      </c>
    </row>
    <row r="224" spans="1:45" x14ac:dyDescent="0.55000000000000004">
      <c r="A224" s="90">
        <v>44973</v>
      </c>
      <c r="B224" s="91">
        <v>6650</v>
      </c>
      <c r="C224" s="91">
        <v>6688.75</v>
      </c>
      <c r="D224" s="91">
        <v>6499.1298829999996</v>
      </c>
      <c r="E224" s="91">
        <v>129947</v>
      </c>
      <c r="F224" s="91">
        <v>5.7999999999999996E-3</v>
      </c>
      <c r="H224" s="90">
        <v>44973</v>
      </c>
      <c r="I224" s="91">
        <v>1130.4207759999999</v>
      </c>
      <c r="J224" s="91">
        <v>1121.4676509999999</v>
      </c>
      <c r="K224" s="91">
        <v>1109.309448</v>
      </c>
      <c r="L224" s="91">
        <v>17264487</v>
      </c>
      <c r="M224" s="91">
        <v>-8.0000000000000004E-4</v>
      </c>
      <c r="O224" s="90">
        <v>44973</v>
      </c>
      <c r="P224" s="91">
        <v>836.59997559999999</v>
      </c>
      <c r="Q224" s="91">
        <v>832.125</v>
      </c>
      <c r="R224" s="91">
        <v>800.78344730000003</v>
      </c>
      <c r="S224" s="91">
        <v>8062500</v>
      </c>
      <c r="T224" s="91">
        <v>-3.5999999999999999E-3</v>
      </c>
      <c r="V224" s="90">
        <v>44973</v>
      </c>
      <c r="W224" s="91">
        <v>1600</v>
      </c>
      <c r="X224" s="91">
        <v>1601.8000489999999</v>
      </c>
      <c r="Y224" s="91">
        <v>1469.0546879999999</v>
      </c>
      <c r="Z224" s="91">
        <v>4290289</v>
      </c>
      <c r="AA224" s="91">
        <v>3.0000000000000001E-3</v>
      </c>
      <c r="AB224" s="91"/>
      <c r="AC224" s="90">
        <v>44973</v>
      </c>
      <c r="AD224" s="91">
        <v>1350</v>
      </c>
      <c r="AE224" s="91">
        <v>1363.099976</v>
      </c>
      <c r="AF224" s="91">
        <v>1358.988159</v>
      </c>
      <c r="AG224" s="91">
        <v>584385</v>
      </c>
      <c r="AH224" s="91">
        <v>1.1599999999999999E-2</v>
      </c>
      <c r="AI224" s="91"/>
      <c r="AJ224" s="91">
        <f>(F224*'Part 3 Portfolio Analysis'!$B$8+M224*'Part 3 Portfolio Analysis'!$C$8+T224*'Part 3 Portfolio Analysis'!$D$8+AA224*'Part 3 Portfolio Analysis'!$E$8+AH224*'Part 3 Portfolio Analysis'!$F$8)/100</f>
        <v>1.4456646047570681E-3</v>
      </c>
      <c r="AK224" s="91">
        <f>'Part 3 Portfolio Analysis'!$B$107*F224+M224*'Part 3 Portfolio Analysis'!$C$107+T224*'Part 3 Portfolio Analysis'!$D$107+AA224*'Part 3 Portfolio Analysis'!$E$107+AH224*'Part 3 Portfolio Analysis'!$F$107</f>
        <v>3.4587999999999997E-3</v>
      </c>
      <c r="AL224" s="91">
        <f>F224*'Part 3 Portfolio Analysis'!$B$121+M224*'Part 3 Portfolio Analysis'!$C$121+'Part 3 Portfolio Analysis'!$D$121*T224+AA224*'Part 3 Portfolio Analysis'!$E$121+'Part 3 Portfolio Analysis'!$F$121*AH224</f>
        <v>6.5800000000000136E-5</v>
      </c>
      <c r="AM224" s="91"/>
      <c r="AN224" s="90">
        <v>44973</v>
      </c>
      <c r="AO224" s="91">
        <v>18094.75</v>
      </c>
      <c r="AP224" s="91">
        <v>18035.849610000001</v>
      </c>
      <c r="AQ224" s="91">
        <v>18035.849610000001</v>
      </c>
      <c r="AR224" s="91">
        <v>230200</v>
      </c>
      <c r="AS224" s="91">
        <v>1.1000000000000001E-3</v>
      </c>
    </row>
    <row r="225" spans="1:45" x14ac:dyDescent="0.55000000000000004">
      <c r="A225" s="90">
        <v>44974</v>
      </c>
      <c r="B225" s="91">
        <v>6670</v>
      </c>
      <c r="C225" s="91">
        <v>6662.8999020000001</v>
      </c>
      <c r="D225" s="91">
        <v>6474.0122069999998</v>
      </c>
      <c r="E225" s="91">
        <v>81448</v>
      </c>
      <c r="F225" s="91">
        <v>-3.8999999999999998E-3</v>
      </c>
      <c r="H225" s="90">
        <v>44974</v>
      </c>
      <c r="I225" s="91">
        <v>1116.8295900000001</v>
      </c>
      <c r="J225" s="91">
        <v>1126.1518550000001</v>
      </c>
      <c r="K225" s="91">
        <v>1113.942871</v>
      </c>
      <c r="L225" s="91">
        <v>11809520</v>
      </c>
      <c r="M225" s="91">
        <v>4.1999999999999997E-3</v>
      </c>
      <c r="O225" s="90">
        <v>44974</v>
      </c>
      <c r="P225" s="91">
        <v>830.5</v>
      </c>
      <c r="Q225" s="91">
        <v>827.95001219999995</v>
      </c>
      <c r="R225" s="91">
        <v>796.76568599999996</v>
      </c>
      <c r="S225" s="91">
        <v>8956270</v>
      </c>
      <c r="T225" s="91">
        <v>-5.0000000000000001E-3</v>
      </c>
      <c r="V225" s="90">
        <v>44974</v>
      </c>
      <c r="W225" s="91">
        <v>1594</v>
      </c>
      <c r="X225" s="91">
        <v>1583.8000489999999</v>
      </c>
      <c r="Y225" s="91">
        <v>1452.5463870000001</v>
      </c>
      <c r="Z225" s="91">
        <v>2857734</v>
      </c>
      <c r="AA225" s="91">
        <v>-1.12E-2</v>
      </c>
      <c r="AB225" s="91"/>
      <c r="AC225" s="90">
        <v>44974</v>
      </c>
      <c r="AD225" s="91">
        <v>1360</v>
      </c>
      <c r="AE225" s="91">
        <v>1360.650024</v>
      </c>
      <c r="AF225" s="91">
        <v>1356.5457759999999</v>
      </c>
      <c r="AG225" s="91">
        <v>535675</v>
      </c>
      <c r="AH225" s="91">
        <v>-1.8E-3</v>
      </c>
      <c r="AI225" s="91"/>
      <c r="AJ225" s="91">
        <f>(F225*'Part 3 Portfolio Analysis'!$B$8+M225*'Part 3 Portfolio Analysis'!$C$8+T225*'Part 3 Portfolio Analysis'!$D$8+AA225*'Part 3 Portfolio Analysis'!$E$8+AH225*'Part 3 Portfolio Analysis'!$F$8)/100</f>
        <v>-2.301695401171467E-3</v>
      </c>
      <c r="AK225" s="91">
        <f>'Part 3 Portfolio Analysis'!$B$107*F225+M225*'Part 3 Portfolio Analysis'!$C$107+T225*'Part 3 Portfolio Analysis'!$D$107+AA225*'Part 3 Portfolio Analysis'!$E$107+AH225*'Part 3 Portfolio Analysis'!$F$107</f>
        <v>-1.7359999999999999E-3</v>
      </c>
      <c r="AL225" s="91">
        <f>F225*'Part 3 Portfolio Analysis'!$B$121+M225*'Part 3 Portfolio Analysis'!$C$121+'Part 3 Portfolio Analysis'!$D$121*T225+AA225*'Part 3 Portfolio Analysis'!$E$121+'Part 3 Portfolio Analysis'!$F$121*AH225</f>
        <v>-2.2054200000000005E-3</v>
      </c>
      <c r="AM225" s="91"/>
      <c r="AN225" s="90">
        <v>44974</v>
      </c>
      <c r="AO225" s="91">
        <v>17974.849610000001</v>
      </c>
      <c r="AP225" s="91">
        <v>17944.199219999999</v>
      </c>
      <c r="AQ225" s="91">
        <v>17944.199219999999</v>
      </c>
      <c r="AR225" s="91">
        <v>208100</v>
      </c>
      <c r="AS225" s="91">
        <v>-5.1000000000000004E-3</v>
      </c>
    </row>
    <row r="226" spans="1:45" x14ac:dyDescent="0.55000000000000004">
      <c r="A226" s="90">
        <v>44977</v>
      </c>
      <c r="B226" s="91">
        <v>6666.0498049999997</v>
      </c>
      <c r="C226" s="91">
        <v>6666.8999020000001</v>
      </c>
      <c r="D226" s="91">
        <v>6477.8984380000002</v>
      </c>
      <c r="E226" s="91">
        <v>68365</v>
      </c>
      <c r="F226" s="91">
        <v>5.9999999999999995E-4</v>
      </c>
      <c r="H226" s="90">
        <v>44977</v>
      </c>
      <c r="I226" s="91">
        <v>1128.3670649999999</v>
      </c>
      <c r="J226" s="91">
        <v>1114.2452390000001</v>
      </c>
      <c r="K226" s="91">
        <v>1102.1655270000001</v>
      </c>
      <c r="L226" s="91">
        <v>8836937</v>
      </c>
      <c r="M226" s="91">
        <v>-1.06E-2</v>
      </c>
      <c r="O226" s="90">
        <v>44977</v>
      </c>
      <c r="P226" s="91">
        <v>830</v>
      </c>
      <c r="Q226" s="91">
        <v>820.17498780000005</v>
      </c>
      <c r="R226" s="91">
        <v>789.28344730000003</v>
      </c>
      <c r="S226" s="91">
        <v>8086706</v>
      </c>
      <c r="T226" s="91">
        <v>-9.4000000000000004E-3</v>
      </c>
      <c r="V226" s="90">
        <v>44977</v>
      </c>
      <c r="W226" s="91">
        <v>1584.9499510000001</v>
      </c>
      <c r="X226" s="91">
        <v>1592.4499510000001</v>
      </c>
      <c r="Y226" s="91">
        <v>1460.47937</v>
      </c>
      <c r="Z226" s="91">
        <v>2417716</v>
      </c>
      <c r="AA226" s="91">
        <v>5.4999999999999997E-3</v>
      </c>
      <c r="AB226" s="91"/>
      <c r="AC226" s="90">
        <v>44977</v>
      </c>
      <c r="AD226" s="91">
        <v>1360.0500489999999</v>
      </c>
      <c r="AE226" s="91">
        <v>1343.849976</v>
      </c>
      <c r="AF226" s="91">
        <v>1339.7963870000001</v>
      </c>
      <c r="AG226" s="91">
        <v>390430</v>
      </c>
      <c r="AH226" s="91">
        <v>-1.23E-2</v>
      </c>
      <c r="AI226" s="91"/>
      <c r="AJ226" s="91">
        <f>(F226*'Part 3 Portfolio Analysis'!$B$8+M226*'Part 3 Portfolio Analysis'!$C$8+T226*'Part 3 Portfolio Analysis'!$D$8+AA226*'Part 3 Portfolio Analysis'!$E$8+AH226*'Part 3 Portfolio Analysis'!$F$8)/100</f>
        <v>-4.4654093987622724E-3</v>
      </c>
      <c r="AK226" s="91">
        <f>'Part 3 Portfolio Analysis'!$B$107*F226+M226*'Part 3 Portfolio Analysis'!$C$107+T226*'Part 3 Portfolio Analysis'!$D$107+AA226*'Part 3 Portfolio Analysis'!$E$107+AH226*'Part 3 Portfolio Analysis'!$F$107</f>
        <v>-7.2164000000000004E-3</v>
      </c>
      <c r="AL226" s="91">
        <f>F226*'Part 3 Portfolio Analysis'!$B$121+M226*'Part 3 Portfolio Analysis'!$C$121+'Part 3 Portfolio Analysis'!$D$121*T226+AA226*'Part 3 Portfolio Analysis'!$E$121+'Part 3 Portfolio Analysis'!$F$121*AH226</f>
        <v>-6.177499999999999E-3</v>
      </c>
      <c r="AM226" s="91"/>
      <c r="AN226" s="90">
        <v>44977</v>
      </c>
      <c r="AO226" s="91">
        <v>17965.550780000001</v>
      </c>
      <c r="AP226" s="91">
        <v>17844.599610000001</v>
      </c>
      <c r="AQ226" s="91">
        <v>17844.599610000001</v>
      </c>
      <c r="AR226" s="91">
        <v>174600</v>
      </c>
      <c r="AS226" s="91">
        <v>-5.5999999999999999E-3</v>
      </c>
    </row>
    <row r="227" spans="1:45" x14ac:dyDescent="0.55000000000000004">
      <c r="A227" s="90">
        <v>44978</v>
      </c>
      <c r="B227" s="91">
        <v>6699</v>
      </c>
      <c r="C227" s="91">
        <v>6661.75</v>
      </c>
      <c r="D227" s="91">
        <v>6472.8950199999999</v>
      </c>
      <c r="E227" s="91">
        <v>56129</v>
      </c>
      <c r="F227" s="91">
        <v>-8.0000000000000004E-4</v>
      </c>
      <c r="H227" s="90">
        <v>44978</v>
      </c>
      <c r="I227" s="91">
        <v>1118.675659</v>
      </c>
      <c r="J227" s="91">
        <v>1123.3367920000001</v>
      </c>
      <c r="K227" s="91">
        <v>1111.1585689999999</v>
      </c>
      <c r="L227" s="91">
        <v>13311592</v>
      </c>
      <c r="M227" s="91">
        <v>8.2000000000000007E-3</v>
      </c>
      <c r="O227" s="90">
        <v>44978</v>
      </c>
      <c r="P227" s="91">
        <v>820</v>
      </c>
      <c r="Q227" s="91">
        <v>823.25</v>
      </c>
      <c r="R227" s="91">
        <v>792.24273679999999</v>
      </c>
      <c r="S227" s="91">
        <v>12389296</v>
      </c>
      <c r="T227" s="91">
        <v>3.7000000000000002E-3</v>
      </c>
      <c r="V227" s="90">
        <v>44978</v>
      </c>
      <c r="W227" s="91">
        <v>1598.6999510000001</v>
      </c>
      <c r="X227" s="91">
        <v>1579.5</v>
      </c>
      <c r="Y227" s="91">
        <v>1448.602783</v>
      </c>
      <c r="Z227" s="91">
        <v>2723288</v>
      </c>
      <c r="AA227" s="91">
        <v>-8.0999999999999996E-3</v>
      </c>
      <c r="AB227" s="91"/>
      <c r="AC227" s="90">
        <v>44978</v>
      </c>
      <c r="AD227" s="91">
        <v>1343</v>
      </c>
      <c r="AE227" s="91">
        <v>1338.099976</v>
      </c>
      <c r="AF227" s="91">
        <v>1334.0635990000001</v>
      </c>
      <c r="AG227" s="91">
        <v>575418</v>
      </c>
      <c r="AH227" s="91">
        <v>-4.3E-3</v>
      </c>
      <c r="AI227" s="91"/>
      <c r="AJ227" s="91">
        <f>(F227*'Part 3 Portfolio Analysis'!$B$8+M227*'Part 3 Portfolio Analysis'!$C$8+T227*'Part 3 Portfolio Analysis'!$D$8+AA227*'Part 3 Portfolio Analysis'!$E$8+AH227*'Part 3 Portfolio Analysis'!$F$8)/100</f>
        <v>2.0039556987316133E-3</v>
      </c>
      <c r="AK227" s="91">
        <f>'Part 3 Portfolio Analysis'!$B$107*F227+M227*'Part 3 Portfolio Analysis'!$C$107+T227*'Part 3 Portfolio Analysis'!$D$107+AA227*'Part 3 Portfolio Analysis'!$E$107+AH227*'Part 3 Portfolio Analysis'!$F$107</f>
        <v>1.1024999999999997E-3</v>
      </c>
      <c r="AL227" s="91">
        <f>F227*'Part 3 Portfolio Analysis'!$B$121+M227*'Part 3 Portfolio Analysis'!$C$121+'Part 3 Portfolio Analysis'!$D$121*T227+AA227*'Part 3 Portfolio Analysis'!$E$121+'Part 3 Portfolio Analysis'!$F$121*AH227</f>
        <v>2.6486999999999999E-3</v>
      </c>
      <c r="AM227" s="91"/>
      <c r="AN227" s="90">
        <v>44978</v>
      </c>
      <c r="AO227" s="91">
        <v>17905.800780000001</v>
      </c>
      <c r="AP227" s="91">
        <v>17826.699219999999</v>
      </c>
      <c r="AQ227" s="91">
        <v>17826.699219999999</v>
      </c>
      <c r="AR227" s="91">
        <v>198200</v>
      </c>
      <c r="AS227" s="91">
        <v>-1E-3</v>
      </c>
    </row>
    <row r="228" spans="1:45" x14ac:dyDescent="0.55000000000000004">
      <c r="A228" s="90">
        <v>44979</v>
      </c>
      <c r="B228" s="91">
        <v>6610</v>
      </c>
      <c r="C228" s="91">
        <v>6517.9501950000003</v>
      </c>
      <c r="D228" s="91">
        <v>6333.171875</v>
      </c>
      <c r="E228" s="91">
        <v>83155</v>
      </c>
      <c r="F228" s="91">
        <v>-2.1600000000000001E-2</v>
      </c>
      <c r="H228" s="90">
        <v>44979</v>
      </c>
      <c r="I228" s="91">
        <v>1119.575562</v>
      </c>
      <c r="J228" s="91">
        <v>1097.861938</v>
      </c>
      <c r="K228" s="91">
        <v>1085.959717</v>
      </c>
      <c r="L228" s="91">
        <v>11024335</v>
      </c>
      <c r="M228" s="91">
        <v>-2.2700000000000001E-2</v>
      </c>
      <c r="O228" s="90">
        <v>44979</v>
      </c>
      <c r="P228" s="91">
        <v>819.5</v>
      </c>
      <c r="Q228" s="91">
        <v>807.09997559999999</v>
      </c>
      <c r="R228" s="91">
        <v>776.70092769999997</v>
      </c>
      <c r="S228" s="91">
        <v>10359102</v>
      </c>
      <c r="T228" s="91">
        <v>-1.9599999999999999E-2</v>
      </c>
      <c r="V228" s="90">
        <v>44979</v>
      </c>
      <c r="W228" s="91">
        <v>1563</v>
      </c>
      <c r="X228" s="91">
        <v>1561.8000489999999</v>
      </c>
      <c r="Y228" s="91">
        <v>1432.369751</v>
      </c>
      <c r="Z228" s="91">
        <v>3656244</v>
      </c>
      <c r="AA228" s="91">
        <v>-1.12E-2</v>
      </c>
      <c r="AB228" s="91"/>
      <c r="AC228" s="90">
        <v>44979</v>
      </c>
      <c r="AD228" s="91">
        <v>1328.9499510000001</v>
      </c>
      <c r="AE228" s="91">
        <v>1343.849976</v>
      </c>
      <c r="AF228" s="91">
        <v>1339.7963870000001</v>
      </c>
      <c r="AG228" s="91">
        <v>556036</v>
      </c>
      <c r="AH228" s="91">
        <v>4.3E-3</v>
      </c>
      <c r="AI228" s="91"/>
      <c r="AJ228" s="91">
        <f>(F228*'Part 3 Portfolio Analysis'!$B$8+M228*'Part 3 Portfolio Analysis'!$C$8+T228*'Part 3 Portfolio Analysis'!$D$8+AA228*'Part 3 Portfolio Analysis'!$E$8+AH228*'Part 3 Portfolio Analysis'!$F$8)/100</f>
        <v>-1.9738257461163009E-2</v>
      </c>
      <c r="AK228" s="91">
        <f>'Part 3 Portfolio Analysis'!$B$107*F228+M228*'Part 3 Portfolio Analysis'!$C$107+T228*'Part 3 Portfolio Analysis'!$D$107+AA228*'Part 3 Portfolio Analysis'!$E$107+AH228*'Part 3 Portfolio Analysis'!$F$107</f>
        <v>-1.40675E-2</v>
      </c>
      <c r="AL228" s="91">
        <f>F228*'Part 3 Portfolio Analysis'!$B$121+M228*'Part 3 Portfolio Analysis'!$C$121+'Part 3 Portfolio Analysis'!$D$121*T228+AA228*'Part 3 Portfolio Analysis'!$E$121+'Part 3 Portfolio Analysis'!$F$121*AH228</f>
        <v>-1.8758979999999998E-2</v>
      </c>
      <c r="AM228" s="91"/>
      <c r="AN228" s="90">
        <v>44979</v>
      </c>
      <c r="AO228" s="91">
        <v>17755.349610000001</v>
      </c>
      <c r="AP228" s="91">
        <v>17554.300780000001</v>
      </c>
      <c r="AQ228" s="91">
        <v>17554.300780000001</v>
      </c>
      <c r="AR228" s="91">
        <v>204000</v>
      </c>
      <c r="AS228" s="91">
        <v>-1.5299999999999999E-2</v>
      </c>
    </row>
    <row r="229" spans="1:45" x14ac:dyDescent="0.55000000000000004">
      <c r="A229" s="90">
        <v>44980</v>
      </c>
      <c r="B229" s="91">
        <v>6510</v>
      </c>
      <c r="C229" s="91">
        <v>6484.5</v>
      </c>
      <c r="D229" s="91">
        <v>6300.669922</v>
      </c>
      <c r="E229" s="91">
        <v>78315</v>
      </c>
      <c r="F229" s="91">
        <v>-5.1000000000000004E-3</v>
      </c>
      <c r="H229" s="90">
        <v>44980</v>
      </c>
      <c r="I229" s="91">
        <v>1097.446655</v>
      </c>
      <c r="J229" s="91">
        <v>1092.6008300000001</v>
      </c>
      <c r="K229" s="91">
        <v>1080.755737</v>
      </c>
      <c r="L229" s="91">
        <v>9851910</v>
      </c>
      <c r="M229" s="91">
        <v>-4.7999999999999996E-3</v>
      </c>
      <c r="O229" s="90">
        <v>44980</v>
      </c>
      <c r="P229" s="91">
        <v>806.5</v>
      </c>
      <c r="Q229" s="91">
        <v>801.625</v>
      </c>
      <c r="R229" s="91">
        <v>771.43218990000003</v>
      </c>
      <c r="S229" s="91">
        <v>27882010</v>
      </c>
      <c r="T229" s="91">
        <v>-6.7999999999999996E-3</v>
      </c>
      <c r="V229" s="90">
        <v>44980</v>
      </c>
      <c r="W229" s="91">
        <v>1569.849976</v>
      </c>
      <c r="X229" s="91">
        <v>1550.6999510000001</v>
      </c>
      <c r="Y229" s="91">
        <v>1422.189453</v>
      </c>
      <c r="Z229" s="91">
        <v>4766854</v>
      </c>
      <c r="AA229" s="91">
        <v>-7.1000000000000004E-3</v>
      </c>
      <c r="AB229" s="91"/>
      <c r="AC229" s="90">
        <v>44980</v>
      </c>
      <c r="AD229" s="91">
        <v>1345</v>
      </c>
      <c r="AE229" s="91">
        <v>1328.1999510000001</v>
      </c>
      <c r="AF229" s="91">
        <v>1324.193481</v>
      </c>
      <c r="AG229" s="91">
        <v>347591</v>
      </c>
      <c r="AH229" s="91">
        <v>-1.1599999999999999E-2</v>
      </c>
      <c r="AI229" s="91"/>
      <c r="AJ229" s="91">
        <f>(F229*'Part 3 Portfolio Analysis'!$B$8+M229*'Part 3 Portfolio Analysis'!$C$8+T229*'Part 3 Portfolio Analysis'!$D$8+AA229*'Part 3 Portfolio Analysis'!$E$8+AH229*'Part 3 Portfolio Analysis'!$F$8)/100</f>
        <v>-5.6602330698913243E-3</v>
      </c>
      <c r="AK229" s="91">
        <f>'Part 3 Portfolio Analysis'!$B$107*F229+M229*'Part 3 Portfolio Analysis'!$C$107+T229*'Part 3 Portfolio Analysis'!$D$107+AA229*'Part 3 Portfolio Analysis'!$E$107+AH229*'Part 3 Portfolio Analysis'!$F$107</f>
        <v>-7.1075999999999995E-3</v>
      </c>
      <c r="AL229" s="91">
        <f>F229*'Part 3 Portfolio Analysis'!$B$121+M229*'Part 3 Portfolio Analysis'!$C$121+'Part 3 Portfolio Analysis'!$D$121*T229+AA229*'Part 3 Portfolio Analysis'!$E$121+'Part 3 Portfolio Analysis'!$F$121*AH229</f>
        <v>-6.0068200000000004E-3</v>
      </c>
      <c r="AM229" s="91"/>
      <c r="AN229" s="90">
        <v>44980</v>
      </c>
      <c r="AO229" s="91">
        <v>17574.650389999999</v>
      </c>
      <c r="AP229" s="91">
        <v>17511.25</v>
      </c>
      <c r="AQ229" s="91">
        <v>17511.25</v>
      </c>
      <c r="AR229" s="91">
        <v>240800</v>
      </c>
      <c r="AS229" s="91">
        <v>-2.5000000000000001E-3</v>
      </c>
    </row>
    <row r="230" spans="1:45" x14ac:dyDescent="0.55000000000000004">
      <c r="A230" s="90">
        <v>44981</v>
      </c>
      <c r="B230" s="91">
        <v>6514</v>
      </c>
      <c r="C230" s="91">
        <v>6512.8500979999999</v>
      </c>
      <c r="D230" s="91">
        <v>6328.2163090000004</v>
      </c>
      <c r="E230" s="91">
        <v>63935</v>
      </c>
      <c r="F230" s="91">
        <v>4.4000000000000003E-3</v>
      </c>
      <c r="H230" s="90">
        <v>44981</v>
      </c>
      <c r="I230" s="91">
        <v>1094.677612</v>
      </c>
      <c r="J230" s="91">
        <v>1100.0771480000001</v>
      </c>
      <c r="K230" s="91">
        <v>1088.151001</v>
      </c>
      <c r="L230" s="91">
        <v>9434053</v>
      </c>
      <c r="M230" s="91">
        <v>6.7999999999999996E-3</v>
      </c>
      <c r="O230" s="90">
        <v>44981</v>
      </c>
      <c r="P230" s="91">
        <v>808.95001219999995</v>
      </c>
      <c r="Q230" s="91">
        <v>794.47497559999999</v>
      </c>
      <c r="R230" s="91">
        <v>764.55151369999999</v>
      </c>
      <c r="S230" s="91">
        <v>17061740</v>
      </c>
      <c r="T230" s="91">
        <v>-8.8999999999999999E-3</v>
      </c>
      <c r="V230" s="90">
        <v>44981</v>
      </c>
      <c r="W230" s="91">
        <v>1560</v>
      </c>
      <c r="X230" s="91">
        <v>1550.650024</v>
      </c>
      <c r="Y230" s="91">
        <v>1422.1435550000001</v>
      </c>
      <c r="Z230" s="91">
        <v>2790986</v>
      </c>
      <c r="AA230" s="91">
        <v>0</v>
      </c>
      <c r="AB230" s="91"/>
      <c r="AC230" s="90">
        <v>44981</v>
      </c>
      <c r="AD230" s="91">
        <v>1332</v>
      </c>
      <c r="AE230" s="91">
        <v>1305.5500489999999</v>
      </c>
      <c r="AF230" s="91">
        <v>1301.611938</v>
      </c>
      <c r="AG230" s="91">
        <v>409365</v>
      </c>
      <c r="AH230" s="91">
        <v>-1.7100000000000001E-2</v>
      </c>
      <c r="AI230" s="91"/>
      <c r="AJ230" s="91">
        <f>(F230*'Part 3 Portfolio Analysis'!$B$8+M230*'Part 3 Portfolio Analysis'!$C$8+T230*'Part 3 Portfolio Analysis'!$D$8+AA230*'Part 3 Portfolio Analysis'!$E$8+AH230*'Part 3 Portfolio Analysis'!$F$8)/100</f>
        <v>2.1331033642983037E-3</v>
      </c>
      <c r="AK230" s="91">
        <f>'Part 3 Portfolio Analysis'!$B$107*F230+M230*'Part 3 Portfolio Analysis'!$C$107+T230*'Part 3 Portfolio Analysis'!$D$107+AA230*'Part 3 Portfolio Analysis'!$E$107+AH230*'Part 3 Portfolio Analysis'!$F$107</f>
        <v>-2.7683E-3</v>
      </c>
      <c r="AL230" s="91">
        <f>F230*'Part 3 Portfolio Analysis'!$B$121+M230*'Part 3 Portfolio Analysis'!$C$121+'Part 3 Portfolio Analysis'!$D$121*T230+AA230*'Part 3 Portfolio Analysis'!$E$121+'Part 3 Portfolio Analysis'!$F$121*AH230</f>
        <v>3.4613999999999945E-4</v>
      </c>
      <c r="AM230" s="91"/>
      <c r="AN230" s="90">
        <v>44981</v>
      </c>
      <c r="AO230" s="91">
        <v>17591.349610000001</v>
      </c>
      <c r="AP230" s="91">
        <v>17465.800780000001</v>
      </c>
      <c r="AQ230" s="91">
        <v>17465.800780000001</v>
      </c>
      <c r="AR230" s="91">
        <v>209400</v>
      </c>
      <c r="AS230" s="91">
        <v>-2.5999999999999999E-3</v>
      </c>
    </row>
    <row r="231" spans="1:45" x14ac:dyDescent="0.55000000000000004">
      <c r="A231" s="90">
        <v>44984</v>
      </c>
      <c r="B231" s="91">
        <v>6500</v>
      </c>
      <c r="C231" s="91">
        <v>6358.7001950000003</v>
      </c>
      <c r="D231" s="91">
        <v>6178.4365230000003</v>
      </c>
      <c r="E231" s="91">
        <v>76466</v>
      </c>
      <c r="F231" s="91">
        <v>-2.3699999999999999E-2</v>
      </c>
      <c r="H231" s="90">
        <v>44984</v>
      </c>
      <c r="I231" s="91">
        <v>1099.2926030000001</v>
      </c>
      <c r="J231" s="91">
        <v>1092.7623289999999</v>
      </c>
      <c r="K231" s="91">
        <v>1080.9155270000001</v>
      </c>
      <c r="L231" s="91">
        <v>11199715</v>
      </c>
      <c r="M231" s="91">
        <v>-6.6E-3</v>
      </c>
      <c r="O231" s="90">
        <v>44984</v>
      </c>
      <c r="P231" s="91">
        <v>792.95001219999995</v>
      </c>
      <c r="Q231" s="91">
        <v>796.45001219999995</v>
      </c>
      <c r="R231" s="91">
        <v>766.45214840000006</v>
      </c>
      <c r="S231" s="91">
        <v>14312972</v>
      </c>
      <c r="T231" s="91">
        <v>2.5000000000000001E-3</v>
      </c>
      <c r="V231" s="90">
        <v>44984</v>
      </c>
      <c r="W231" s="91">
        <v>1540</v>
      </c>
      <c r="X231" s="91">
        <v>1509.3000489999999</v>
      </c>
      <c r="Y231" s="91">
        <v>1384.220337</v>
      </c>
      <c r="Z231" s="91">
        <v>4920268</v>
      </c>
      <c r="AA231" s="91">
        <v>-2.6700000000000002E-2</v>
      </c>
      <c r="AB231" s="91"/>
      <c r="AC231" s="90">
        <v>44984</v>
      </c>
      <c r="AD231" s="91">
        <v>1306.25</v>
      </c>
      <c r="AE231" s="91">
        <v>1288.849976</v>
      </c>
      <c r="AF231" s="91">
        <v>1284.96228</v>
      </c>
      <c r="AG231" s="91">
        <v>419611</v>
      </c>
      <c r="AH231" s="91">
        <v>-1.2800000000000001E-2</v>
      </c>
      <c r="AI231" s="91"/>
      <c r="AJ231" s="91">
        <f>(F231*'Part 3 Portfolio Analysis'!$B$8+M231*'Part 3 Portfolio Analysis'!$C$8+T231*'Part 3 Portfolio Analysis'!$D$8+AA231*'Part 3 Portfolio Analysis'!$E$8+AH231*'Part 3 Portfolio Analysis'!$F$8)/100</f>
        <v>-1.3507365481104974E-2</v>
      </c>
      <c r="AK231" s="91">
        <f>'Part 3 Portfolio Analysis'!$B$107*F231+M231*'Part 3 Portfolio Analysis'!$C$107+T231*'Part 3 Portfolio Analysis'!$D$107+AA231*'Part 3 Portfolio Analysis'!$E$107+AH231*'Part 3 Portfolio Analysis'!$F$107</f>
        <v>-1.1839900000000002E-2</v>
      </c>
      <c r="AL231" s="91">
        <f>F231*'Part 3 Portfolio Analysis'!$B$121+M231*'Part 3 Portfolio Analysis'!$C$121+'Part 3 Portfolio Analysis'!$D$121*T231+AA231*'Part 3 Portfolio Analysis'!$E$121+'Part 3 Portfolio Analysis'!$F$121*AH231</f>
        <v>-9.7128600000000002E-3</v>
      </c>
      <c r="AM231" s="91"/>
      <c r="AN231" s="90">
        <v>44984</v>
      </c>
      <c r="AO231" s="91">
        <v>17428.599610000001</v>
      </c>
      <c r="AP231" s="91">
        <v>17392.699219999999</v>
      </c>
      <c r="AQ231" s="91">
        <v>17392.699219999999</v>
      </c>
      <c r="AR231" s="91">
        <v>246400</v>
      </c>
      <c r="AS231" s="91">
        <v>-4.1999999999999997E-3</v>
      </c>
    </row>
    <row r="232" spans="1:45" x14ac:dyDescent="0.55000000000000004">
      <c r="A232" s="90">
        <v>44985</v>
      </c>
      <c r="B232" s="91">
        <v>6380</v>
      </c>
      <c r="C232" s="91">
        <v>6129.25</v>
      </c>
      <c r="D232" s="91">
        <v>5955.4907229999999</v>
      </c>
      <c r="E232" s="91">
        <v>203406</v>
      </c>
      <c r="F232" s="91">
        <v>-3.61E-2</v>
      </c>
      <c r="H232" s="90">
        <v>44985</v>
      </c>
      <c r="I232" s="91">
        <v>1087.3397219999999</v>
      </c>
      <c r="J232" s="91">
        <v>1071.8564449999999</v>
      </c>
      <c r="K232" s="91">
        <v>1060.236206</v>
      </c>
      <c r="L232" s="91">
        <v>21994038</v>
      </c>
      <c r="M232" s="91">
        <v>-1.9099999999999999E-2</v>
      </c>
      <c r="O232" s="90">
        <v>44985</v>
      </c>
      <c r="P232" s="91">
        <v>796</v>
      </c>
      <c r="Q232" s="91">
        <v>799.79998780000005</v>
      </c>
      <c r="R232" s="91">
        <v>769.6759644</v>
      </c>
      <c r="S232" s="91">
        <v>18993992</v>
      </c>
      <c r="T232" s="91">
        <v>4.1999999999999997E-3</v>
      </c>
      <c r="V232" s="90">
        <v>44985</v>
      </c>
      <c r="W232" s="91">
        <v>1515.599976</v>
      </c>
      <c r="X232" s="91">
        <v>1487.5500489999999</v>
      </c>
      <c r="Y232" s="91">
        <v>1364.2729489999999</v>
      </c>
      <c r="Z232" s="91">
        <v>9679811</v>
      </c>
      <c r="AA232" s="91">
        <v>-1.44E-2</v>
      </c>
      <c r="AB232" s="91"/>
      <c r="AC232" s="90">
        <v>44985</v>
      </c>
      <c r="AD232" s="91">
        <v>1288.849976</v>
      </c>
      <c r="AE232" s="91">
        <v>1278.150024</v>
      </c>
      <c r="AF232" s="91">
        <v>1274.2945560000001</v>
      </c>
      <c r="AG232" s="91">
        <v>907835</v>
      </c>
      <c r="AH232" s="91">
        <v>-8.3000000000000001E-3</v>
      </c>
      <c r="AI232" s="91"/>
      <c r="AJ232" s="91">
        <f>(F232*'Part 3 Portfolio Analysis'!$B$8+M232*'Part 3 Portfolio Analysis'!$C$8+T232*'Part 3 Portfolio Analysis'!$D$8+AA232*'Part 3 Portfolio Analysis'!$E$8+AH232*'Part 3 Portfolio Analysis'!$F$8)/100</f>
        <v>-1.9451321455920323E-2</v>
      </c>
      <c r="AK232" s="91">
        <f>'Part 3 Portfolio Analysis'!$B$107*F232+M232*'Part 3 Portfolio Analysis'!$C$107+T232*'Part 3 Portfolio Analysis'!$D$107+AA232*'Part 3 Portfolio Analysis'!$E$107+AH232*'Part 3 Portfolio Analysis'!$F$107</f>
        <v>-1.53569E-2</v>
      </c>
      <c r="AL232" s="91">
        <f>F232*'Part 3 Portfolio Analysis'!$B$121+M232*'Part 3 Portfolio Analysis'!$C$121+'Part 3 Portfolio Analysis'!$D$121*T232+AA232*'Part 3 Portfolio Analysis'!$E$121+'Part 3 Portfolio Analysis'!$F$121*AH232</f>
        <v>-1.293684E-2</v>
      </c>
      <c r="AM232" s="91"/>
      <c r="AN232" s="90">
        <v>44985</v>
      </c>
      <c r="AO232" s="91">
        <v>17383.25</v>
      </c>
      <c r="AP232" s="91">
        <v>17303.949219999999</v>
      </c>
      <c r="AQ232" s="91">
        <v>17303.949219999999</v>
      </c>
      <c r="AR232" s="91">
        <v>420900</v>
      </c>
      <c r="AS232" s="91">
        <v>-5.1000000000000004E-3</v>
      </c>
    </row>
    <row r="233" spans="1:45" x14ac:dyDescent="0.55000000000000004">
      <c r="A233" s="90">
        <v>44986</v>
      </c>
      <c r="B233" s="91">
        <v>6128.8500979999999</v>
      </c>
      <c r="C233" s="91">
        <v>6194.6000979999999</v>
      </c>
      <c r="D233" s="91">
        <v>6018.9882809999999</v>
      </c>
      <c r="E233" s="91">
        <v>97556</v>
      </c>
      <c r="F233" s="91">
        <v>1.0699999999999999E-2</v>
      </c>
      <c r="H233" s="90">
        <v>44986</v>
      </c>
      <c r="I233" s="91">
        <v>1081.755615</v>
      </c>
      <c r="J233" s="91">
        <v>1081.7094729999999</v>
      </c>
      <c r="K233" s="91">
        <v>1069.982422</v>
      </c>
      <c r="L233" s="91">
        <v>11551145</v>
      </c>
      <c r="M233" s="91">
        <v>9.1999999999999998E-3</v>
      </c>
      <c r="O233" s="90">
        <v>44986</v>
      </c>
      <c r="P233" s="91">
        <v>806</v>
      </c>
      <c r="Q233" s="91">
        <v>799.02502440000001</v>
      </c>
      <c r="R233" s="91">
        <v>768.93017580000003</v>
      </c>
      <c r="S233" s="91">
        <v>14137256</v>
      </c>
      <c r="T233" s="91">
        <v>-1E-3</v>
      </c>
      <c r="V233" s="90">
        <v>44986</v>
      </c>
      <c r="W233" s="91">
        <v>1492.400024</v>
      </c>
      <c r="X233" s="91">
        <v>1496.0500489999999</v>
      </c>
      <c r="Y233" s="91">
        <v>1372.068481</v>
      </c>
      <c r="Z233" s="91">
        <v>5125043</v>
      </c>
      <c r="AA233" s="91">
        <v>5.7000000000000002E-3</v>
      </c>
      <c r="AB233" s="91"/>
      <c r="AC233" s="90">
        <v>44986</v>
      </c>
      <c r="AD233" s="91">
        <v>1286.5</v>
      </c>
      <c r="AE233" s="91">
        <v>1291.5</v>
      </c>
      <c r="AF233" s="91">
        <v>1287.6042480000001</v>
      </c>
      <c r="AG233" s="91">
        <v>467538</v>
      </c>
      <c r="AH233" s="91">
        <v>1.04E-2</v>
      </c>
      <c r="AI233" s="91"/>
      <c r="AJ233" s="91">
        <f>(F233*'Part 3 Portfolio Analysis'!$B$8+M233*'Part 3 Portfolio Analysis'!$C$8+T233*'Part 3 Portfolio Analysis'!$D$8+AA233*'Part 3 Portfolio Analysis'!$E$8+AH233*'Part 3 Portfolio Analysis'!$F$8)/100</f>
        <v>7.3969712771197781E-3</v>
      </c>
      <c r="AK233" s="91">
        <f>'Part 3 Portfolio Analysis'!$B$107*F233+M233*'Part 3 Portfolio Analysis'!$C$107+T233*'Part 3 Portfolio Analysis'!$D$107+AA233*'Part 3 Portfolio Analysis'!$E$107+AH233*'Part 3 Portfolio Analysis'!$F$107</f>
        <v>7.8414000000000001E-3</v>
      </c>
      <c r="AL233" s="91">
        <f>F233*'Part 3 Portfolio Analysis'!$B$121+M233*'Part 3 Portfolio Analysis'!$C$121+'Part 3 Portfolio Analysis'!$D$121*T233+AA233*'Part 3 Portfolio Analysis'!$E$121+'Part 3 Portfolio Analysis'!$F$121*AH233</f>
        <v>5.8803400000000004E-3</v>
      </c>
      <c r="AM233" s="91"/>
      <c r="AN233" s="90">
        <v>44986</v>
      </c>
      <c r="AO233" s="91">
        <v>17360.099610000001</v>
      </c>
      <c r="AP233" s="91">
        <v>17450.900389999999</v>
      </c>
      <c r="AQ233" s="91">
        <v>17450.900389999999</v>
      </c>
      <c r="AR233" s="91">
        <v>272900</v>
      </c>
      <c r="AS233" s="91">
        <v>8.5000000000000006E-3</v>
      </c>
    </row>
    <row r="234" spans="1:45" x14ac:dyDescent="0.55000000000000004">
      <c r="A234" s="90">
        <v>44987</v>
      </c>
      <c r="B234" s="91">
        <v>6218</v>
      </c>
      <c r="C234" s="91">
        <v>6150.5498049999997</v>
      </c>
      <c r="D234" s="91">
        <v>5976.1870120000003</v>
      </c>
      <c r="E234" s="91">
        <v>101691</v>
      </c>
      <c r="F234" s="91">
        <v>-7.1000000000000004E-3</v>
      </c>
      <c r="H234" s="90">
        <v>44987</v>
      </c>
      <c r="I234" s="91">
        <v>1078.5251459999999</v>
      </c>
      <c r="J234" s="91">
        <v>1073.4716800000001</v>
      </c>
      <c r="K234" s="91">
        <v>1061.833862</v>
      </c>
      <c r="L234" s="91">
        <v>9333535</v>
      </c>
      <c r="M234" s="91">
        <v>-7.6E-3</v>
      </c>
      <c r="O234" s="90">
        <v>44987</v>
      </c>
      <c r="P234" s="91">
        <v>797</v>
      </c>
      <c r="Q234" s="91">
        <v>792.22497559999999</v>
      </c>
      <c r="R234" s="91">
        <v>762.38623050000001</v>
      </c>
      <c r="S234" s="91">
        <v>17391814</v>
      </c>
      <c r="T234" s="91">
        <v>-8.5000000000000006E-3</v>
      </c>
      <c r="V234" s="90">
        <v>44987</v>
      </c>
      <c r="W234" s="91">
        <v>1485</v>
      </c>
      <c r="X234" s="91">
        <v>1472.150024</v>
      </c>
      <c r="Y234" s="91">
        <v>1350.1491699999999</v>
      </c>
      <c r="Z234" s="91">
        <v>4644499</v>
      </c>
      <c r="AA234" s="91">
        <v>-1.6E-2</v>
      </c>
      <c r="AB234" s="91"/>
      <c r="AC234" s="90">
        <v>44987</v>
      </c>
      <c r="AD234" s="91">
        <v>1291.5</v>
      </c>
      <c r="AE234" s="91">
        <v>1284.9499510000001</v>
      </c>
      <c r="AF234" s="91">
        <v>1281.0738530000001</v>
      </c>
      <c r="AG234" s="91">
        <v>299267</v>
      </c>
      <c r="AH234" s="91">
        <v>-5.1000000000000004E-3</v>
      </c>
      <c r="AI234" s="91"/>
      <c r="AJ234" s="91">
        <f>(F234*'Part 3 Portfolio Analysis'!$B$8+M234*'Part 3 Portfolio Analysis'!$C$8+T234*'Part 3 Portfolio Analysis'!$D$8+AA234*'Part 3 Portfolio Analysis'!$E$8+AH234*'Part 3 Portfolio Analysis'!$F$8)/100</f>
        <v>-8.9275394254842728E-3</v>
      </c>
      <c r="AK234" s="91">
        <f>'Part 3 Portfolio Analysis'!$B$107*F234+M234*'Part 3 Portfolio Analysis'!$C$107+T234*'Part 3 Portfolio Analysis'!$D$107+AA234*'Part 3 Portfolio Analysis'!$E$107+AH234*'Part 3 Portfolio Analysis'!$F$107</f>
        <v>-7.8595000000000002E-3</v>
      </c>
      <c r="AL234" s="91">
        <f>F234*'Part 3 Portfolio Analysis'!$B$121+M234*'Part 3 Portfolio Analysis'!$C$121+'Part 3 Portfolio Analysis'!$D$121*T234+AA234*'Part 3 Portfolio Analysis'!$E$121+'Part 3 Portfolio Analysis'!$F$121*AH234</f>
        <v>-9.4181999999999998E-3</v>
      </c>
      <c r="AM234" s="91"/>
      <c r="AN234" s="90">
        <v>44987</v>
      </c>
      <c r="AO234" s="91">
        <v>17421.5</v>
      </c>
      <c r="AP234" s="91">
        <v>17321.900389999999</v>
      </c>
      <c r="AQ234" s="91">
        <v>17321.900389999999</v>
      </c>
      <c r="AR234" s="91">
        <v>310700</v>
      </c>
      <c r="AS234" s="91">
        <v>-7.4000000000000003E-3</v>
      </c>
    </row>
    <row r="235" spans="1:45" x14ac:dyDescent="0.55000000000000004">
      <c r="A235" s="90">
        <v>44988</v>
      </c>
      <c r="B235" s="91">
        <v>6181</v>
      </c>
      <c r="C235" s="91">
        <v>6176.4501950000003</v>
      </c>
      <c r="D235" s="91">
        <v>6001.3525390000004</v>
      </c>
      <c r="E235" s="91">
        <v>78784</v>
      </c>
      <c r="F235" s="91">
        <v>4.1999999999999997E-3</v>
      </c>
      <c r="H235" s="90">
        <v>44988</v>
      </c>
      <c r="I235" s="91">
        <v>1084.1323239999999</v>
      </c>
      <c r="J235" s="91">
        <v>1100.8616939999999</v>
      </c>
      <c r="K235" s="91">
        <v>1088.927124</v>
      </c>
      <c r="L235" s="91">
        <v>14643807</v>
      </c>
      <c r="M235" s="91">
        <v>2.5499999999999998E-2</v>
      </c>
      <c r="O235" s="90">
        <v>44988</v>
      </c>
      <c r="P235" s="91">
        <v>798</v>
      </c>
      <c r="Q235" s="91">
        <v>807.95001219999995</v>
      </c>
      <c r="R235" s="91">
        <v>777.51892090000001</v>
      </c>
      <c r="S235" s="91">
        <v>14986234</v>
      </c>
      <c r="T235" s="91">
        <v>1.9800000000000002E-2</v>
      </c>
      <c r="V235" s="90">
        <v>44988</v>
      </c>
      <c r="W235" s="91">
        <v>1486.75</v>
      </c>
      <c r="X235" s="91">
        <v>1479.3000489999999</v>
      </c>
      <c r="Y235" s="91">
        <v>1356.7064210000001</v>
      </c>
      <c r="Z235" s="91">
        <v>4615015</v>
      </c>
      <c r="AA235" s="91">
        <v>4.8999999999999998E-3</v>
      </c>
      <c r="AB235" s="91"/>
      <c r="AC235" s="90">
        <v>44988</v>
      </c>
      <c r="AD235" s="91">
        <v>1290</v>
      </c>
      <c r="AE235" s="91">
        <v>1304.900024</v>
      </c>
      <c r="AF235" s="91">
        <v>1300.9638669999999</v>
      </c>
      <c r="AG235" s="91">
        <v>568928</v>
      </c>
      <c r="AH235" s="91">
        <v>1.55E-2</v>
      </c>
      <c r="AI235" s="91"/>
      <c r="AJ235" s="91">
        <f>(F235*'Part 3 Portfolio Analysis'!$B$8+M235*'Part 3 Portfolio Analysis'!$C$8+T235*'Part 3 Portfolio Analysis'!$D$8+AA235*'Part 3 Portfolio Analysis'!$E$8+AH235*'Part 3 Portfolio Analysis'!$F$8)/100</f>
        <v>1.4746200099680759E-2</v>
      </c>
      <c r="AK235" s="91">
        <f>'Part 3 Portfolio Analysis'!$B$107*F235+M235*'Part 3 Portfolio Analysis'!$C$107+T235*'Part 3 Portfolio Analysis'!$D$107+AA235*'Part 3 Portfolio Analysis'!$E$107+AH235*'Part 3 Portfolio Analysis'!$F$107</f>
        <v>1.6202499999999998E-2</v>
      </c>
      <c r="AL235" s="91">
        <f>F235*'Part 3 Portfolio Analysis'!$B$121+M235*'Part 3 Portfolio Analysis'!$C$121+'Part 3 Portfolio Analysis'!$D$121*T235+AA235*'Part 3 Portfolio Analysis'!$E$121+'Part 3 Portfolio Analysis'!$F$121*AH235</f>
        <v>1.7816739999999998E-2</v>
      </c>
      <c r="AM235" s="91"/>
      <c r="AN235" s="90">
        <v>44988</v>
      </c>
      <c r="AO235" s="91">
        <v>17451.25</v>
      </c>
      <c r="AP235" s="91">
        <v>17594.349610000001</v>
      </c>
      <c r="AQ235" s="91">
        <v>17594.349610000001</v>
      </c>
      <c r="AR235" s="91">
        <v>356200</v>
      </c>
      <c r="AS235" s="91">
        <v>1.5699999999999999E-2</v>
      </c>
    </row>
    <row r="236" spans="1:45" x14ac:dyDescent="0.55000000000000004">
      <c r="A236" s="90">
        <v>44991</v>
      </c>
      <c r="B236" s="91">
        <v>6239.8500979999999</v>
      </c>
      <c r="C236" s="91">
        <v>6237.6499020000001</v>
      </c>
      <c r="D236" s="91">
        <v>6060.8173829999996</v>
      </c>
      <c r="E236" s="91">
        <v>113971</v>
      </c>
      <c r="F236" s="91">
        <v>9.9000000000000008E-3</v>
      </c>
      <c r="H236" s="90">
        <v>44991</v>
      </c>
      <c r="I236" s="91">
        <v>1107.5996090000001</v>
      </c>
      <c r="J236" s="91">
        <v>1111.614624</v>
      </c>
      <c r="K236" s="91">
        <v>1099.5633539999999</v>
      </c>
      <c r="L236" s="91">
        <v>10171916</v>
      </c>
      <c r="M236" s="91">
        <v>9.7999999999999997E-3</v>
      </c>
      <c r="O236" s="90">
        <v>44991</v>
      </c>
      <c r="P236" s="91">
        <v>810</v>
      </c>
      <c r="Q236" s="91">
        <v>813.65002440000001</v>
      </c>
      <c r="R236" s="91">
        <v>783.00427249999996</v>
      </c>
      <c r="S236" s="91">
        <v>27004710</v>
      </c>
      <c r="T236" s="91">
        <v>7.1000000000000004E-3</v>
      </c>
      <c r="V236" s="90">
        <v>44991</v>
      </c>
      <c r="W236" s="91">
        <v>1494.5500489999999</v>
      </c>
      <c r="X236" s="91">
        <v>1507.4499510000001</v>
      </c>
      <c r="Y236" s="91">
        <v>1382.523682</v>
      </c>
      <c r="Z236" s="91">
        <v>6561742</v>
      </c>
      <c r="AA236" s="91">
        <v>1.9E-2</v>
      </c>
      <c r="AB236" s="91"/>
      <c r="AC236" s="90">
        <v>44991</v>
      </c>
      <c r="AD236" s="91">
        <v>1306.599976</v>
      </c>
      <c r="AE236" s="91">
        <v>1325.400024</v>
      </c>
      <c r="AF236" s="91">
        <v>1321.4021</v>
      </c>
      <c r="AG236" s="91">
        <v>566960</v>
      </c>
      <c r="AH236" s="91">
        <v>1.5699999999999999E-2</v>
      </c>
      <c r="AI236" s="91"/>
      <c r="AJ236" s="91">
        <f>(F236*'Part 3 Portfolio Analysis'!$B$8+M236*'Part 3 Portfolio Analysis'!$C$8+T236*'Part 3 Portfolio Analysis'!$D$8+AA236*'Part 3 Portfolio Analysis'!$E$8+AH236*'Part 3 Portfolio Analysis'!$F$8)/100</f>
        <v>1.0917858772996685E-2</v>
      </c>
      <c r="AK236" s="91">
        <f>'Part 3 Portfolio Analysis'!$B$107*F236+M236*'Part 3 Portfolio Analysis'!$C$107+T236*'Part 3 Portfolio Analysis'!$D$107+AA236*'Part 3 Portfolio Analysis'!$E$107+AH236*'Part 3 Portfolio Analysis'!$F$107</f>
        <v>1.1806299999999999E-2</v>
      </c>
      <c r="AL236" s="91">
        <f>F236*'Part 3 Portfolio Analysis'!$B$121+M236*'Part 3 Portfolio Analysis'!$C$121+'Part 3 Portfolio Analysis'!$D$121*T236+AA236*'Part 3 Portfolio Analysis'!$E$121+'Part 3 Portfolio Analysis'!$F$121*AH236</f>
        <v>1.1068399999999999E-2</v>
      </c>
      <c r="AM236" s="91"/>
      <c r="AN236" s="90">
        <v>44991</v>
      </c>
      <c r="AO236" s="91">
        <v>17680.349610000001</v>
      </c>
      <c r="AP236" s="91">
        <v>17711.449219999999</v>
      </c>
      <c r="AQ236" s="91">
        <v>17711.449219999999</v>
      </c>
      <c r="AR236" s="91">
        <v>362800</v>
      </c>
      <c r="AS236" s="91">
        <v>6.7000000000000002E-3</v>
      </c>
    </row>
    <row r="237" spans="1:45" x14ac:dyDescent="0.55000000000000004">
      <c r="A237" s="90">
        <v>44993</v>
      </c>
      <c r="B237" s="91">
        <v>6200</v>
      </c>
      <c r="C237" s="91">
        <v>6340.2001950000003</v>
      </c>
      <c r="D237" s="91">
        <v>6160.4609380000002</v>
      </c>
      <c r="E237" s="91">
        <v>164335</v>
      </c>
      <c r="F237" s="91">
        <v>1.6400000000000001E-2</v>
      </c>
      <c r="H237" s="90">
        <v>44993</v>
      </c>
      <c r="I237" s="91">
        <v>1111.614624</v>
      </c>
      <c r="J237" s="91">
        <v>1115.606689</v>
      </c>
      <c r="K237" s="91">
        <v>1103.5120850000001</v>
      </c>
      <c r="L237" s="91">
        <v>15782657</v>
      </c>
      <c r="M237" s="91">
        <v>3.5999999999999999E-3</v>
      </c>
      <c r="O237" s="90">
        <v>44993</v>
      </c>
      <c r="P237" s="91">
        <v>810</v>
      </c>
      <c r="Q237" s="91">
        <v>815.27502440000001</v>
      </c>
      <c r="R237" s="91">
        <v>784.5681763</v>
      </c>
      <c r="S237" s="91">
        <v>20099774</v>
      </c>
      <c r="T237" s="91">
        <v>2E-3</v>
      </c>
      <c r="V237" s="90">
        <v>44993</v>
      </c>
      <c r="W237" s="91">
        <v>1490.5500489999999</v>
      </c>
      <c r="X237" s="91">
        <v>1492.6999510000001</v>
      </c>
      <c r="Y237" s="91">
        <v>1368.9960940000001</v>
      </c>
      <c r="Z237" s="91">
        <v>4137080</v>
      </c>
      <c r="AA237" s="91">
        <v>-9.7999999999999997E-3</v>
      </c>
      <c r="AB237" s="91"/>
      <c r="AC237" s="90">
        <v>44993</v>
      </c>
      <c r="AD237" s="91">
        <v>1319.0500489999999</v>
      </c>
      <c r="AE237" s="91">
        <v>1342.5500489999999</v>
      </c>
      <c r="AF237" s="91">
        <v>1338.5002440000001</v>
      </c>
      <c r="AG237" s="91">
        <v>521534</v>
      </c>
      <c r="AH237" s="91">
        <v>1.29E-2</v>
      </c>
      <c r="AI237" s="91"/>
      <c r="AJ237" s="91">
        <f>(F237*'Part 3 Portfolio Analysis'!$B$8+M237*'Part 3 Portfolio Analysis'!$C$8+T237*'Part 3 Portfolio Analysis'!$D$8+AA237*'Part 3 Portfolio Analysis'!$E$8+AH237*'Part 3 Portfolio Analysis'!$F$8)/100</f>
        <v>5.1074842930149368E-3</v>
      </c>
      <c r="AK237" s="91">
        <f>'Part 3 Portfolio Analysis'!$B$107*F237+M237*'Part 3 Portfolio Analysis'!$C$107+T237*'Part 3 Portfolio Analysis'!$D$107+AA237*'Part 3 Portfolio Analysis'!$E$107+AH237*'Part 3 Portfolio Analysis'!$F$107</f>
        <v>6.6596000000000008E-3</v>
      </c>
      <c r="AL237" s="91">
        <f>F237*'Part 3 Portfolio Analysis'!$B$121+M237*'Part 3 Portfolio Analysis'!$C$121+'Part 3 Portfolio Analysis'!$D$121*T237+AA237*'Part 3 Portfolio Analysis'!$E$121+'Part 3 Portfolio Analysis'!$F$121*AH237</f>
        <v>1.7806200000000003E-3</v>
      </c>
      <c r="AM237" s="91"/>
      <c r="AN237" s="90">
        <v>44993</v>
      </c>
      <c r="AO237" s="91">
        <v>17665.75</v>
      </c>
      <c r="AP237" s="91">
        <v>17754.400389999999</v>
      </c>
      <c r="AQ237" s="91">
        <v>17754.400389999999</v>
      </c>
      <c r="AR237" s="91">
        <v>267000</v>
      </c>
      <c r="AS237" s="91">
        <v>2.3999999999999998E-3</v>
      </c>
    </row>
    <row r="238" spans="1:45" x14ac:dyDescent="0.55000000000000004">
      <c r="A238" s="90">
        <v>44994</v>
      </c>
      <c r="B238" s="91">
        <v>6370</v>
      </c>
      <c r="C238" s="91">
        <v>6284.5498049999997</v>
      </c>
      <c r="D238" s="91">
        <v>6106.3876950000003</v>
      </c>
      <c r="E238" s="91">
        <v>91114</v>
      </c>
      <c r="F238" s="91">
        <v>-8.8000000000000005E-3</v>
      </c>
      <c r="H238" s="90">
        <v>44994</v>
      </c>
      <c r="I238" s="91">
        <v>1114.983643</v>
      </c>
      <c r="J238" s="91">
        <v>1088.793457</v>
      </c>
      <c r="K238" s="91">
        <v>1076.989624</v>
      </c>
      <c r="L238" s="91">
        <v>16235128</v>
      </c>
      <c r="M238" s="91">
        <v>-2.4E-2</v>
      </c>
      <c r="O238" s="90">
        <v>44994</v>
      </c>
      <c r="P238" s="91">
        <v>814.97497559999999</v>
      </c>
      <c r="Q238" s="91">
        <v>815.34997559999999</v>
      </c>
      <c r="R238" s="91">
        <v>784.64025879999997</v>
      </c>
      <c r="S238" s="91">
        <v>20700166</v>
      </c>
      <c r="T238" s="91">
        <v>1E-4</v>
      </c>
      <c r="V238" s="90">
        <v>44994</v>
      </c>
      <c r="W238" s="91">
        <v>1495</v>
      </c>
      <c r="X238" s="91">
        <v>1480.400024</v>
      </c>
      <c r="Y238" s="91">
        <v>1357.7154539999999</v>
      </c>
      <c r="Z238" s="91">
        <v>5104656</v>
      </c>
      <c r="AA238" s="91">
        <v>-8.2000000000000007E-3</v>
      </c>
      <c r="AB238" s="91"/>
      <c r="AC238" s="90">
        <v>44994</v>
      </c>
      <c r="AD238" s="91">
        <v>1346.400024</v>
      </c>
      <c r="AE238" s="91">
        <v>1335</v>
      </c>
      <c r="AF238" s="91">
        <v>1330.9730219999999</v>
      </c>
      <c r="AG238" s="91">
        <v>625276</v>
      </c>
      <c r="AH238" s="91">
        <v>-5.5999999999999999E-3</v>
      </c>
      <c r="AI238" s="91"/>
      <c r="AJ238" s="91">
        <f>(F238*'Part 3 Portfolio Analysis'!$B$8+M238*'Part 3 Portfolio Analysis'!$C$8+T238*'Part 3 Portfolio Analysis'!$D$8+AA238*'Part 3 Portfolio Analysis'!$E$8+AH238*'Part 3 Portfolio Analysis'!$F$8)/100</f>
        <v>-1.2697229334042432E-2</v>
      </c>
      <c r="AK238" s="91">
        <f>'Part 3 Portfolio Analysis'!$B$107*F238+M238*'Part 3 Portfolio Analysis'!$C$107+T238*'Part 3 Portfolio Analysis'!$D$107+AA238*'Part 3 Portfolio Analysis'!$E$107+AH238*'Part 3 Portfolio Analysis'!$F$107</f>
        <v>-1.1311699999999999E-2</v>
      </c>
      <c r="AL238" s="91">
        <f>F238*'Part 3 Portfolio Analysis'!$B$121+M238*'Part 3 Portfolio Analysis'!$C$121+'Part 3 Portfolio Analysis'!$D$121*T238+AA238*'Part 3 Portfolio Analysis'!$E$121+'Part 3 Portfolio Analysis'!$F$121*AH238</f>
        <v>-1.255328E-2</v>
      </c>
      <c r="AM238" s="91"/>
      <c r="AN238" s="90">
        <v>44994</v>
      </c>
      <c r="AO238" s="91">
        <v>17772.050780000001</v>
      </c>
      <c r="AP238" s="91">
        <v>17589.599610000001</v>
      </c>
      <c r="AQ238" s="91">
        <v>17589.599610000001</v>
      </c>
      <c r="AR238" s="91">
        <v>262400</v>
      </c>
      <c r="AS238" s="91">
        <v>-9.2999999999999992E-3</v>
      </c>
    </row>
    <row r="239" spans="1:45" x14ac:dyDescent="0.55000000000000004">
      <c r="A239" s="90">
        <v>44995</v>
      </c>
      <c r="B239" s="91">
        <v>6223.1000979999999</v>
      </c>
      <c r="C239" s="91">
        <v>6249.2998049999997</v>
      </c>
      <c r="D239" s="91">
        <v>6072.1376950000003</v>
      </c>
      <c r="E239" s="91">
        <v>88898</v>
      </c>
      <c r="F239" s="91">
        <v>-5.5999999999999999E-3</v>
      </c>
      <c r="H239" s="90">
        <v>44995</v>
      </c>
      <c r="I239" s="91">
        <v>1080.6019289999999</v>
      </c>
      <c r="J239" s="91">
        <v>1071.925659</v>
      </c>
      <c r="K239" s="91">
        <v>1060.3046879999999</v>
      </c>
      <c r="L239" s="91">
        <v>13334091</v>
      </c>
      <c r="M239" s="91">
        <v>-1.55E-2</v>
      </c>
      <c r="O239" s="90">
        <v>44995</v>
      </c>
      <c r="P239" s="91">
        <v>805.22497559999999</v>
      </c>
      <c r="Q239" s="91">
        <v>794.32501219999995</v>
      </c>
      <c r="R239" s="91">
        <v>764.40722659999994</v>
      </c>
      <c r="S239" s="91">
        <v>27387000</v>
      </c>
      <c r="T239" s="91">
        <v>-2.58E-2</v>
      </c>
      <c r="V239" s="90">
        <v>44995</v>
      </c>
      <c r="W239" s="91">
        <v>1460</v>
      </c>
      <c r="X239" s="91">
        <v>1471.5500489999999</v>
      </c>
      <c r="Y239" s="91">
        <v>1349.598755</v>
      </c>
      <c r="Z239" s="91">
        <v>3699580</v>
      </c>
      <c r="AA239" s="91">
        <v>-6.0000000000000001E-3</v>
      </c>
      <c r="AB239" s="91"/>
      <c r="AC239" s="90">
        <v>44995</v>
      </c>
      <c r="AD239" s="91">
        <v>1324.5500489999999</v>
      </c>
      <c r="AE239" s="91">
        <v>1341</v>
      </c>
      <c r="AF239" s="91">
        <v>1336.954956</v>
      </c>
      <c r="AG239" s="91">
        <v>391986</v>
      </c>
      <c r="AH239" s="91">
        <v>4.4999999999999997E-3</v>
      </c>
      <c r="AI239" s="91"/>
      <c r="AJ239" s="91">
        <f>(F239*'Part 3 Portfolio Analysis'!$B$8+M239*'Part 3 Portfolio Analysis'!$C$8+T239*'Part 3 Portfolio Analysis'!$D$8+AA239*'Part 3 Portfolio Analysis'!$E$8+AH239*'Part 3 Portfolio Analysis'!$F$8)/100</f>
        <v>-1.2523829964385199E-2</v>
      </c>
      <c r="AK239" s="91">
        <f>'Part 3 Portfolio Analysis'!$B$107*F239+M239*'Part 3 Portfolio Analysis'!$C$107+T239*'Part 3 Portfolio Analysis'!$D$107+AA239*'Part 3 Portfolio Analysis'!$E$107+AH239*'Part 3 Portfolio Analysis'!$F$107</f>
        <v>-9.3244999999999995E-3</v>
      </c>
      <c r="AL239" s="91">
        <f>F239*'Part 3 Portfolio Analysis'!$B$121+M239*'Part 3 Portfolio Analysis'!$C$121+'Part 3 Portfolio Analysis'!$D$121*T239+AA239*'Part 3 Portfolio Analysis'!$E$121+'Part 3 Portfolio Analysis'!$F$121*AH239</f>
        <v>-1.5063819999999999E-2</v>
      </c>
      <c r="AM239" s="91"/>
      <c r="AN239" s="90">
        <v>44995</v>
      </c>
      <c r="AO239" s="91">
        <v>17443.800780000001</v>
      </c>
      <c r="AP239" s="91">
        <v>17412.900389999999</v>
      </c>
      <c r="AQ239" s="91">
        <v>17412.900389999999</v>
      </c>
      <c r="AR239" s="91">
        <v>235900</v>
      </c>
      <c r="AS239" s="91">
        <v>-0.01</v>
      </c>
    </row>
    <row r="240" spans="1:45" x14ac:dyDescent="0.55000000000000004">
      <c r="A240" s="90">
        <v>44998</v>
      </c>
      <c r="B240" s="91">
        <v>6249.2998049999997</v>
      </c>
      <c r="C240" s="91">
        <v>6130.9501950000003</v>
      </c>
      <c r="D240" s="91">
        <v>5957.1430659999996</v>
      </c>
      <c r="E240" s="91">
        <v>89686</v>
      </c>
      <c r="F240" s="91">
        <v>-1.89E-2</v>
      </c>
      <c r="H240" s="90">
        <v>44998</v>
      </c>
      <c r="I240" s="91">
        <v>1074.83313</v>
      </c>
      <c r="J240" s="91">
        <v>1054.2963870000001</v>
      </c>
      <c r="K240" s="91">
        <v>1042.866577</v>
      </c>
      <c r="L240" s="91">
        <v>12771592</v>
      </c>
      <c r="M240" s="91">
        <v>-1.6400000000000001E-2</v>
      </c>
      <c r="O240" s="90">
        <v>44998</v>
      </c>
      <c r="P240" s="91">
        <v>793.95001219999995</v>
      </c>
      <c r="Q240" s="91">
        <v>784.27502440000001</v>
      </c>
      <c r="R240" s="91">
        <v>754.73571779999997</v>
      </c>
      <c r="S240" s="91">
        <v>26443550</v>
      </c>
      <c r="T240" s="91">
        <v>-1.2699999999999999E-2</v>
      </c>
      <c r="V240" s="90">
        <v>44998</v>
      </c>
      <c r="W240" s="91">
        <v>1464.1999510000001</v>
      </c>
      <c r="X240" s="91">
        <v>1435.099976</v>
      </c>
      <c r="Y240" s="91">
        <v>1316.169312</v>
      </c>
      <c r="Z240" s="91">
        <v>8798403</v>
      </c>
      <c r="AA240" s="91">
        <v>-2.4799999999999999E-2</v>
      </c>
      <c r="AB240" s="91"/>
      <c r="AC240" s="90">
        <v>44998</v>
      </c>
      <c r="AD240" s="91">
        <v>1341</v>
      </c>
      <c r="AE240" s="91">
        <v>1324.099976</v>
      </c>
      <c r="AF240" s="91">
        <v>1320.1058350000001</v>
      </c>
      <c r="AG240" s="91">
        <v>698497</v>
      </c>
      <c r="AH240" s="91">
        <v>-1.26E-2</v>
      </c>
      <c r="AI240" s="91"/>
      <c r="AJ240" s="91">
        <f>(F240*'Part 3 Portfolio Analysis'!$B$8+M240*'Part 3 Portfolio Analysis'!$C$8+T240*'Part 3 Portfolio Analysis'!$D$8+AA240*'Part 3 Portfolio Analysis'!$E$8+AH240*'Part 3 Portfolio Analysis'!$F$8)/100</f>
        <v>-1.7847495327646009E-2</v>
      </c>
      <c r="AK240" s="91">
        <f>'Part 3 Portfolio Analysis'!$B$107*F240+M240*'Part 3 Portfolio Analysis'!$C$107+T240*'Part 3 Portfolio Analysis'!$D$107+AA240*'Part 3 Portfolio Analysis'!$E$107+AH240*'Part 3 Portfolio Analysis'!$F$107</f>
        <v>-1.61589E-2</v>
      </c>
      <c r="AL240" s="91">
        <f>F240*'Part 3 Portfolio Analysis'!$B$121+M240*'Part 3 Portfolio Analysis'!$C$121+'Part 3 Portfolio Analysis'!$D$121*T240+AA240*'Part 3 Portfolio Analysis'!$E$121+'Part 3 Portfolio Analysis'!$F$121*AH240</f>
        <v>-1.717954E-2</v>
      </c>
      <c r="AM240" s="91"/>
      <c r="AN240" s="90">
        <v>44998</v>
      </c>
      <c r="AO240" s="91">
        <v>17421.900389999999</v>
      </c>
      <c r="AP240" s="91">
        <v>17154.300780000001</v>
      </c>
      <c r="AQ240" s="91">
        <v>17154.300780000001</v>
      </c>
      <c r="AR240" s="91">
        <v>254900</v>
      </c>
      <c r="AS240" s="91">
        <v>-1.49E-2</v>
      </c>
    </row>
    <row r="241" spans="1:45" x14ac:dyDescent="0.55000000000000004">
      <c r="A241" s="90">
        <v>44999</v>
      </c>
      <c r="B241" s="91">
        <v>6161.6499020000001</v>
      </c>
      <c r="C241" s="91">
        <v>6062.5</v>
      </c>
      <c r="D241" s="91">
        <v>5890.6337890000004</v>
      </c>
      <c r="E241" s="91">
        <v>220025</v>
      </c>
      <c r="F241" s="91">
        <v>-1.12E-2</v>
      </c>
      <c r="H241" s="90">
        <v>44999</v>
      </c>
      <c r="I241" s="91">
        <v>1052.2196039999999</v>
      </c>
      <c r="J241" s="91">
        <v>1050.350586</v>
      </c>
      <c r="K241" s="91">
        <v>1038.963501</v>
      </c>
      <c r="L241" s="91">
        <v>16027522</v>
      </c>
      <c r="M241" s="91">
        <v>-3.7000000000000002E-3</v>
      </c>
      <c r="O241" s="90">
        <v>44999</v>
      </c>
      <c r="P241" s="91">
        <v>785.125</v>
      </c>
      <c r="Q241" s="91">
        <v>782.17498780000005</v>
      </c>
      <c r="R241" s="91">
        <v>752.71472170000004</v>
      </c>
      <c r="S241" s="91">
        <v>33185612</v>
      </c>
      <c r="T241" s="91">
        <v>-2.7000000000000001E-3</v>
      </c>
      <c r="V241" s="90">
        <v>44999</v>
      </c>
      <c r="W241" s="91">
        <v>1441</v>
      </c>
      <c r="X241" s="91">
        <v>1420</v>
      </c>
      <c r="Y241" s="91">
        <v>1302.3208010000001</v>
      </c>
      <c r="Z241" s="91">
        <v>7402784</v>
      </c>
      <c r="AA241" s="91">
        <v>-1.0500000000000001E-2</v>
      </c>
      <c r="AB241" s="91"/>
      <c r="AC241" s="90">
        <v>44999</v>
      </c>
      <c r="AD241" s="91">
        <v>1331.099976</v>
      </c>
      <c r="AE241" s="91">
        <v>1337.8000489999999</v>
      </c>
      <c r="AF241" s="91">
        <v>1333.7645259999999</v>
      </c>
      <c r="AG241" s="91">
        <v>626503</v>
      </c>
      <c r="AH241" s="91">
        <v>1.03E-2</v>
      </c>
      <c r="AI241" s="91"/>
      <c r="AJ241" s="91">
        <f>(F241*'Part 3 Portfolio Analysis'!$B$8+M241*'Part 3 Portfolio Analysis'!$C$8+T241*'Part 3 Portfolio Analysis'!$D$8+AA241*'Part 3 Portfolio Analysis'!$E$8+AH241*'Part 3 Portfolio Analysis'!$F$8)/100</f>
        <v>-6.7407052195810222E-3</v>
      </c>
      <c r="AK241" s="91">
        <f>'Part 3 Portfolio Analysis'!$B$107*F241+M241*'Part 3 Portfolio Analysis'!$C$107+T241*'Part 3 Portfolio Analysis'!$D$107+AA241*'Part 3 Portfolio Analysis'!$E$107+AH241*'Part 3 Portfolio Analysis'!$F$107</f>
        <v>-2.0470000000000002E-3</v>
      </c>
      <c r="AL241" s="91">
        <f>F241*'Part 3 Portfolio Analysis'!$B$121+M241*'Part 3 Portfolio Analysis'!$C$121+'Part 3 Portfolio Analysis'!$D$121*T241+AA241*'Part 3 Portfolio Analysis'!$E$121+'Part 3 Portfolio Analysis'!$F$121*AH241</f>
        <v>-5.0377E-3</v>
      </c>
      <c r="AM241" s="91"/>
      <c r="AN241" s="90">
        <v>44999</v>
      </c>
      <c r="AO241" s="91">
        <v>17160.550780000001</v>
      </c>
      <c r="AP241" s="91">
        <v>17043.300780000001</v>
      </c>
      <c r="AQ241" s="91">
        <v>17043.300780000001</v>
      </c>
      <c r="AR241" s="91">
        <v>290600</v>
      </c>
      <c r="AS241" s="91">
        <v>-6.4999999999999997E-3</v>
      </c>
    </row>
    <row r="242" spans="1:45" x14ac:dyDescent="0.55000000000000004">
      <c r="A242" s="90">
        <v>45000</v>
      </c>
      <c r="B242" s="91">
        <v>6100</v>
      </c>
      <c r="C242" s="91">
        <v>6088.0498049999997</v>
      </c>
      <c r="D242" s="91">
        <v>5915.4589839999999</v>
      </c>
      <c r="E242" s="91">
        <v>107844</v>
      </c>
      <c r="F242" s="91">
        <v>4.1999999999999997E-3</v>
      </c>
      <c r="H242" s="90">
        <v>45000</v>
      </c>
      <c r="I242" s="91">
        <v>1054.1118160000001</v>
      </c>
      <c r="J242" s="91">
        <v>1032.398193</v>
      </c>
      <c r="K242" s="91">
        <v>1021.205811</v>
      </c>
      <c r="L242" s="91">
        <v>21728555</v>
      </c>
      <c r="M242" s="91">
        <v>-1.7100000000000001E-2</v>
      </c>
      <c r="O242" s="90">
        <v>45000</v>
      </c>
      <c r="P242" s="91">
        <v>789</v>
      </c>
      <c r="Q242" s="91">
        <v>770.95001219999995</v>
      </c>
      <c r="R242" s="91">
        <v>741.91259769999999</v>
      </c>
      <c r="S242" s="91">
        <v>37264754</v>
      </c>
      <c r="T242" s="91">
        <v>-1.44E-2</v>
      </c>
      <c r="V242" s="90">
        <v>45000</v>
      </c>
      <c r="W242" s="91">
        <v>1438</v>
      </c>
      <c r="X242" s="91">
        <v>1419.650024</v>
      </c>
      <c r="Y242" s="91">
        <v>1301.9998780000001</v>
      </c>
      <c r="Z242" s="91">
        <v>7556182</v>
      </c>
      <c r="AA242" s="91">
        <v>-2.0000000000000001E-4</v>
      </c>
      <c r="AB242" s="91"/>
      <c r="AC242" s="90">
        <v>45000</v>
      </c>
      <c r="AD242" s="91">
        <v>1345</v>
      </c>
      <c r="AE242" s="91">
        <v>1321.25</v>
      </c>
      <c r="AF242" s="91">
        <v>1317.2645259999999</v>
      </c>
      <c r="AG242" s="91">
        <v>343676</v>
      </c>
      <c r="AH242" s="91">
        <v>-1.24E-2</v>
      </c>
      <c r="AI242" s="91"/>
      <c r="AJ242" s="91">
        <f>(F242*'Part 3 Portfolio Analysis'!$B$8+M242*'Part 3 Portfolio Analysis'!$C$8+T242*'Part 3 Portfolio Analysis'!$D$8+AA242*'Part 3 Portfolio Analysis'!$E$8+AH242*'Part 3 Portfolio Analysis'!$F$8)/100</f>
        <v>-7.4938924726495474E-3</v>
      </c>
      <c r="AK242" s="91">
        <f>'Part 3 Portfolio Analysis'!$B$107*F242+M242*'Part 3 Portfolio Analysis'!$C$107+T242*'Part 3 Portfolio Analysis'!$D$107+AA242*'Part 3 Portfolio Analysis'!$E$107+AH242*'Part 3 Portfolio Analysis'!$F$107</f>
        <v>-9.9731000000000004E-3</v>
      </c>
      <c r="AL242" s="91">
        <f>F242*'Part 3 Portfolio Analysis'!$B$121+M242*'Part 3 Portfolio Analysis'!$C$121+'Part 3 Portfolio Analysis'!$D$121*T242+AA242*'Part 3 Portfolio Analysis'!$E$121+'Part 3 Portfolio Analysis'!$F$121*AH242</f>
        <v>-1.1111599999999999E-2</v>
      </c>
      <c r="AM242" s="91"/>
      <c r="AN242" s="90">
        <v>45000</v>
      </c>
      <c r="AO242" s="91">
        <v>17166.449219999999</v>
      </c>
      <c r="AP242" s="91">
        <v>16972.150389999999</v>
      </c>
      <c r="AQ242" s="91">
        <v>16972.150389999999</v>
      </c>
      <c r="AR242" s="91">
        <v>248200</v>
      </c>
      <c r="AS242" s="91">
        <v>-4.1999999999999997E-3</v>
      </c>
    </row>
    <row r="243" spans="1:45" x14ac:dyDescent="0.55000000000000004">
      <c r="A243" s="90">
        <v>45001</v>
      </c>
      <c r="B243" s="91">
        <v>6088</v>
      </c>
      <c r="C243" s="91">
        <v>6115.1000979999999</v>
      </c>
      <c r="D243" s="91">
        <v>5941.7426759999998</v>
      </c>
      <c r="E243" s="91">
        <v>101504</v>
      </c>
      <c r="F243" s="91">
        <v>4.4000000000000003E-3</v>
      </c>
      <c r="H243" s="90">
        <v>45001</v>
      </c>
      <c r="I243" s="91">
        <v>1035.1441649999999</v>
      </c>
      <c r="J243" s="91">
        <v>1027.2524410000001</v>
      </c>
      <c r="K243" s="91">
        <v>1016.115784</v>
      </c>
      <c r="L243" s="91">
        <v>18363159</v>
      </c>
      <c r="M243" s="91">
        <v>-5.0000000000000001E-3</v>
      </c>
      <c r="O243" s="90">
        <v>45001</v>
      </c>
      <c r="P243" s="91">
        <v>769.5</v>
      </c>
      <c r="Q243" s="91">
        <v>775.95001219999995</v>
      </c>
      <c r="R243" s="91">
        <v>746.72418210000001</v>
      </c>
      <c r="S243" s="91">
        <v>21753342</v>
      </c>
      <c r="T243" s="91">
        <v>6.4999999999999997E-3</v>
      </c>
      <c r="V243" s="90">
        <v>45001</v>
      </c>
      <c r="W243" s="91">
        <v>1417.8000489999999</v>
      </c>
      <c r="X243" s="91">
        <v>1404.099976</v>
      </c>
      <c r="Y243" s="91">
        <v>1287.738525</v>
      </c>
      <c r="Z243" s="91">
        <v>7323117</v>
      </c>
      <c r="AA243" s="91">
        <v>-1.0999999999999999E-2</v>
      </c>
      <c r="AB243" s="91"/>
      <c r="AC243" s="90">
        <v>45001</v>
      </c>
      <c r="AD243" s="91">
        <v>1320</v>
      </c>
      <c r="AE243" s="91">
        <v>1336.349976</v>
      </c>
      <c r="AF243" s="91">
        <v>1332.31897</v>
      </c>
      <c r="AG243" s="91">
        <v>475242</v>
      </c>
      <c r="AH243" s="91">
        <v>1.14E-2</v>
      </c>
      <c r="AI243" s="91"/>
      <c r="AJ243" s="91">
        <f>(F243*'Part 3 Portfolio Analysis'!$B$8+M243*'Part 3 Portfolio Analysis'!$C$8+T243*'Part 3 Portfolio Analysis'!$D$8+AA243*'Part 3 Portfolio Analysis'!$E$8+AH243*'Part 3 Portfolio Analysis'!$F$8)/100</f>
        <v>-1.0669683767874606E-3</v>
      </c>
      <c r="AK243" s="91">
        <f>'Part 3 Portfolio Analysis'!$B$107*F243+M243*'Part 3 Portfolio Analysis'!$C$107+T243*'Part 3 Portfolio Analysis'!$D$107+AA243*'Part 3 Portfolio Analysis'!$E$107+AH243*'Part 3 Portfolio Analysis'!$F$107</f>
        <v>2.0073000000000001E-3</v>
      </c>
      <c r="AL243" s="91">
        <f>F243*'Part 3 Portfolio Analysis'!$B$121+M243*'Part 3 Portfolio Analysis'!$C$121+'Part 3 Portfolio Analysis'!$D$121*T243+AA243*'Part 3 Portfolio Analysis'!$E$121+'Part 3 Portfolio Analysis'!$F$121*AH243</f>
        <v>-1.8696400000000001E-3</v>
      </c>
      <c r="AM243" s="91"/>
      <c r="AN243" s="90">
        <v>45001</v>
      </c>
      <c r="AO243" s="91">
        <v>16994.650389999999</v>
      </c>
      <c r="AP243" s="91">
        <v>16985.599610000001</v>
      </c>
      <c r="AQ243" s="91">
        <v>16985.599610000001</v>
      </c>
      <c r="AR243" s="91">
        <v>349800</v>
      </c>
      <c r="AS243" s="91">
        <v>8.0000000000000004E-4</v>
      </c>
    </row>
    <row r="244" spans="1:45" x14ac:dyDescent="0.55000000000000004">
      <c r="A244" s="90">
        <v>45002</v>
      </c>
      <c r="B244" s="91">
        <v>6149.9501950000003</v>
      </c>
      <c r="C244" s="91">
        <v>6159</v>
      </c>
      <c r="D244" s="91">
        <v>5984.3974609999996</v>
      </c>
      <c r="E244" s="91">
        <v>109736</v>
      </c>
      <c r="F244" s="91">
        <v>7.1999999999999998E-3</v>
      </c>
      <c r="H244" s="90">
        <v>45002</v>
      </c>
      <c r="I244" s="91">
        <v>1035.9517820000001</v>
      </c>
      <c r="J244" s="91">
        <v>1025.960327</v>
      </c>
      <c r="K244" s="91">
        <v>1014.837708</v>
      </c>
      <c r="L244" s="91">
        <v>34014213</v>
      </c>
      <c r="M244" s="91">
        <v>-1.2999999999999999E-3</v>
      </c>
      <c r="O244" s="90">
        <v>45002</v>
      </c>
      <c r="P244" s="91">
        <v>778.75</v>
      </c>
      <c r="Q244" s="91">
        <v>786.32501219999995</v>
      </c>
      <c r="R244" s="91">
        <v>756.70843509999997</v>
      </c>
      <c r="S244" s="91">
        <v>22950876</v>
      </c>
      <c r="T244" s="91">
        <v>1.34E-2</v>
      </c>
      <c r="V244" s="90">
        <v>45002</v>
      </c>
      <c r="W244" s="91">
        <v>1430</v>
      </c>
      <c r="X244" s="91">
        <v>1420.6999510000001</v>
      </c>
      <c r="Y244" s="91">
        <v>1302.9628909999999</v>
      </c>
      <c r="Z244" s="91">
        <v>9090018</v>
      </c>
      <c r="AA244" s="91">
        <v>1.18E-2</v>
      </c>
      <c r="AB244" s="91"/>
      <c r="AC244" s="90">
        <v>45002</v>
      </c>
      <c r="AD244" s="91">
        <v>1349</v>
      </c>
      <c r="AE244" s="91">
        <v>1356.1999510000001</v>
      </c>
      <c r="AF244" s="91">
        <v>1352.109009</v>
      </c>
      <c r="AG244" s="91">
        <v>440067</v>
      </c>
      <c r="AH244" s="91">
        <v>1.49E-2</v>
      </c>
      <c r="AI244" s="91"/>
      <c r="AJ244" s="91">
        <f>(F244*'Part 3 Portfolio Analysis'!$B$8+M244*'Part 3 Portfolio Analysis'!$C$8+T244*'Part 3 Portfolio Analysis'!$D$8+AA244*'Part 3 Portfolio Analysis'!$E$8+AH244*'Part 3 Portfolio Analysis'!$F$8)/100</f>
        <v>5.9687087302037053E-3</v>
      </c>
      <c r="AK244" s="91">
        <f>'Part 3 Portfolio Analysis'!$B$107*F244+M244*'Part 3 Portfolio Analysis'!$C$107+T244*'Part 3 Portfolio Analysis'!$D$107+AA244*'Part 3 Portfolio Analysis'!$E$107+AH244*'Part 3 Portfolio Analysis'!$F$107</f>
        <v>7.9008999999999989E-3</v>
      </c>
      <c r="AL244" s="91">
        <f>F244*'Part 3 Portfolio Analysis'!$B$121+M244*'Part 3 Portfolio Analysis'!$C$121+'Part 3 Portfolio Analysis'!$D$121*T244+AA244*'Part 3 Portfolio Analysis'!$E$121+'Part 3 Portfolio Analysis'!$F$121*AH244</f>
        <v>6.4415400000000008E-3</v>
      </c>
      <c r="AM244" s="91"/>
      <c r="AN244" s="90">
        <v>45002</v>
      </c>
      <c r="AO244" s="91">
        <v>17111.800780000001</v>
      </c>
      <c r="AP244" s="91">
        <v>17100.050780000001</v>
      </c>
      <c r="AQ244" s="91">
        <v>17100.050780000001</v>
      </c>
      <c r="AR244" s="91">
        <v>408100</v>
      </c>
      <c r="AS244" s="91">
        <v>6.7000000000000002E-3</v>
      </c>
    </row>
    <row r="245" spans="1:45" x14ac:dyDescent="0.55000000000000004">
      <c r="A245" s="90">
        <v>45005</v>
      </c>
      <c r="B245" s="91">
        <v>5971</v>
      </c>
      <c r="C245" s="91">
        <v>6037.9501950000003</v>
      </c>
      <c r="D245" s="91">
        <v>5866.7797849999997</v>
      </c>
      <c r="E245" s="91">
        <v>100299</v>
      </c>
      <c r="F245" s="91">
        <v>-1.9699999999999999E-2</v>
      </c>
      <c r="H245" s="90">
        <v>45005</v>
      </c>
      <c r="I245" s="91">
        <v>1022.222168</v>
      </c>
      <c r="J245" s="91">
        <v>1015.876526</v>
      </c>
      <c r="K245" s="91">
        <v>1004.86322</v>
      </c>
      <c r="L245" s="91">
        <v>19524589</v>
      </c>
      <c r="M245" s="91">
        <v>-9.7999999999999997E-3</v>
      </c>
      <c r="O245" s="90">
        <v>45005</v>
      </c>
      <c r="P245" s="91">
        <v>783.97497559999999</v>
      </c>
      <c r="Q245" s="91">
        <v>780.875</v>
      </c>
      <c r="R245" s="91">
        <v>751.46368410000002</v>
      </c>
      <c r="S245" s="91">
        <v>26503114</v>
      </c>
      <c r="T245" s="91">
        <v>-6.8999999999999999E-3</v>
      </c>
      <c r="V245" s="90">
        <v>45005</v>
      </c>
      <c r="W245" s="91">
        <v>1419.6999510000001</v>
      </c>
      <c r="X245" s="91">
        <v>1403.650024</v>
      </c>
      <c r="Y245" s="91">
        <v>1287.3258060000001</v>
      </c>
      <c r="Z245" s="91">
        <v>8221829</v>
      </c>
      <c r="AA245" s="91">
        <v>-1.2E-2</v>
      </c>
      <c r="AB245" s="91"/>
      <c r="AC245" s="90">
        <v>45005</v>
      </c>
      <c r="AD245" s="91">
        <v>1366</v>
      </c>
      <c r="AE245" s="91">
        <v>1344.4499510000001</v>
      </c>
      <c r="AF245" s="91">
        <v>1340.394409</v>
      </c>
      <c r="AG245" s="91">
        <v>605595</v>
      </c>
      <c r="AH245" s="91">
        <v>-8.6999999999999994E-3</v>
      </c>
      <c r="AI245" s="91"/>
      <c r="AJ245" s="91">
        <f>(F245*'Part 3 Portfolio Analysis'!$B$8+M245*'Part 3 Portfolio Analysis'!$C$8+T245*'Part 3 Portfolio Analysis'!$D$8+AA245*'Part 3 Portfolio Analysis'!$E$8+AH245*'Part 3 Portfolio Analysis'!$F$8)/100</f>
        <v>-1.26295460660247E-2</v>
      </c>
      <c r="AK245" s="91">
        <f>'Part 3 Portfolio Analysis'!$B$107*F245+M245*'Part 3 Portfolio Analysis'!$C$107+T245*'Part 3 Portfolio Analysis'!$D$107+AA245*'Part 3 Portfolio Analysis'!$E$107+AH245*'Part 3 Portfolio Analysis'!$F$107</f>
        <v>-1.10753E-2</v>
      </c>
      <c r="AL245" s="91">
        <f>F245*'Part 3 Portfolio Analysis'!$B$121+M245*'Part 3 Portfolio Analysis'!$C$121+'Part 3 Portfolio Analysis'!$D$121*T245+AA245*'Part 3 Portfolio Analysis'!$E$121+'Part 3 Portfolio Analysis'!$F$121*AH245</f>
        <v>-1.0236159999999998E-2</v>
      </c>
      <c r="AM245" s="91"/>
      <c r="AN245" s="90">
        <v>45005</v>
      </c>
      <c r="AO245" s="91">
        <v>17066.599610000001</v>
      </c>
      <c r="AP245" s="91">
        <v>16988.400389999999</v>
      </c>
      <c r="AQ245" s="91">
        <v>16988.400389999999</v>
      </c>
      <c r="AR245" s="91">
        <v>241800</v>
      </c>
      <c r="AS245" s="91">
        <v>-6.4999999999999997E-3</v>
      </c>
    </row>
    <row r="246" spans="1:45" x14ac:dyDescent="0.55000000000000004">
      <c r="A246" s="90">
        <v>45006</v>
      </c>
      <c r="B246" s="91">
        <v>6068.1499020000001</v>
      </c>
      <c r="C246" s="91">
        <v>6089.7001950000003</v>
      </c>
      <c r="D246" s="91">
        <v>5917.0620120000003</v>
      </c>
      <c r="E246" s="91">
        <v>98216</v>
      </c>
      <c r="F246" s="91">
        <v>8.6E-3</v>
      </c>
      <c r="H246" s="90">
        <v>45006</v>
      </c>
      <c r="I246" s="91">
        <v>1024.045044</v>
      </c>
      <c r="J246" s="91">
        <v>1047.466187</v>
      </c>
      <c r="K246" s="91">
        <v>1036.1102289999999</v>
      </c>
      <c r="L246" s="91">
        <v>21400360</v>
      </c>
      <c r="M246" s="91">
        <v>3.1099999999999999E-2</v>
      </c>
      <c r="O246" s="90">
        <v>45006</v>
      </c>
      <c r="P246" s="91">
        <v>785.97497559999999</v>
      </c>
      <c r="Q246" s="91">
        <v>789.72497559999999</v>
      </c>
      <c r="R246" s="91">
        <v>759.9804077</v>
      </c>
      <c r="S246" s="91">
        <v>33050494</v>
      </c>
      <c r="T246" s="91">
        <v>1.1299999999999999E-2</v>
      </c>
      <c r="V246" s="90">
        <v>45006</v>
      </c>
      <c r="W246" s="91">
        <v>1399</v>
      </c>
      <c r="X246" s="91">
        <v>1390.6999510000001</v>
      </c>
      <c r="Y246" s="91">
        <v>1275.4490969999999</v>
      </c>
      <c r="Z246" s="91">
        <v>8536755</v>
      </c>
      <c r="AA246" s="91">
        <v>-9.1999999999999998E-3</v>
      </c>
      <c r="AB246" s="91"/>
      <c r="AC246" s="90">
        <v>45006</v>
      </c>
      <c r="AD246" s="91">
        <v>1346.349976</v>
      </c>
      <c r="AE246" s="91">
        <v>1321.5500489999999</v>
      </c>
      <c r="AF246" s="91">
        <v>1317.5635990000001</v>
      </c>
      <c r="AG246" s="91">
        <v>318911</v>
      </c>
      <c r="AH246" s="91">
        <v>-1.7000000000000001E-2</v>
      </c>
      <c r="AI246" s="91"/>
      <c r="AJ246" s="91">
        <f>(F246*'Part 3 Portfolio Analysis'!$B$8+M246*'Part 3 Portfolio Analysis'!$C$8+T246*'Part 3 Portfolio Analysis'!$D$8+AA246*'Part 3 Portfolio Analysis'!$E$8+AH246*'Part 3 Portfolio Analysis'!$F$8)/100</f>
        <v>1.4091375658423387E-2</v>
      </c>
      <c r="AK246" s="91">
        <f>'Part 3 Portfolio Analysis'!$B$107*F246+M246*'Part 3 Portfolio Analysis'!$C$107+T246*'Part 3 Portfolio Analysis'!$D$107+AA246*'Part 3 Portfolio Analysis'!$E$107+AH246*'Part 3 Portfolio Analysis'!$F$107</f>
        <v>7.8297999999999979E-3</v>
      </c>
      <c r="AL246" s="91">
        <f>F246*'Part 3 Portfolio Analysis'!$B$121+M246*'Part 3 Portfolio Analysis'!$C$121+'Part 3 Portfolio Analysis'!$D$121*T246+AA246*'Part 3 Portfolio Analysis'!$E$121+'Part 3 Portfolio Analysis'!$F$121*AH246</f>
        <v>1.4544679999999997E-2</v>
      </c>
      <c r="AM246" s="91"/>
      <c r="AN246" s="90">
        <v>45006</v>
      </c>
      <c r="AO246" s="91">
        <v>17060.400389999999</v>
      </c>
      <c r="AP246" s="91">
        <v>17107.5</v>
      </c>
      <c r="AQ246" s="91">
        <v>17107.5</v>
      </c>
      <c r="AR246" s="91">
        <v>246700</v>
      </c>
      <c r="AS246" s="91">
        <v>7.0000000000000001E-3</v>
      </c>
    </row>
    <row r="247" spans="1:45" x14ac:dyDescent="0.55000000000000004">
      <c r="A247" s="90">
        <v>45007</v>
      </c>
      <c r="B247" s="91">
        <v>6120.1499020000001</v>
      </c>
      <c r="C247" s="91">
        <v>6055.3999020000001</v>
      </c>
      <c r="D247" s="91">
        <v>5883.7348629999997</v>
      </c>
      <c r="E247" s="91">
        <v>63280</v>
      </c>
      <c r="F247" s="91">
        <v>-5.5999999999999999E-3</v>
      </c>
      <c r="H247" s="90">
        <v>45007</v>
      </c>
      <c r="I247" s="91">
        <v>1054.5271</v>
      </c>
      <c r="J247" s="91">
        <v>1050.650513</v>
      </c>
      <c r="K247" s="91">
        <v>1039.260254</v>
      </c>
      <c r="L247" s="91">
        <v>10920094</v>
      </c>
      <c r="M247" s="91">
        <v>3.0000000000000001E-3</v>
      </c>
      <c r="O247" s="90">
        <v>45007</v>
      </c>
      <c r="P247" s="91">
        <v>792</v>
      </c>
      <c r="Q247" s="91">
        <v>787.90002440000001</v>
      </c>
      <c r="R247" s="91">
        <v>758.22424320000005</v>
      </c>
      <c r="S247" s="91">
        <v>14177324</v>
      </c>
      <c r="T247" s="91">
        <v>-2.3E-3</v>
      </c>
      <c r="V247" s="90">
        <v>45007</v>
      </c>
      <c r="W247" s="91">
        <v>1403</v>
      </c>
      <c r="X247" s="91">
        <v>1389.25</v>
      </c>
      <c r="Y247" s="91">
        <v>1274.119263</v>
      </c>
      <c r="Z247" s="91">
        <v>8356487</v>
      </c>
      <c r="AA247" s="91">
        <v>-1E-3</v>
      </c>
      <c r="AB247" s="91"/>
      <c r="AC247" s="90">
        <v>45007</v>
      </c>
      <c r="AD247" s="91">
        <v>1323.099976</v>
      </c>
      <c r="AE247" s="91">
        <v>1329.5</v>
      </c>
      <c r="AF247" s="91">
        <v>1325.489624</v>
      </c>
      <c r="AG247" s="91">
        <v>344287</v>
      </c>
      <c r="AH247" s="91">
        <v>6.0000000000000001E-3</v>
      </c>
      <c r="AI247" s="91"/>
      <c r="AJ247" s="91">
        <f>(F247*'Part 3 Portfolio Analysis'!$B$8+M247*'Part 3 Portfolio Analysis'!$C$8+T247*'Part 3 Portfolio Analysis'!$D$8+AA247*'Part 3 Portfolio Analysis'!$E$8+AH247*'Part 3 Portfolio Analysis'!$F$8)/100</f>
        <v>-1.0785208014565601E-3</v>
      </c>
      <c r="AK247" s="91">
        <f>'Part 3 Portfolio Analysis'!$B$107*F247+M247*'Part 3 Portfolio Analysis'!$C$107+T247*'Part 3 Portfolio Analysis'!$D$107+AA247*'Part 3 Portfolio Analysis'!$E$107+AH247*'Part 3 Portfolio Analysis'!$F$107</f>
        <v>9.8650000000000018E-4</v>
      </c>
      <c r="AL247" s="91">
        <f>F247*'Part 3 Portfolio Analysis'!$B$121+M247*'Part 3 Portfolio Analysis'!$C$121+'Part 3 Portfolio Analysis'!$D$121*T247+AA247*'Part 3 Portfolio Analysis'!$E$121+'Part 3 Portfolio Analysis'!$F$121*AH247</f>
        <v>1.3008000000000003E-4</v>
      </c>
      <c r="AM247" s="91"/>
      <c r="AN247" s="90">
        <v>45007</v>
      </c>
      <c r="AO247" s="91">
        <v>17177.449219999999</v>
      </c>
      <c r="AP247" s="91">
        <v>17151.900389999999</v>
      </c>
      <c r="AQ247" s="91">
        <v>17151.900389999999</v>
      </c>
      <c r="AR247" s="91">
        <v>0</v>
      </c>
      <c r="AS247" s="91">
        <v>2.5999999999999999E-3</v>
      </c>
    </row>
    <row r="248" spans="1:45" x14ac:dyDescent="0.55000000000000004">
      <c r="A248" s="90">
        <v>45008</v>
      </c>
      <c r="B248" s="91">
        <v>6050</v>
      </c>
      <c r="C248" s="91">
        <v>6040.8500979999999</v>
      </c>
      <c r="D248" s="91">
        <v>5869.5971680000002</v>
      </c>
      <c r="E248" s="91">
        <v>73026</v>
      </c>
      <c r="F248" s="91">
        <v>-2.3999999999999998E-3</v>
      </c>
      <c r="H248" s="90">
        <v>45008</v>
      </c>
      <c r="I248" s="91">
        <v>1046.6816409999999</v>
      </c>
      <c r="J248" s="91">
        <v>1037.359375</v>
      </c>
      <c r="K248" s="91">
        <v>1026.113159</v>
      </c>
      <c r="L248" s="91">
        <v>16249370</v>
      </c>
      <c r="M248" s="91">
        <v>-1.2699999999999999E-2</v>
      </c>
      <c r="O248" s="90">
        <v>45008</v>
      </c>
      <c r="P248" s="91">
        <v>783.875</v>
      </c>
      <c r="Q248" s="91">
        <v>781.57501219999995</v>
      </c>
      <c r="R248" s="91">
        <v>752.13739009999995</v>
      </c>
      <c r="S248" s="91">
        <v>28364178</v>
      </c>
      <c r="T248" s="91">
        <v>-8.0000000000000002E-3</v>
      </c>
      <c r="V248" s="90">
        <v>45008</v>
      </c>
      <c r="W248" s="91">
        <v>1383.9499510000001</v>
      </c>
      <c r="X248" s="91">
        <v>1374.5500489999999</v>
      </c>
      <c r="Y248" s="91">
        <v>1260.6374510000001</v>
      </c>
      <c r="Z248" s="91">
        <v>7607718</v>
      </c>
      <c r="AA248" s="91">
        <v>-1.06E-2</v>
      </c>
      <c r="AB248" s="91"/>
      <c r="AC248" s="90">
        <v>45008</v>
      </c>
      <c r="AD248" s="91">
        <v>1332.5</v>
      </c>
      <c r="AE248" s="91">
        <v>1345.150024</v>
      </c>
      <c r="AF248" s="91">
        <v>1341.0924070000001</v>
      </c>
      <c r="AG248" s="91">
        <v>388796</v>
      </c>
      <c r="AH248" s="91">
        <v>1.18E-2</v>
      </c>
      <c r="AI248" s="91"/>
      <c r="AJ248" s="91">
        <f>(F248*'Part 3 Portfolio Analysis'!$B$8+M248*'Part 3 Portfolio Analysis'!$C$8+T248*'Part 3 Portfolio Analysis'!$D$8+AA248*'Part 3 Portfolio Analysis'!$E$8+AH248*'Part 3 Portfolio Analysis'!$F$8)/100</f>
        <v>-8.2485666894799008E-3</v>
      </c>
      <c r="AK248" s="91">
        <f>'Part 3 Portfolio Analysis'!$B$107*F248+M248*'Part 3 Portfolio Analysis'!$C$107+T248*'Part 3 Portfolio Analysis'!$D$107+AA248*'Part 3 Portfolio Analysis'!$E$107+AH248*'Part 3 Portfolio Analysis'!$F$107</f>
        <v>-3.7334999999999998E-3</v>
      </c>
      <c r="AL248" s="91">
        <f>F248*'Part 3 Portfolio Analysis'!$B$121+M248*'Part 3 Portfolio Analysis'!$C$121+'Part 3 Portfolio Analysis'!$D$121*T248+AA248*'Part 3 Portfolio Analysis'!$E$121+'Part 3 Portfolio Analysis'!$F$121*AH248</f>
        <v>-9.5130400000000004E-3</v>
      </c>
      <c r="AM248" s="91"/>
      <c r="AN248" s="90">
        <v>45008</v>
      </c>
      <c r="AO248" s="91">
        <v>17097.400389999999</v>
      </c>
      <c r="AP248" s="91">
        <v>17076.900389999999</v>
      </c>
      <c r="AQ248" s="91">
        <v>17076.900389999999</v>
      </c>
      <c r="AR248" s="91">
        <v>219200</v>
      </c>
      <c r="AS248" s="91">
        <v>-4.4000000000000003E-3</v>
      </c>
    </row>
    <row r="249" spans="1:45" x14ac:dyDescent="0.55000000000000004">
      <c r="A249" s="90">
        <v>45009</v>
      </c>
      <c r="B249" s="91">
        <v>6051.1499020000001</v>
      </c>
      <c r="C249" s="91">
        <v>6000.7001950000003</v>
      </c>
      <c r="D249" s="91">
        <v>5830.5854490000002</v>
      </c>
      <c r="E249" s="91">
        <v>104926</v>
      </c>
      <c r="F249" s="91">
        <v>-6.6E-3</v>
      </c>
      <c r="H249" s="90">
        <v>45009</v>
      </c>
      <c r="I249" s="91">
        <v>1036.182495</v>
      </c>
      <c r="J249" s="91">
        <v>1016.822571</v>
      </c>
      <c r="K249" s="91">
        <v>1005.79895</v>
      </c>
      <c r="L249" s="91">
        <v>12375945</v>
      </c>
      <c r="M249" s="91">
        <v>-1.9800000000000002E-2</v>
      </c>
      <c r="O249" s="90">
        <v>45009</v>
      </c>
      <c r="P249" s="91">
        <v>780</v>
      </c>
      <c r="Q249" s="91">
        <v>780.32501219999995</v>
      </c>
      <c r="R249" s="91">
        <v>750.93444820000002</v>
      </c>
      <c r="S249" s="91">
        <v>31477748</v>
      </c>
      <c r="T249" s="91">
        <v>-1.6000000000000001E-3</v>
      </c>
      <c r="V249" s="90">
        <v>45009</v>
      </c>
      <c r="W249" s="91">
        <v>1388</v>
      </c>
      <c r="X249" s="91">
        <v>1380.650024</v>
      </c>
      <c r="Y249" s="91">
        <v>1266.231812</v>
      </c>
      <c r="Z249" s="91">
        <v>7559127</v>
      </c>
      <c r="AA249" s="91">
        <v>4.4000000000000003E-3</v>
      </c>
      <c r="AB249" s="91"/>
      <c r="AC249" s="90">
        <v>45009</v>
      </c>
      <c r="AD249" s="91">
        <v>1345</v>
      </c>
      <c r="AE249" s="91">
        <v>1310.0500489999999</v>
      </c>
      <c r="AF249" s="91">
        <v>1306.098389</v>
      </c>
      <c r="AG249" s="91">
        <v>316370</v>
      </c>
      <c r="AH249" s="91">
        <v>-2.6100000000000002E-2</v>
      </c>
      <c r="AI249" s="91"/>
      <c r="AJ249" s="91">
        <f>(F249*'Part 3 Portfolio Analysis'!$B$8+M249*'Part 3 Portfolio Analysis'!$C$8+T249*'Part 3 Portfolio Analysis'!$D$8+AA249*'Part 3 Portfolio Analysis'!$E$8+AH249*'Part 3 Portfolio Analysis'!$F$8)/100</f>
        <v>-8.9709901205614114E-3</v>
      </c>
      <c r="AK249" s="91">
        <f>'Part 3 Portfolio Analysis'!$B$107*F249+M249*'Part 3 Portfolio Analysis'!$C$107+T249*'Part 3 Portfolio Analysis'!$D$107+AA249*'Part 3 Portfolio Analysis'!$E$107+AH249*'Part 3 Portfolio Analysis'!$F$107</f>
        <v>-1.3770600000000001E-2</v>
      </c>
      <c r="AL249" s="91">
        <f>F249*'Part 3 Portfolio Analysis'!$B$121+M249*'Part 3 Portfolio Analysis'!$C$121+'Part 3 Portfolio Analysis'!$D$121*T249+AA249*'Part 3 Portfolio Analysis'!$E$121+'Part 3 Portfolio Analysis'!$F$121*AH249</f>
        <v>-9.0896199999999996E-3</v>
      </c>
      <c r="AM249" s="91"/>
      <c r="AN249" s="90">
        <v>45009</v>
      </c>
      <c r="AO249" s="91">
        <v>17076.199219999999</v>
      </c>
      <c r="AP249" s="91">
        <v>16945.050780000001</v>
      </c>
      <c r="AQ249" s="91">
        <v>16945.050780000001</v>
      </c>
      <c r="AR249" s="91">
        <v>228000</v>
      </c>
      <c r="AS249" s="91">
        <v>-7.7000000000000002E-3</v>
      </c>
    </row>
    <row r="250" spans="1:45" x14ac:dyDescent="0.55000000000000004">
      <c r="A250" s="90">
        <v>45012</v>
      </c>
      <c r="B250" s="91">
        <v>6005</v>
      </c>
      <c r="C250" s="91">
        <v>5956.3999020000001</v>
      </c>
      <c r="D250" s="91">
        <v>5787.5410160000001</v>
      </c>
      <c r="E250" s="91">
        <v>91053</v>
      </c>
      <c r="F250" s="91">
        <v>-7.4000000000000003E-3</v>
      </c>
      <c r="H250" s="90">
        <v>45012</v>
      </c>
      <c r="I250" s="91">
        <v>1023.375916</v>
      </c>
      <c r="J250" s="91">
        <v>1032.6289059999999</v>
      </c>
      <c r="K250" s="91">
        <v>1021.433899</v>
      </c>
      <c r="L250" s="91">
        <v>14054323</v>
      </c>
      <c r="M250" s="91">
        <v>1.55E-2</v>
      </c>
      <c r="O250" s="90">
        <v>45012</v>
      </c>
      <c r="P250" s="91">
        <v>781.09997559999999</v>
      </c>
      <c r="Q250" s="91">
        <v>783.72497559999999</v>
      </c>
      <c r="R250" s="91">
        <v>754.20629880000001</v>
      </c>
      <c r="S250" s="91">
        <v>31872006</v>
      </c>
      <c r="T250" s="91">
        <v>4.4000000000000003E-3</v>
      </c>
      <c r="V250" s="90">
        <v>45012</v>
      </c>
      <c r="W250" s="91">
        <v>1386.25</v>
      </c>
      <c r="X250" s="91">
        <v>1388.9499510000001</v>
      </c>
      <c r="Y250" s="91">
        <v>1273.8439940000001</v>
      </c>
      <c r="Z250" s="91">
        <v>4170193</v>
      </c>
      <c r="AA250" s="91">
        <v>6.0000000000000001E-3</v>
      </c>
      <c r="AB250" s="91"/>
      <c r="AC250" s="90">
        <v>45012</v>
      </c>
      <c r="AD250" s="91">
        <v>1316.650024</v>
      </c>
      <c r="AE250" s="91">
        <v>1328.4499510000001</v>
      </c>
      <c r="AF250" s="91">
        <v>1324.4426269999999</v>
      </c>
      <c r="AG250" s="91">
        <v>456288</v>
      </c>
      <c r="AH250" s="91">
        <v>1.4E-2</v>
      </c>
      <c r="AI250" s="91"/>
      <c r="AJ250" s="91">
        <f>(F250*'Part 3 Portfolio Analysis'!$B$8+M250*'Part 3 Portfolio Analysis'!$C$8+T250*'Part 3 Portfolio Analysis'!$D$8+AA250*'Part 3 Portfolio Analysis'!$E$8+AH250*'Part 3 Portfolio Analysis'!$F$8)/100</f>
        <v>5.2348497159970184E-3</v>
      </c>
      <c r="AK250" s="91">
        <f>'Part 3 Portfolio Analysis'!$B$107*F250+M250*'Part 3 Portfolio Analysis'!$C$107+T250*'Part 3 Portfolio Analysis'!$D$107+AA250*'Part 3 Portfolio Analysis'!$E$107+AH250*'Part 3 Portfolio Analysis'!$F$107</f>
        <v>8.3295000000000001E-3</v>
      </c>
      <c r="AL250" s="91">
        <f>F250*'Part 3 Portfolio Analysis'!$B$121+M250*'Part 3 Portfolio Analysis'!$C$121+'Part 3 Portfolio Analysis'!$D$121*T250+AA250*'Part 3 Portfolio Analysis'!$E$121+'Part 3 Portfolio Analysis'!$F$121*AH250</f>
        <v>8.6591200000000011E-3</v>
      </c>
      <c r="AM250" s="91"/>
      <c r="AN250" s="90">
        <v>45012</v>
      </c>
      <c r="AO250" s="91">
        <v>16984.300780000001</v>
      </c>
      <c r="AP250" s="91">
        <v>16985.699219999999</v>
      </c>
      <c r="AQ250" s="91">
        <v>16985.699219999999</v>
      </c>
      <c r="AR250" s="91">
        <v>218400</v>
      </c>
      <c r="AS250" s="91">
        <v>2.3999999999999998E-3</v>
      </c>
    </row>
    <row r="251" spans="1:45" x14ac:dyDescent="0.55000000000000004">
      <c r="A251" s="90">
        <v>45013</v>
      </c>
      <c r="B251" s="91">
        <v>5986.2001950000003</v>
      </c>
      <c r="C251" s="91">
        <v>5926.1499020000001</v>
      </c>
      <c r="D251" s="91">
        <v>5758.1489259999998</v>
      </c>
      <c r="E251" s="91">
        <v>120434</v>
      </c>
      <c r="F251" s="91">
        <v>-5.1000000000000004E-3</v>
      </c>
      <c r="H251" s="90">
        <v>45013</v>
      </c>
      <c r="I251" s="91">
        <v>1036.067139</v>
      </c>
      <c r="J251" s="91">
        <v>1037.4516599999999</v>
      </c>
      <c r="K251" s="91">
        <v>1026.2044679999999</v>
      </c>
      <c r="L251" s="91">
        <v>12576424</v>
      </c>
      <c r="M251" s="91">
        <v>4.7000000000000002E-3</v>
      </c>
      <c r="O251" s="90">
        <v>45013</v>
      </c>
      <c r="P251" s="91">
        <v>782.84997559999999</v>
      </c>
      <c r="Q251" s="91">
        <v>790.09997559999999</v>
      </c>
      <c r="R251" s="91">
        <v>760.34124759999997</v>
      </c>
      <c r="S251" s="91">
        <v>39276302</v>
      </c>
      <c r="T251" s="91">
        <v>8.0999999999999996E-3</v>
      </c>
      <c r="V251" s="90">
        <v>45013</v>
      </c>
      <c r="W251" s="91">
        <v>1392.099976</v>
      </c>
      <c r="X251" s="91">
        <v>1377.599976</v>
      </c>
      <c r="Y251" s="91">
        <v>1263.434814</v>
      </c>
      <c r="Z251" s="91">
        <v>6633366</v>
      </c>
      <c r="AA251" s="91">
        <v>-8.2000000000000007E-3</v>
      </c>
      <c r="AB251" s="91"/>
      <c r="AC251" s="90">
        <v>45013</v>
      </c>
      <c r="AD251" s="91">
        <v>1336</v>
      </c>
      <c r="AE251" s="91">
        <v>1291.150024</v>
      </c>
      <c r="AF251" s="91">
        <v>1287.255371</v>
      </c>
      <c r="AG251" s="91">
        <v>474383</v>
      </c>
      <c r="AH251" s="91">
        <v>-2.81E-2</v>
      </c>
      <c r="AI251" s="91"/>
      <c r="AJ251" s="91">
        <f>(F251*'Part 3 Portfolio Analysis'!$B$8+M251*'Part 3 Portfolio Analysis'!$C$8+T251*'Part 3 Portfolio Analysis'!$D$8+AA251*'Part 3 Portfolio Analysis'!$E$8+AH251*'Part 3 Portfolio Analysis'!$F$8)/100</f>
        <v>-6.9453845337890467E-5</v>
      </c>
      <c r="AK251" s="91">
        <f>'Part 3 Portfolio Analysis'!$B$107*F251+M251*'Part 3 Portfolio Analysis'!$C$107+T251*'Part 3 Portfolio Analysis'!$D$107+AA251*'Part 3 Portfolio Analysis'!$E$107+AH251*'Part 3 Portfolio Analysis'!$F$107</f>
        <v>-6.0926000000000001E-3</v>
      </c>
      <c r="AL251" s="91">
        <f>F251*'Part 3 Portfolio Analysis'!$B$121+M251*'Part 3 Portfolio Analysis'!$C$121+'Part 3 Portfolio Analysis'!$D$121*T251+AA251*'Part 3 Portfolio Analysis'!$E$121+'Part 3 Portfolio Analysis'!$F$121*AH251</f>
        <v>1.37988E-3</v>
      </c>
      <c r="AM251" s="91"/>
      <c r="AN251" s="90">
        <v>45013</v>
      </c>
      <c r="AO251" s="91">
        <v>17031.75</v>
      </c>
      <c r="AP251" s="91">
        <v>16951.699219999999</v>
      </c>
      <c r="AQ251" s="91">
        <v>16951.699219999999</v>
      </c>
      <c r="AR251" s="91">
        <v>238800</v>
      </c>
      <c r="AS251" s="91">
        <v>-2E-3</v>
      </c>
    </row>
    <row r="252" spans="1:45" x14ac:dyDescent="0.55000000000000004">
      <c r="A252" s="90">
        <v>45014</v>
      </c>
      <c r="B252" s="91">
        <v>5929</v>
      </c>
      <c r="C252" s="91">
        <v>5956.0498049999997</v>
      </c>
      <c r="D252" s="91">
        <v>5787.2006840000004</v>
      </c>
      <c r="E252" s="91">
        <v>98539</v>
      </c>
      <c r="F252" s="91">
        <v>5.0000000000000001E-3</v>
      </c>
      <c r="H252" s="90">
        <v>45014</v>
      </c>
      <c r="I252" s="91">
        <v>1033.298096</v>
      </c>
      <c r="J252" s="91">
        <v>1031.313721</v>
      </c>
      <c r="K252" s="91">
        <v>1020.132996</v>
      </c>
      <c r="L252" s="91">
        <v>18804065</v>
      </c>
      <c r="M252" s="91">
        <v>-5.8999999999999999E-3</v>
      </c>
      <c r="O252" s="90">
        <v>45014</v>
      </c>
      <c r="P252" s="91">
        <v>792</v>
      </c>
      <c r="Q252" s="91">
        <v>793.90002440000001</v>
      </c>
      <c r="R252" s="91">
        <v>763.9981689</v>
      </c>
      <c r="S252" s="91">
        <v>39763612</v>
      </c>
      <c r="T252" s="91">
        <v>4.7999999999999996E-3</v>
      </c>
      <c r="V252" s="90">
        <v>45014</v>
      </c>
      <c r="W252" s="91">
        <v>1379</v>
      </c>
      <c r="X252" s="91">
        <v>1383.5500489999999</v>
      </c>
      <c r="Y252" s="91">
        <v>1268.8914789999999</v>
      </c>
      <c r="Z252" s="91">
        <v>8813966</v>
      </c>
      <c r="AA252" s="91">
        <v>4.3E-3</v>
      </c>
      <c r="AB252" s="91"/>
      <c r="AC252" s="90">
        <v>45014</v>
      </c>
      <c r="AD252" s="91">
        <v>1288</v>
      </c>
      <c r="AE252" s="91">
        <v>1335.849976</v>
      </c>
      <c r="AF252" s="91">
        <v>1331.8204350000001</v>
      </c>
      <c r="AG252" s="91">
        <v>508829</v>
      </c>
      <c r="AH252" s="91">
        <v>3.4599999999999999E-2</v>
      </c>
      <c r="AI252" s="91"/>
      <c r="AJ252" s="91">
        <f>(F252*'Part 3 Portfolio Analysis'!$B$8+M252*'Part 3 Portfolio Analysis'!$C$8+T252*'Part 3 Portfolio Analysis'!$D$8+AA252*'Part 3 Portfolio Analysis'!$E$8+AH252*'Part 3 Portfolio Analysis'!$F$8)/100</f>
        <v>1.1922489781269027E-3</v>
      </c>
      <c r="AK252" s="91">
        <f>'Part 3 Portfolio Analysis'!$B$107*F252+M252*'Part 3 Portfolio Analysis'!$C$107+T252*'Part 3 Portfolio Analysis'!$D$107+AA252*'Part 3 Portfolio Analysis'!$E$107+AH252*'Part 3 Portfolio Analysis'!$F$107</f>
        <v>8.9464999999999996E-3</v>
      </c>
      <c r="AL252" s="91">
        <f>F252*'Part 3 Portfolio Analysis'!$B$121+M252*'Part 3 Portfolio Analysis'!$C$121+'Part 3 Portfolio Analysis'!$D$121*T252+AA252*'Part 3 Portfolio Analysis'!$E$121+'Part 3 Portfolio Analysis'!$F$121*AH252</f>
        <v>1.0074800000000003E-3</v>
      </c>
      <c r="AM252" s="91"/>
      <c r="AN252" s="90">
        <v>45014</v>
      </c>
      <c r="AO252" s="91">
        <v>16977.300780000001</v>
      </c>
      <c r="AP252" s="91">
        <v>17080.699219999999</v>
      </c>
      <c r="AQ252" s="91">
        <v>17080.699219999999</v>
      </c>
      <c r="AR252" s="91">
        <v>345900</v>
      </c>
      <c r="AS252" s="91">
        <v>7.6E-3</v>
      </c>
    </row>
    <row r="253" spans="1:45" x14ac:dyDescent="0.55000000000000004">
      <c r="A253" s="90">
        <v>45016</v>
      </c>
      <c r="B253" s="91">
        <v>5985.8500979999999</v>
      </c>
      <c r="C253" s="91">
        <v>5959.1000979999999</v>
      </c>
      <c r="D253" s="91">
        <v>5790.1650390000004</v>
      </c>
      <c r="E253" s="91">
        <v>134855</v>
      </c>
      <c r="F253" s="91">
        <v>5.0000000000000001E-4</v>
      </c>
      <c r="H253" s="90">
        <v>45016</v>
      </c>
      <c r="I253" s="91">
        <v>1040.682129</v>
      </c>
      <c r="J253" s="91">
        <v>1075.7791749999999</v>
      </c>
      <c r="K253" s="91">
        <v>1064.1164550000001</v>
      </c>
      <c r="L253" s="91">
        <v>28171201</v>
      </c>
      <c r="M253" s="91">
        <v>4.3099999999999999E-2</v>
      </c>
      <c r="O253" s="90">
        <v>45016</v>
      </c>
      <c r="P253" s="91">
        <v>797.79998780000005</v>
      </c>
      <c r="Q253" s="91">
        <v>804.77502440000001</v>
      </c>
      <c r="R253" s="91">
        <v>774.46350099999995</v>
      </c>
      <c r="S253" s="91">
        <v>34711228</v>
      </c>
      <c r="T253" s="91">
        <v>1.37E-2</v>
      </c>
      <c r="V253" s="90">
        <v>45016</v>
      </c>
      <c r="W253" s="91">
        <v>1404</v>
      </c>
      <c r="X253" s="91">
        <v>1427.9499510000001</v>
      </c>
      <c r="Y253" s="91">
        <v>1309.612061</v>
      </c>
      <c r="Z253" s="91">
        <v>8711975</v>
      </c>
      <c r="AA253" s="91">
        <v>3.2099999999999997E-2</v>
      </c>
      <c r="AB253" s="91"/>
      <c r="AC253" s="90">
        <v>45016</v>
      </c>
      <c r="AD253" s="91">
        <v>1336</v>
      </c>
      <c r="AE253" s="91">
        <v>1374.9499510000001</v>
      </c>
      <c r="AF253" s="91">
        <v>1370.80249</v>
      </c>
      <c r="AG253" s="91">
        <v>675734</v>
      </c>
      <c r="AH253" s="91">
        <v>2.93E-2</v>
      </c>
      <c r="AI253" s="91"/>
      <c r="AJ253" s="91">
        <f>(F253*'Part 3 Portfolio Analysis'!$B$8+M253*'Part 3 Portfolio Analysis'!$C$8+T253*'Part 3 Portfolio Analysis'!$D$8+AA253*'Part 3 Portfolio Analysis'!$E$8+AH253*'Part 3 Portfolio Analysis'!$F$8)/100</f>
        <v>2.3510561702535755E-2</v>
      </c>
      <c r="AK253" s="91">
        <f>'Part 3 Portfolio Analysis'!$B$107*F253+M253*'Part 3 Portfolio Analysis'!$C$107+T253*'Part 3 Portfolio Analysis'!$D$107+AA253*'Part 3 Portfolio Analysis'!$E$107+AH253*'Part 3 Portfolio Analysis'!$F$107</f>
        <v>2.6297400000000002E-2</v>
      </c>
      <c r="AL253" s="91">
        <f>F253*'Part 3 Portfolio Analysis'!$B$121+M253*'Part 3 Portfolio Analysis'!$C$121+'Part 3 Portfolio Analysis'!$D$121*T253+AA253*'Part 3 Portfolio Analysis'!$E$121+'Part 3 Portfolio Analysis'!$F$121*AH253</f>
        <v>2.9039919999999997E-2</v>
      </c>
      <c r="AM253" s="91"/>
      <c r="AN253" s="90">
        <v>45016</v>
      </c>
      <c r="AO253" s="91">
        <v>17210.349610000001</v>
      </c>
      <c r="AP253" s="91">
        <v>17359.75</v>
      </c>
      <c r="AQ253" s="91">
        <v>17359.75</v>
      </c>
      <c r="AR253" s="91">
        <v>263900</v>
      </c>
      <c r="AS253" s="91">
        <v>1.6299999999999999E-2</v>
      </c>
    </row>
    <row r="254" spans="1:45" x14ac:dyDescent="0.55000000000000004">
      <c r="A254" s="90">
        <v>45019</v>
      </c>
      <c r="B254" s="91">
        <v>6070</v>
      </c>
      <c r="C254" s="91">
        <v>6011.2998049999997</v>
      </c>
      <c r="D254" s="91">
        <v>5840.8842770000001</v>
      </c>
      <c r="E254" s="91">
        <v>110447</v>
      </c>
      <c r="F254" s="91">
        <v>8.8000000000000005E-3</v>
      </c>
      <c r="H254" s="90">
        <v>45019</v>
      </c>
      <c r="I254" s="91">
        <v>1082.217163</v>
      </c>
      <c r="J254" s="91">
        <v>1075.963745</v>
      </c>
      <c r="K254" s="91">
        <v>1064.299072</v>
      </c>
      <c r="L254" s="91">
        <v>10293043</v>
      </c>
      <c r="M254" s="91">
        <v>2.0000000000000001E-4</v>
      </c>
      <c r="O254" s="90">
        <v>45019</v>
      </c>
      <c r="P254" s="91">
        <v>803.77502440000001</v>
      </c>
      <c r="Q254" s="91">
        <v>805.27502440000001</v>
      </c>
      <c r="R254" s="91">
        <v>774.94470209999997</v>
      </c>
      <c r="S254" s="91">
        <v>40025398</v>
      </c>
      <c r="T254" s="91">
        <v>5.9999999999999995E-4</v>
      </c>
      <c r="V254" s="90">
        <v>45019</v>
      </c>
      <c r="W254" s="91">
        <v>1435</v>
      </c>
      <c r="X254" s="91">
        <v>1410.849976</v>
      </c>
      <c r="Y254" s="91">
        <v>1293.929077</v>
      </c>
      <c r="Z254" s="91">
        <v>5242764</v>
      </c>
      <c r="AA254" s="91">
        <v>-1.2E-2</v>
      </c>
      <c r="AB254" s="91"/>
      <c r="AC254" s="90">
        <v>45019</v>
      </c>
      <c r="AD254" s="91">
        <v>1393</v>
      </c>
      <c r="AE254" s="91">
        <v>1357.400024</v>
      </c>
      <c r="AF254" s="91">
        <v>1353.3055420000001</v>
      </c>
      <c r="AG254" s="91">
        <v>401477</v>
      </c>
      <c r="AH254" s="91">
        <v>-1.2800000000000001E-2</v>
      </c>
      <c r="AI254" s="91"/>
      <c r="AJ254" s="91">
        <f>(F254*'Part 3 Portfolio Analysis'!$B$8+M254*'Part 3 Portfolio Analysis'!$C$8+T254*'Part 3 Portfolio Analysis'!$D$8+AA254*'Part 3 Portfolio Analysis'!$E$8+AH254*'Part 3 Portfolio Analysis'!$F$8)/100</f>
        <v>7.5627876901526757E-4</v>
      </c>
      <c r="AK254" s="91">
        <f>'Part 3 Portfolio Analysis'!$B$107*F254+M254*'Part 3 Portfolio Analysis'!$C$107+T254*'Part 3 Portfolio Analysis'!$D$107+AA254*'Part 3 Portfolio Analysis'!$E$107+AH254*'Part 3 Portfolio Analysis'!$F$107</f>
        <v>-2.686E-3</v>
      </c>
      <c r="AL254" s="91">
        <f>F254*'Part 3 Portfolio Analysis'!$B$121+M254*'Part 3 Portfolio Analysis'!$C$121+'Part 3 Portfolio Analysis'!$D$121*T254+AA254*'Part 3 Portfolio Analysis'!$E$121+'Part 3 Portfolio Analysis'!$F$121*AH254</f>
        <v>-1.7648800000000001E-3</v>
      </c>
      <c r="AM254" s="91"/>
      <c r="AN254" s="90">
        <v>45019</v>
      </c>
      <c r="AO254" s="91">
        <v>17427.949219999999</v>
      </c>
      <c r="AP254" s="91">
        <v>17398.050780000001</v>
      </c>
      <c r="AQ254" s="91">
        <v>17398.050780000001</v>
      </c>
      <c r="AR254" s="91">
        <v>230200</v>
      </c>
      <c r="AS254" s="91">
        <v>2.2000000000000001E-3</v>
      </c>
    </row>
    <row r="255" spans="1:45" x14ac:dyDescent="0.55000000000000004">
      <c r="A255" s="90">
        <v>45021</v>
      </c>
      <c r="B255" s="91">
        <v>6027</v>
      </c>
      <c r="C255" s="91">
        <v>6099.2001950000003</v>
      </c>
      <c r="D255" s="91">
        <v>5926.2929690000001</v>
      </c>
      <c r="E255" s="91">
        <v>146548</v>
      </c>
      <c r="F255" s="91">
        <v>1.46E-2</v>
      </c>
      <c r="H255" s="90">
        <v>45021</v>
      </c>
      <c r="I255" s="91">
        <v>1083.6015629999999</v>
      </c>
      <c r="J255" s="91">
        <v>1073.3793949999999</v>
      </c>
      <c r="K255" s="91">
        <v>1061.7426760000001</v>
      </c>
      <c r="L255" s="91">
        <v>16262928</v>
      </c>
      <c r="M255" s="91">
        <v>-2.3999999999999998E-3</v>
      </c>
      <c r="O255" s="90">
        <v>45021</v>
      </c>
      <c r="P255" s="91">
        <v>809.29998780000005</v>
      </c>
      <c r="Q255" s="91">
        <v>826.875</v>
      </c>
      <c r="R255" s="91">
        <v>795.73114009999995</v>
      </c>
      <c r="S255" s="91">
        <v>43365392</v>
      </c>
      <c r="T255" s="91">
        <v>2.6800000000000001E-2</v>
      </c>
      <c r="V255" s="90">
        <v>45021</v>
      </c>
      <c r="W255" s="91">
        <v>1400</v>
      </c>
      <c r="X255" s="91">
        <v>1423.5500489999999</v>
      </c>
      <c r="Y255" s="91">
        <v>1305.576904</v>
      </c>
      <c r="Z255" s="91">
        <v>7506334</v>
      </c>
      <c r="AA255" s="91">
        <v>8.9999999999999993E-3</v>
      </c>
      <c r="AB255" s="91"/>
      <c r="AC255" s="90">
        <v>45021</v>
      </c>
      <c r="AD255" s="91">
        <v>1360</v>
      </c>
      <c r="AE255" s="91">
        <v>1364.8000489999999</v>
      </c>
      <c r="AF255" s="91">
        <v>1360.6832280000001</v>
      </c>
      <c r="AG255" s="91">
        <v>212990</v>
      </c>
      <c r="AH255" s="91">
        <v>5.4999999999999997E-3</v>
      </c>
      <c r="AI255" s="91"/>
      <c r="AJ255" s="91">
        <f>(F255*'Part 3 Portfolio Analysis'!$B$8+M255*'Part 3 Portfolio Analysis'!$C$8+T255*'Part 3 Portfolio Analysis'!$D$8+AA255*'Part 3 Portfolio Analysis'!$E$8+AH255*'Part 3 Portfolio Analysis'!$F$8)/100</f>
        <v>9.4827849641890335E-3</v>
      </c>
      <c r="AK255" s="91">
        <f>'Part 3 Portfolio Analysis'!$B$107*F255+M255*'Part 3 Portfolio Analysis'!$C$107+T255*'Part 3 Portfolio Analysis'!$D$107+AA255*'Part 3 Portfolio Analysis'!$E$107+AH255*'Part 3 Portfolio Analysis'!$F$107</f>
        <v>8.3167999999999992E-3</v>
      </c>
      <c r="AL255" s="91">
        <f>F255*'Part 3 Portfolio Analysis'!$B$121+M255*'Part 3 Portfolio Analysis'!$C$121+'Part 3 Portfolio Analysis'!$D$121*T255+AA255*'Part 3 Portfolio Analysis'!$E$121+'Part 3 Portfolio Analysis'!$F$121*AH255</f>
        <v>9.4267800000000009E-3</v>
      </c>
      <c r="AM255" s="91"/>
      <c r="AN255" s="90">
        <v>45021</v>
      </c>
      <c r="AO255" s="91">
        <v>17422.300780000001</v>
      </c>
      <c r="AP255" s="91">
        <v>17557.050780000001</v>
      </c>
      <c r="AQ255" s="91">
        <v>17557.050780000001</v>
      </c>
      <c r="AR255" s="91">
        <v>248300</v>
      </c>
      <c r="AS255" s="91">
        <v>9.1000000000000004E-3</v>
      </c>
    </row>
    <row r="256" spans="1:45" x14ac:dyDescent="0.55000000000000004">
      <c r="A256" s="90">
        <v>45022</v>
      </c>
      <c r="B256" s="91">
        <v>6096</v>
      </c>
      <c r="C256" s="91">
        <v>6068.1499020000001</v>
      </c>
      <c r="D256" s="91">
        <v>5896.123047</v>
      </c>
      <c r="E256" s="91">
        <v>97084</v>
      </c>
      <c r="F256" s="91">
        <v>-5.1000000000000004E-3</v>
      </c>
      <c r="H256" s="90">
        <v>45022</v>
      </c>
      <c r="I256" s="91">
        <v>1069.8258060000001</v>
      </c>
      <c r="J256" s="91">
        <v>1080.5787350000001</v>
      </c>
      <c r="K256" s="91">
        <v>1068.8638920000001</v>
      </c>
      <c r="L256" s="91">
        <v>18435046</v>
      </c>
      <c r="M256" s="91">
        <v>6.7000000000000002E-3</v>
      </c>
      <c r="O256" s="90">
        <v>45022</v>
      </c>
      <c r="P256" s="91">
        <v>824.27502440000001</v>
      </c>
      <c r="Q256" s="91">
        <v>833.17498780000005</v>
      </c>
      <c r="R256" s="91">
        <v>801.79382320000002</v>
      </c>
      <c r="S256" s="91">
        <v>44637344</v>
      </c>
      <c r="T256" s="91">
        <v>7.6E-3</v>
      </c>
      <c r="V256" s="90">
        <v>45022</v>
      </c>
      <c r="W256" s="91">
        <v>1416</v>
      </c>
      <c r="X256" s="91">
        <v>1421.900024</v>
      </c>
      <c r="Y256" s="91">
        <v>1304.0634769999999</v>
      </c>
      <c r="Z256" s="91">
        <v>6948465</v>
      </c>
      <c r="AA256" s="91">
        <v>-1.1999999999999999E-3</v>
      </c>
      <c r="AB256" s="91"/>
      <c r="AC256" s="90">
        <v>45022</v>
      </c>
      <c r="AD256" s="91">
        <v>1367</v>
      </c>
      <c r="AE256" s="91">
        <v>1367.25</v>
      </c>
      <c r="AF256" s="91">
        <v>1363.125732</v>
      </c>
      <c r="AG256" s="91">
        <v>343855</v>
      </c>
      <c r="AH256" s="91">
        <v>1.8E-3</v>
      </c>
      <c r="AI256" s="91"/>
      <c r="AJ256" s="91">
        <f>(F256*'Part 3 Portfolio Analysis'!$B$8+M256*'Part 3 Portfolio Analysis'!$C$8+T256*'Part 3 Portfolio Analysis'!$D$8+AA256*'Part 3 Portfolio Analysis'!$E$8+AH256*'Part 3 Portfolio Analysis'!$F$8)/100</f>
        <v>1.9908656038895838E-3</v>
      </c>
      <c r="AK256" s="91">
        <f>'Part 3 Portfolio Analysis'!$B$107*F256+M256*'Part 3 Portfolio Analysis'!$C$107+T256*'Part 3 Portfolio Analysis'!$D$107+AA256*'Part 3 Portfolio Analysis'!$E$107+AH256*'Part 3 Portfolio Analysis'!$F$107</f>
        <v>2.6906999999999999E-3</v>
      </c>
      <c r="AL256" s="91">
        <f>F256*'Part 3 Portfolio Analysis'!$B$121+M256*'Part 3 Portfolio Analysis'!$C$121+'Part 3 Portfolio Analysis'!$D$121*T256+AA256*'Part 3 Portfolio Analysis'!$E$121+'Part 3 Portfolio Analysis'!$F$121*AH256</f>
        <v>4.2664599999999997E-3</v>
      </c>
      <c r="AM256" s="91"/>
      <c r="AN256" s="90">
        <v>45022</v>
      </c>
      <c r="AO256" s="91">
        <v>17533.849610000001</v>
      </c>
      <c r="AP256" s="91">
        <v>17599.150389999999</v>
      </c>
      <c r="AQ256" s="91">
        <v>17599.150389999999</v>
      </c>
      <c r="AR256" s="91">
        <v>242700</v>
      </c>
      <c r="AS256" s="91">
        <v>2.3999999999999998E-3</v>
      </c>
    </row>
    <row r="257" spans="1:45" x14ac:dyDescent="0.55000000000000004">
      <c r="A257" s="90">
        <v>45026</v>
      </c>
      <c r="B257" s="91">
        <v>6097</v>
      </c>
      <c r="C257" s="91">
        <v>6201.1000979999999</v>
      </c>
      <c r="D257" s="91">
        <v>6025.3041990000002</v>
      </c>
      <c r="E257" s="91">
        <v>145279</v>
      </c>
      <c r="F257" s="91">
        <v>2.1899999999999999E-2</v>
      </c>
      <c r="H257" s="90">
        <v>45026</v>
      </c>
      <c r="I257" s="91">
        <v>1084.524658</v>
      </c>
      <c r="J257" s="91">
        <v>1072.9178469999999</v>
      </c>
      <c r="K257" s="91">
        <v>1061.2861330000001</v>
      </c>
      <c r="L257" s="91">
        <v>12961408</v>
      </c>
      <c r="M257" s="91">
        <v>-7.1000000000000004E-3</v>
      </c>
      <c r="O257" s="90">
        <v>45026</v>
      </c>
      <c r="P257" s="91">
        <v>831.625</v>
      </c>
      <c r="Q257" s="91">
        <v>829.22497559999999</v>
      </c>
      <c r="R257" s="91">
        <v>797.99267580000003</v>
      </c>
      <c r="S257" s="91">
        <v>31813286</v>
      </c>
      <c r="T257" s="91">
        <v>-4.7000000000000002E-3</v>
      </c>
      <c r="V257" s="90">
        <v>45026</v>
      </c>
      <c r="W257" s="91">
        <v>1423.9499510000001</v>
      </c>
      <c r="X257" s="91">
        <v>1427.599976</v>
      </c>
      <c r="Y257" s="91">
        <v>1309.291138</v>
      </c>
      <c r="Z257" s="91">
        <v>4993788</v>
      </c>
      <c r="AA257" s="91">
        <v>4.0000000000000001E-3</v>
      </c>
      <c r="AB257" s="91"/>
      <c r="AC257" s="90">
        <v>45026</v>
      </c>
      <c r="AD257" s="91">
        <v>1367.25</v>
      </c>
      <c r="AE257" s="91">
        <v>1358.6999510000001</v>
      </c>
      <c r="AF257" s="91">
        <v>1354.6014399999999</v>
      </c>
      <c r="AG257" s="91">
        <v>357266</v>
      </c>
      <c r="AH257" s="91">
        <v>-6.3E-3</v>
      </c>
      <c r="AI257" s="91"/>
      <c r="AJ257" s="91">
        <f>(F257*'Part 3 Portfolio Analysis'!$B$8+M257*'Part 3 Portfolio Analysis'!$C$8+T257*'Part 3 Portfolio Analysis'!$D$8+AA257*'Part 3 Portfolio Analysis'!$E$8+AH257*'Part 3 Portfolio Analysis'!$F$8)/100</f>
        <v>3.7945319843010073E-3</v>
      </c>
      <c r="AK257" s="91">
        <f>'Part 3 Portfolio Analysis'!$B$107*F257+M257*'Part 3 Portfolio Analysis'!$C$107+T257*'Part 3 Portfolio Analysis'!$D$107+AA257*'Part 3 Portfolio Analysis'!$E$107+AH257*'Part 3 Portfolio Analysis'!$F$107</f>
        <v>-1.9640000000000065E-4</v>
      </c>
      <c r="AL257" s="91">
        <f>F257*'Part 3 Portfolio Analysis'!$B$121+M257*'Part 3 Portfolio Analysis'!$C$121+'Part 3 Portfolio Analysis'!$D$121*T257+AA257*'Part 3 Portfolio Analysis'!$E$121+'Part 3 Portfolio Analysis'!$F$121*AH257</f>
        <v>-1.8224400000000005E-3</v>
      </c>
      <c r="AM257" s="91"/>
      <c r="AN257" s="90">
        <v>45026</v>
      </c>
      <c r="AO257" s="91">
        <v>17634.900389999999</v>
      </c>
      <c r="AP257" s="91">
        <v>17624.050780000001</v>
      </c>
      <c r="AQ257" s="91">
        <v>17624.050780000001</v>
      </c>
      <c r="AR257" s="91">
        <v>254800</v>
      </c>
      <c r="AS257" s="91">
        <v>1.4E-3</v>
      </c>
    </row>
    <row r="258" spans="1:45" x14ac:dyDescent="0.55000000000000004">
      <c r="A258" s="90">
        <v>45027</v>
      </c>
      <c r="B258" s="91">
        <v>6205.5</v>
      </c>
      <c r="C258" s="91">
        <v>6381.2998049999997</v>
      </c>
      <c r="D258" s="91">
        <v>6200.3955079999996</v>
      </c>
      <c r="E258" s="91">
        <v>260064</v>
      </c>
      <c r="F258" s="91">
        <v>2.9100000000000001E-2</v>
      </c>
      <c r="H258" s="90">
        <v>45027</v>
      </c>
      <c r="I258" s="91">
        <v>1077.140625</v>
      </c>
      <c r="J258" s="91">
        <v>1078.2250979999999</v>
      </c>
      <c r="K258" s="91">
        <v>1066.535889</v>
      </c>
      <c r="L258" s="91">
        <v>10542367</v>
      </c>
      <c r="M258" s="91">
        <v>4.8999999999999998E-3</v>
      </c>
      <c r="O258" s="90">
        <v>45027</v>
      </c>
      <c r="P258" s="91">
        <v>829.5</v>
      </c>
      <c r="Q258" s="91">
        <v>831.65002440000001</v>
      </c>
      <c r="R258" s="91">
        <v>800.3262939</v>
      </c>
      <c r="S258" s="91">
        <v>42361542</v>
      </c>
      <c r="T258" s="91">
        <v>2.8999999999999998E-3</v>
      </c>
      <c r="V258" s="90">
        <v>45027</v>
      </c>
      <c r="W258" s="91">
        <v>1428.900024</v>
      </c>
      <c r="X258" s="91">
        <v>1406.150024</v>
      </c>
      <c r="Y258" s="91">
        <v>1289.618774</v>
      </c>
      <c r="Z258" s="91">
        <v>6942255</v>
      </c>
      <c r="AA258" s="91">
        <v>-1.4999999999999999E-2</v>
      </c>
      <c r="AB258" s="91"/>
      <c r="AC258" s="90">
        <v>45027</v>
      </c>
      <c r="AD258" s="91">
        <v>1356.099976</v>
      </c>
      <c r="AE258" s="91">
        <v>1354.150024</v>
      </c>
      <c r="AF258" s="91">
        <v>1350.065308</v>
      </c>
      <c r="AG258" s="91">
        <v>235880</v>
      </c>
      <c r="AH258" s="91">
        <v>-3.3E-3</v>
      </c>
      <c r="AI258" s="91"/>
      <c r="AJ258" s="91">
        <f>(F258*'Part 3 Portfolio Analysis'!$B$8+M258*'Part 3 Portfolio Analysis'!$C$8+T258*'Part 3 Portfolio Analysis'!$D$8+AA258*'Part 3 Portfolio Analysis'!$E$8+AH258*'Part 3 Portfolio Analysis'!$F$8)/100</f>
        <v>8.543653064456834E-3</v>
      </c>
      <c r="AK258" s="91">
        <f>'Part 3 Portfolio Analysis'!$B$107*F258+M258*'Part 3 Portfolio Analysis'!$C$107+T258*'Part 3 Portfolio Analysis'!$D$107+AA258*'Part 3 Portfolio Analysis'!$E$107+AH258*'Part 3 Portfolio Analysis'!$F$107</f>
        <v>4.8895999999999992E-3</v>
      </c>
      <c r="AL258" s="91">
        <f>F258*'Part 3 Portfolio Analysis'!$B$121+M258*'Part 3 Portfolio Analysis'!$C$121+'Part 3 Portfolio Analysis'!$D$121*T258+AA258*'Part 3 Portfolio Analysis'!$E$121+'Part 3 Portfolio Analysis'!$F$121*AH258</f>
        <v>2.1504000000000002E-3</v>
      </c>
      <c r="AM258" s="91"/>
      <c r="AN258" s="90">
        <v>45027</v>
      </c>
      <c r="AO258" s="91">
        <v>17704.800780000001</v>
      </c>
      <c r="AP258" s="91">
        <v>17722.300780000001</v>
      </c>
      <c r="AQ258" s="91">
        <v>17722.300780000001</v>
      </c>
      <c r="AR258" s="91">
        <v>304300</v>
      </c>
      <c r="AS258" s="91">
        <v>5.5999999999999999E-3</v>
      </c>
    </row>
    <row r="259" spans="1:45" x14ac:dyDescent="0.55000000000000004">
      <c r="A259" s="90">
        <v>45028</v>
      </c>
      <c r="B259" s="91">
        <v>6404</v>
      </c>
      <c r="C259" s="91">
        <v>6376.9501950000003</v>
      </c>
      <c r="D259" s="91">
        <v>6196.1689450000003</v>
      </c>
      <c r="E259" s="91">
        <v>134439</v>
      </c>
      <c r="F259" s="91">
        <v>-6.9999999999999999E-4</v>
      </c>
      <c r="H259" s="90">
        <v>45028</v>
      </c>
      <c r="I259" s="91">
        <v>1078.2250979999999</v>
      </c>
      <c r="J259" s="91">
        <v>1082.978638</v>
      </c>
      <c r="K259" s="91">
        <v>1071.237793</v>
      </c>
      <c r="L259" s="91">
        <v>18179087</v>
      </c>
      <c r="M259" s="91">
        <v>4.4000000000000003E-3</v>
      </c>
      <c r="O259" s="90">
        <v>45028</v>
      </c>
      <c r="P259" s="91">
        <v>834</v>
      </c>
      <c r="Q259" s="91">
        <v>842.45001219999995</v>
      </c>
      <c r="R259" s="91">
        <v>810.71954349999999</v>
      </c>
      <c r="S259" s="91">
        <v>26955504</v>
      </c>
      <c r="T259" s="91">
        <v>1.2999999999999999E-2</v>
      </c>
      <c r="V259" s="90">
        <v>45028</v>
      </c>
      <c r="W259" s="91">
        <v>1413.0500489999999</v>
      </c>
      <c r="X259" s="91">
        <v>1428.3000489999999</v>
      </c>
      <c r="Y259" s="91">
        <v>1309.9332280000001</v>
      </c>
      <c r="Z259" s="91">
        <v>5831169</v>
      </c>
      <c r="AA259" s="91">
        <v>1.5800000000000002E-2</v>
      </c>
      <c r="AB259" s="91"/>
      <c r="AC259" s="90">
        <v>45028</v>
      </c>
      <c r="AD259" s="91">
        <v>1354.150024</v>
      </c>
      <c r="AE259" s="91">
        <v>1363.25</v>
      </c>
      <c r="AF259" s="91">
        <v>1359.1376949999999</v>
      </c>
      <c r="AG259" s="91">
        <v>177221</v>
      </c>
      <c r="AH259" s="91">
        <v>6.7000000000000002E-3</v>
      </c>
      <c r="AI259" s="91"/>
      <c r="AJ259" s="91">
        <f>(F259*'Part 3 Portfolio Analysis'!$B$8+M259*'Part 3 Portfolio Analysis'!$C$8+T259*'Part 3 Portfolio Analysis'!$D$8+AA259*'Part 3 Portfolio Analysis'!$E$8+AH259*'Part 3 Portfolio Analysis'!$F$8)/100</f>
        <v>6.1617111931612616E-3</v>
      </c>
      <c r="AK259" s="91">
        <f>'Part 3 Portfolio Analysis'!$B$107*F259+M259*'Part 3 Portfolio Analysis'!$C$107+T259*'Part 3 Portfolio Analysis'!$D$107+AA259*'Part 3 Portfolio Analysis'!$E$107+AH259*'Part 3 Portfolio Analysis'!$F$107</f>
        <v>6.5345999999999998E-3</v>
      </c>
      <c r="AL259" s="91">
        <f>F259*'Part 3 Portfolio Analysis'!$B$121+M259*'Part 3 Portfolio Analysis'!$C$121+'Part 3 Portfolio Analysis'!$D$121*T259+AA259*'Part 3 Portfolio Analysis'!$E$121+'Part 3 Portfolio Analysis'!$F$121*AH259</f>
        <v>8.6602400000000013E-3</v>
      </c>
      <c r="AM259" s="91"/>
      <c r="AN259" s="90">
        <v>45028</v>
      </c>
      <c r="AO259" s="91">
        <v>17759.550780000001</v>
      </c>
      <c r="AP259" s="91">
        <v>17812.400389999999</v>
      </c>
      <c r="AQ259" s="91">
        <v>17812.400389999999</v>
      </c>
      <c r="AR259" s="91">
        <v>232800</v>
      </c>
      <c r="AS259" s="91">
        <v>5.1000000000000004E-3</v>
      </c>
    </row>
    <row r="260" spans="1:45" x14ac:dyDescent="0.55000000000000004">
      <c r="A260" s="90">
        <v>45029</v>
      </c>
      <c r="B260" s="91">
        <v>6374</v>
      </c>
      <c r="C260" s="91">
        <v>6283.5</v>
      </c>
      <c r="D260" s="91">
        <v>6105.3681640000004</v>
      </c>
      <c r="E260" s="91">
        <v>86143</v>
      </c>
      <c r="F260" s="91">
        <v>-1.47E-2</v>
      </c>
      <c r="H260" s="90">
        <v>45029</v>
      </c>
      <c r="I260" s="91">
        <v>1085.909058</v>
      </c>
      <c r="J260" s="91">
        <v>1087.062866</v>
      </c>
      <c r="K260" s="91">
        <v>1075.277832</v>
      </c>
      <c r="L260" s="91">
        <v>12378208</v>
      </c>
      <c r="M260" s="91">
        <v>3.8E-3</v>
      </c>
      <c r="O260" s="90">
        <v>45029</v>
      </c>
      <c r="P260" s="91">
        <v>844.15002440000001</v>
      </c>
      <c r="Q260" s="91">
        <v>846.22497559999999</v>
      </c>
      <c r="R260" s="91">
        <v>814.35235599999999</v>
      </c>
      <c r="S260" s="91">
        <v>35330086</v>
      </c>
      <c r="T260" s="91">
        <v>4.4999999999999997E-3</v>
      </c>
      <c r="V260" s="90">
        <v>45029</v>
      </c>
      <c r="W260" s="91">
        <v>1409.75</v>
      </c>
      <c r="X260" s="91">
        <v>1389.1999510000001</v>
      </c>
      <c r="Y260" s="91">
        <v>1274.0732419999999</v>
      </c>
      <c r="Z260" s="91">
        <v>11267238</v>
      </c>
      <c r="AA260" s="91">
        <v>-2.7400000000000001E-2</v>
      </c>
      <c r="AB260" s="91"/>
      <c r="AC260" s="90">
        <v>45029</v>
      </c>
      <c r="AD260" s="91">
        <v>1367.900024</v>
      </c>
      <c r="AE260" s="91">
        <v>1361.8000489999999</v>
      </c>
      <c r="AF260" s="91">
        <v>1357.6922609999999</v>
      </c>
      <c r="AG260" s="91">
        <v>378453</v>
      </c>
      <c r="AH260" s="91">
        <v>-1.1000000000000001E-3</v>
      </c>
      <c r="AI260" s="91"/>
      <c r="AJ260" s="91">
        <f>(F260*'Part 3 Portfolio Analysis'!$B$8+M260*'Part 3 Portfolio Analysis'!$C$8+T260*'Part 3 Portfolio Analysis'!$D$8+AA260*'Part 3 Portfolio Analysis'!$E$8+AH260*'Part 3 Portfolio Analysis'!$F$8)/100</f>
        <v>-6.7022491147156991E-3</v>
      </c>
      <c r="AK260" s="91">
        <f>'Part 3 Portfolio Analysis'!$B$107*F260+M260*'Part 3 Portfolio Analysis'!$C$107+T260*'Part 3 Portfolio Analysis'!$D$107+AA260*'Part 3 Portfolio Analysis'!$E$107+AH260*'Part 3 Portfolio Analysis'!$F$107</f>
        <v>-3.7763000000000002E-3</v>
      </c>
      <c r="AL260" s="91">
        <f>F260*'Part 3 Portfolio Analysis'!$B$121+M260*'Part 3 Portfolio Analysis'!$C$121+'Part 3 Portfolio Analysis'!$D$121*T260+AA260*'Part 3 Portfolio Analysis'!$E$121+'Part 3 Portfolio Analysis'!$F$121*AH260</f>
        <v>-3.8986800000000003E-3</v>
      </c>
      <c r="AM260" s="91"/>
      <c r="AN260" s="90">
        <v>45029</v>
      </c>
      <c r="AO260" s="91">
        <v>17807.300780000001</v>
      </c>
      <c r="AP260" s="91">
        <v>17828</v>
      </c>
      <c r="AQ260" s="91">
        <v>17828</v>
      </c>
      <c r="AR260" s="91">
        <v>285800</v>
      </c>
      <c r="AS260" s="91">
        <v>8.9999999999999998E-4</v>
      </c>
    </row>
    <row r="261" spans="1:45" x14ac:dyDescent="0.55000000000000004">
      <c r="A261" s="90">
        <v>45033</v>
      </c>
      <c r="B261" s="91">
        <v>6237.9501950000003</v>
      </c>
      <c r="C261" s="91">
        <v>6289.75</v>
      </c>
      <c r="D261" s="91">
        <v>6111.4409180000002</v>
      </c>
      <c r="E261" s="91">
        <v>108512</v>
      </c>
      <c r="F261" s="91">
        <v>1E-3</v>
      </c>
      <c r="H261" s="90">
        <v>45033</v>
      </c>
      <c r="I261" s="91">
        <v>1119.114014</v>
      </c>
      <c r="J261" s="91">
        <v>1092.577759</v>
      </c>
      <c r="K261" s="91">
        <v>1080.7329099999999</v>
      </c>
      <c r="L261" s="91">
        <v>17929479</v>
      </c>
      <c r="M261" s="91">
        <v>5.1000000000000004E-3</v>
      </c>
      <c r="O261" s="90">
        <v>45033</v>
      </c>
      <c r="P261" s="91">
        <v>860</v>
      </c>
      <c r="Q261" s="91">
        <v>833.32501219999995</v>
      </c>
      <c r="R261" s="91">
        <v>801.93829349999999</v>
      </c>
      <c r="S261" s="91">
        <v>32405148</v>
      </c>
      <c r="T261" s="91">
        <v>-1.52E-2</v>
      </c>
      <c r="V261" s="90">
        <v>45033</v>
      </c>
      <c r="W261" s="91">
        <v>1250.3000489999999</v>
      </c>
      <c r="X261" s="91">
        <v>1258.3000489999999</v>
      </c>
      <c r="Y261" s="91">
        <v>1154.021362</v>
      </c>
      <c r="Z261" s="91">
        <v>53171705</v>
      </c>
      <c r="AA261" s="91">
        <v>-9.4200000000000006E-2</v>
      </c>
      <c r="AB261" s="91"/>
      <c r="AC261" s="90">
        <v>45033</v>
      </c>
      <c r="AD261" s="91">
        <v>1356</v>
      </c>
      <c r="AE261" s="91">
        <v>1363.3000489999999</v>
      </c>
      <c r="AF261" s="91">
        <v>1359.1877440000001</v>
      </c>
      <c r="AG261" s="91">
        <v>375958</v>
      </c>
      <c r="AH261" s="91">
        <v>1.1000000000000001E-3</v>
      </c>
      <c r="AI261" s="91"/>
      <c r="AJ261" s="91">
        <f>(F261*'Part 3 Portfolio Analysis'!$B$8+M261*'Part 3 Portfolio Analysis'!$C$8+T261*'Part 3 Portfolio Analysis'!$D$8+AA261*'Part 3 Portfolio Analysis'!$E$8+AH261*'Part 3 Portfolio Analysis'!$F$8)/100</f>
        <v>-1.553609569643576E-2</v>
      </c>
      <c r="AK261" s="91">
        <f>'Part 3 Portfolio Analysis'!$B$107*F261+M261*'Part 3 Portfolio Analysis'!$C$107+T261*'Part 3 Portfolio Analysis'!$D$107+AA261*'Part 3 Portfolio Analysis'!$E$107+AH261*'Part 3 Portfolio Analysis'!$F$107</f>
        <v>-9.7225000000000002E-3</v>
      </c>
      <c r="AL261" s="91">
        <f>F261*'Part 3 Portfolio Analysis'!$B$121+M261*'Part 3 Portfolio Analysis'!$C$121+'Part 3 Portfolio Analysis'!$D$121*T261+AA261*'Part 3 Portfolio Analysis'!$E$121+'Part 3 Portfolio Analysis'!$F$121*AH261</f>
        <v>-2.0723420000000003E-2</v>
      </c>
      <c r="AM261" s="91"/>
      <c r="AN261" s="90">
        <v>45033</v>
      </c>
      <c r="AO261" s="91">
        <v>17863</v>
      </c>
      <c r="AP261" s="91">
        <v>17706.849610000001</v>
      </c>
      <c r="AQ261" s="91">
        <v>17706.849610000001</v>
      </c>
      <c r="AR261" s="91">
        <v>357400</v>
      </c>
      <c r="AS261" s="91">
        <v>-6.7999999999999996E-3</v>
      </c>
    </row>
    <row r="262" spans="1:45" x14ac:dyDescent="0.55000000000000004">
      <c r="A262" s="90">
        <v>45034</v>
      </c>
      <c r="B262" s="91">
        <v>6298.75</v>
      </c>
      <c r="C262" s="91">
        <v>6367.2998049999997</v>
      </c>
      <c r="D262" s="91">
        <v>6186.7919920000004</v>
      </c>
      <c r="E262" s="91">
        <v>100611</v>
      </c>
      <c r="F262" s="91">
        <v>1.23E-2</v>
      </c>
      <c r="H262" s="90">
        <v>45034</v>
      </c>
      <c r="I262" s="91">
        <v>1096.985107</v>
      </c>
      <c r="J262" s="91">
        <v>1080.0711670000001</v>
      </c>
      <c r="K262" s="91">
        <v>1068.361938</v>
      </c>
      <c r="L262" s="91">
        <v>10405576</v>
      </c>
      <c r="M262" s="91">
        <v>-1.14E-2</v>
      </c>
      <c r="O262" s="90">
        <v>45034</v>
      </c>
      <c r="P262" s="91">
        <v>835</v>
      </c>
      <c r="Q262" s="91">
        <v>829.79998780000005</v>
      </c>
      <c r="R262" s="91">
        <v>798.54602050000005</v>
      </c>
      <c r="S262" s="91">
        <v>29637226</v>
      </c>
      <c r="T262" s="91">
        <v>-4.1999999999999997E-3</v>
      </c>
      <c r="V262" s="90">
        <v>45034</v>
      </c>
      <c r="W262" s="91">
        <v>1269.9499510000001</v>
      </c>
      <c r="X262" s="91">
        <v>1259.349976</v>
      </c>
      <c r="Y262" s="91">
        <v>1154.9842530000001</v>
      </c>
      <c r="Z262" s="91">
        <v>12430884</v>
      </c>
      <c r="AA262" s="91">
        <v>8.0000000000000004E-4</v>
      </c>
      <c r="AB262" s="91"/>
      <c r="AC262" s="90">
        <v>45034</v>
      </c>
      <c r="AD262" s="91">
        <v>1363.3000489999999</v>
      </c>
      <c r="AE262" s="91">
        <v>1361.099976</v>
      </c>
      <c r="AF262" s="91">
        <v>1356.9941409999999</v>
      </c>
      <c r="AG262" s="91">
        <v>502824</v>
      </c>
      <c r="AH262" s="91">
        <v>-1.6000000000000001E-3</v>
      </c>
      <c r="AI262" s="91"/>
      <c r="AJ262" s="91">
        <f>(F262*'Part 3 Portfolio Analysis'!$B$8+M262*'Part 3 Portfolio Analysis'!$C$8+T262*'Part 3 Portfolio Analysis'!$D$8+AA262*'Part 3 Portfolio Analysis'!$E$8+AH262*'Part 3 Portfolio Analysis'!$F$8)/100</f>
        <v>-1.0297777554973356E-3</v>
      </c>
      <c r="AK262" s="91">
        <f>'Part 3 Portfolio Analysis'!$B$107*F262+M262*'Part 3 Portfolio Analysis'!$C$107+T262*'Part 3 Portfolio Analysis'!$D$107+AA262*'Part 3 Portfolio Analysis'!$E$107+AH262*'Part 3 Portfolio Analysis'!$F$107</f>
        <v>-2.3284000000000004E-3</v>
      </c>
      <c r="AL262" s="91">
        <f>F262*'Part 3 Portfolio Analysis'!$B$121+M262*'Part 3 Portfolio Analysis'!$C$121+'Part 3 Portfolio Analysis'!$D$121*T262+AA262*'Part 3 Portfolio Analysis'!$E$121+'Part 3 Portfolio Analysis'!$F$121*AH262</f>
        <v>-4.7966999999999992E-3</v>
      </c>
      <c r="AM262" s="91"/>
      <c r="AN262" s="90">
        <v>45034</v>
      </c>
      <c r="AO262" s="91">
        <v>17766.599610000001</v>
      </c>
      <c r="AP262" s="91">
        <v>17660.150389999999</v>
      </c>
      <c r="AQ262" s="91">
        <v>17660.150389999999</v>
      </c>
      <c r="AR262" s="91">
        <v>258900</v>
      </c>
      <c r="AS262" s="91">
        <v>-2.5999999999999999E-3</v>
      </c>
    </row>
    <row r="263" spans="1:45" x14ac:dyDescent="0.55000000000000004">
      <c r="A263" s="90">
        <v>45035</v>
      </c>
      <c r="B263" s="91">
        <v>6368</v>
      </c>
      <c r="C263" s="91">
        <v>6307.2001950000003</v>
      </c>
      <c r="D263" s="91">
        <v>6128.3964839999999</v>
      </c>
      <c r="E263" s="91">
        <v>69527</v>
      </c>
      <c r="F263" s="91">
        <v>-9.4000000000000004E-3</v>
      </c>
      <c r="H263" s="90">
        <v>45035</v>
      </c>
      <c r="I263" s="91">
        <v>1079.4711910000001</v>
      </c>
      <c r="J263" s="91">
        <v>1085.4476320000001</v>
      </c>
      <c r="K263" s="91">
        <v>1073.6800539999999</v>
      </c>
      <c r="L263" s="91">
        <v>12273475</v>
      </c>
      <c r="M263" s="91">
        <v>5.0000000000000001E-3</v>
      </c>
      <c r="O263" s="90">
        <v>45035</v>
      </c>
      <c r="P263" s="91">
        <v>832.5</v>
      </c>
      <c r="Q263" s="91">
        <v>832.84997559999999</v>
      </c>
      <c r="R263" s="91">
        <v>801.48107909999999</v>
      </c>
      <c r="S263" s="91">
        <v>24741168</v>
      </c>
      <c r="T263" s="91">
        <v>3.7000000000000002E-3</v>
      </c>
      <c r="V263" s="90">
        <v>45035</v>
      </c>
      <c r="W263" s="91">
        <v>1254.349976</v>
      </c>
      <c r="X263" s="91">
        <v>1232.1999510000001</v>
      </c>
      <c r="Y263" s="91">
        <v>1130.0842290000001</v>
      </c>
      <c r="Z263" s="91">
        <v>11307230</v>
      </c>
      <c r="AA263" s="91">
        <v>-2.1600000000000001E-2</v>
      </c>
      <c r="AB263" s="91"/>
      <c r="AC263" s="90">
        <v>45035</v>
      </c>
      <c r="AD263" s="91">
        <v>1361</v>
      </c>
      <c r="AE263" s="91">
        <v>1359.400024</v>
      </c>
      <c r="AF263" s="91">
        <v>1355.299438</v>
      </c>
      <c r="AG263" s="91">
        <v>212326</v>
      </c>
      <c r="AH263" s="91">
        <v>-1.1999999999999999E-3</v>
      </c>
      <c r="AI263" s="91"/>
      <c r="AJ263" s="91">
        <f>(F263*'Part 3 Portfolio Analysis'!$B$8+M263*'Part 3 Portfolio Analysis'!$C$8+T263*'Part 3 Portfolio Analysis'!$D$8+AA263*'Part 3 Portfolio Analysis'!$E$8+AH263*'Part 3 Portfolio Analysis'!$F$8)/100</f>
        <v>-3.8782857699176262E-3</v>
      </c>
      <c r="AK263" s="91">
        <f>'Part 3 Portfolio Analysis'!$B$107*F263+M263*'Part 3 Portfolio Analysis'!$C$107+T263*'Part 3 Portfolio Analysis'!$D$107+AA263*'Part 3 Portfolio Analysis'!$E$107+AH263*'Part 3 Portfolio Analysis'!$F$107</f>
        <v>-2.0159000000000002E-3</v>
      </c>
      <c r="AL263" s="91">
        <f>F263*'Part 3 Portfolio Analysis'!$B$121+M263*'Part 3 Portfolio Analysis'!$C$121+'Part 3 Portfolio Analysis'!$D$121*T263+AA263*'Part 3 Portfolio Analysis'!$E$121+'Part 3 Portfolio Analysis'!$F$121*AH263</f>
        <v>-2.01972E-3</v>
      </c>
      <c r="AM263" s="91"/>
      <c r="AN263" s="90">
        <v>45035</v>
      </c>
      <c r="AO263" s="91">
        <v>17653.349610000001</v>
      </c>
      <c r="AP263" s="91">
        <v>17618.75</v>
      </c>
      <c r="AQ263" s="91">
        <v>17618.75</v>
      </c>
      <c r="AR263" s="91">
        <v>281500</v>
      </c>
      <c r="AS263" s="91">
        <v>-2.3E-3</v>
      </c>
    </row>
    <row r="264" spans="1:45" x14ac:dyDescent="0.55000000000000004">
      <c r="A264" s="90">
        <v>45036</v>
      </c>
      <c r="B264" s="91">
        <v>6316</v>
      </c>
      <c r="C264" s="91">
        <v>6251.6499020000001</v>
      </c>
      <c r="D264" s="91">
        <v>6074.4208980000003</v>
      </c>
      <c r="E264" s="91">
        <v>90809</v>
      </c>
      <c r="F264" s="91">
        <v>-8.8000000000000005E-3</v>
      </c>
      <c r="H264" s="90">
        <v>45036</v>
      </c>
      <c r="I264" s="91">
        <v>1086.4167480000001</v>
      </c>
      <c r="J264" s="91">
        <v>1082.7016599999999</v>
      </c>
      <c r="K264" s="91">
        <v>1070.963745</v>
      </c>
      <c r="L264" s="91">
        <v>7007330</v>
      </c>
      <c r="M264" s="91">
        <v>-2.5000000000000001E-3</v>
      </c>
      <c r="O264" s="90">
        <v>45036</v>
      </c>
      <c r="P264" s="91">
        <v>835.84997559999999</v>
      </c>
      <c r="Q264" s="91">
        <v>835.95001219999995</v>
      </c>
      <c r="R264" s="91">
        <v>804.46435550000001</v>
      </c>
      <c r="S264" s="91">
        <v>32922716</v>
      </c>
      <c r="T264" s="91">
        <v>3.7000000000000002E-3</v>
      </c>
      <c r="V264" s="90">
        <v>45036</v>
      </c>
      <c r="W264" s="91">
        <v>1230.6999510000001</v>
      </c>
      <c r="X264" s="91">
        <v>1223.400024</v>
      </c>
      <c r="Y264" s="91">
        <v>1122.013794</v>
      </c>
      <c r="Z264" s="91">
        <v>8621249</v>
      </c>
      <c r="AA264" s="91">
        <v>-7.1000000000000004E-3</v>
      </c>
      <c r="AB264" s="91"/>
      <c r="AC264" s="90">
        <v>45036</v>
      </c>
      <c r="AD264" s="91">
        <v>1363.650024</v>
      </c>
      <c r="AE264" s="91">
        <v>1393.6999510000001</v>
      </c>
      <c r="AF264" s="91">
        <v>1389.49585</v>
      </c>
      <c r="AG264" s="91">
        <v>611747</v>
      </c>
      <c r="AH264" s="91">
        <v>2.52E-2</v>
      </c>
      <c r="AI264" s="91"/>
      <c r="AJ264" s="91">
        <f>(F264*'Part 3 Portfolio Analysis'!$B$8+M264*'Part 3 Portfolio Analysis'!$C$8+T264*'Part 3 Portfolio Analysis'!$D$8+AA264*'Part 3 Portfolio Analysis'!$E$8+AH264*'Part 3 Portfolio Analysis'!$F$8)/100</f>
        <v>-3.8253270473425495E-3</v>
      </c>
      <c r="AK264" s="91">
        <f>'Part 3 Portfolio Analysis'!$B$107*F264+M264*'Part 3 Portfolio Analysis'!$C$107+T264*'Part 3 Portfolio Analysis'!$D$107+AA264*'Part 3 Portfolio Analysis'!$E$107+AH264*'Part 3 Portfolio Analysis'!$F$107</f>
        <v>3.8474E-3</v>
      </c>
      <c r="AL264" s="91">
        <f>F264*'Part 3 Portfolio Analysis'!$B$121+M264*'Part 3 Portfolio Analysis'!$C$121+'Part 3 Portfolio Analysis'!$D$121*T264+AA264*'Part 3 Portfolio Analysis'!$E$121+'Part 3 Portfolio Analysis'!$F$121*AH264</f>
        <v>-1.5257200000000004E-3</v>
      </c>
      <c r="AM264" s="91"/>
      <c r="AN264" s="90">
        <v>45036</v>
      </c>
      <c r="AO264" s="91">
        <v>17638.599610000001</v>
      </c>
      <c r="AP264" s="91">
        <v>17624.449219999999</v>
      </c>
      <c r="AQ264" s="91">
        <v>17624.449219999999</v>
      </c>
      <c r="AR264" s="91">
        <v>215100</v>
      </c>
      <c r="AS264" s="91">
        <v>2.9999999999999997E-4</v>
      </c>
    </row>
    <row r="265" spans="1:45" x14ac:dyDescent="0.55000000000000004">
      <c r="A265" s="90">
        <v>45037</v>
      </c>
      <c r="B265" s="91">
        <v>6269</v>
      </c>
      <c r="C265" s="91">
        <v>6281</v>
      </c>
      <c r="D265" s="91">
        <v>6102.9389650000003</v>
      </c>
      <c r="E265" s="91">
        <v>66308</v>
      </c>
      <c r="F265" s="91">
        <v>4.7000000000000002E-3</v>
      </c>
      <c r="H265" s="90">
        <v>45037</v>
      </c>
      <c r="I265" s="91">
        <v>1084.8245850000001</v>
      </c>
      <c r="J265" s="91">
        <v>1084.0631100000001</v>
      </c>
      <c r="K265" s="91">
        <v>1072.310547</v>
      </c>
      <c r="L265" s="91">
        <v>7647317</v>
      </c>
      <c r="M265" s="91">
        <v>1.2999999999999999E-3</v>
      </c>
      <c r="O265" s="90">
        <v>45037</v>
      </c>
      <c r="P265" s="91">
        <v>834.5</v>
      </c>
      <c r="Q265" s="91">
        <v>837.29998780000005</v>
      </c>
      <c r="R265" s="91">
        <v>805.7634888</v>
      </c>
      <c r="S265" s="91">
        <v>20128618</v>
      </c>
      <c r="T265" s="91">
        <v>1.6000000000000001E-3</v>
      </c>
      <c r="V265" s="90">
        <v>45037</v>
      </c>
      <c r="W265" s="91">
        <v>1228.099976</v>
      </c>
      <c r="X265" s="91">
        <v>1227.349976</v>
      </c>
      <c r="Y265" s="91">
        <v>1125.6363530000001</v>
      </c>
      <c r="Z265" s="91">
        <v>8691352</v>
      </c>
      <c r="AA265" s="91">
        <v>3.2000000000000002E-3</v>
      </c>
      <c r="AB265" s="91"/>
      <c r="AC265" s="90">
        <v>45037</v>
      </c>
      <c r="AD265" s="91">
        <v>1401</v>
      </c>
      <c r="AE265" s="91">
        <v>1383.349976</v>
      </c>
      <c r="AF265" s="91">
        <v>1379.177246</v>
      </c>
      <c r="AG265" s="91">
        <v>600063</v>
      </c>
      <c r="AH265" s="91">
        <v>-7.4000000000000003E-3</v>
      </c>
      <c r="AI265" s="91"/>
      <c r="AJ265" s="91">
        <f>(F265*'Part 3 Portfolio Analysis'!$B$8+M265*'Part 3 Portfolio Analysis'!$C$8+T265*'Part 3 Portfolio Analysis'!$D$8+AA265*'Part 3 Portfolio Analysis'!$E$8+AH265*'Part 3 Portfolio Analysis'!$F$8)/100</f>
        <v>2.5907873007292971E-3</v>
      </c>
      <c r="AK265" s="91">
        <f>'Part 3 Portfolio Analysis'!$B$107*F265+M265*'Part 3 Portfolio Analysis'!$C$107+T265*'Part 3 Portfolio Analysis'!$D$107+AA265*'Part 3 Portfolio Analysis'!$E$107+AH265*'Part 3 Portfolio Analysis'!$F$107</f>
        <v>-4.3900000000000146E-5</v>
      </c>
      <c r="AL265" s="91">
        <f>F265*'Part 3 Portfolio Analysis'!$B$121+M265*'Part 3 Portfolio Analysis'!$C$121+'Part 3 Portfolio Analysis'!$D$121*T265+AA265*'Part 3 Portfolio Analysis'!$E$121+'Part 3 Portfolio Analysis'!$F$121*AH265</f>
        <v>1.81314E-3</v>
      </c>
      <c r="AM265" s="91"/>
      <c r="AN265" s="90">
        <v>45037</v>
      </c>
      <c r="AO265" s="91">
        <v>17639.75</v>
      </c>
      <c r="AP265" s="91">
        <v>17624.050780000001</v>
      </c>
      <c r="AQ265" s="91">
        <v>17624.050780000001</v>
      </c>
      <c r="AR265" s="91">
        <v>230200</v>
      </c>
      <c r="AS265" s="91">
        <v>0</v>
      </c>
    </row>
    <row r="266" spans="1:45" x14ac:dyDescent="0.55000000000000004">
      <c r="A266" s="90">
        <v>45040</v>
      </c>
      <c r="B266" s="91">
        <v>6280.8500979999999</v>
      </c>
      <c r="C266" s="91">
        <v>6252.9501950000003</v>
      </c>
      <c r="D266" s="91">
        <v>6075.6845700000003</v>
      </c>
      <c r="E266" s="91">
        <v>61632</v>
      </c>
      <c r="F266" s="91">
        <v>-4.4999999999999997E-3</v>
      </c>
      <c r="H266" s="90">
        <v>45040</v>
      </c>
      <c r="I266" s="91">
        <v>1096.062134</v>
      </c>
      <c r="J266" s="91">
        <v>1088.2166749999999</v>
      </c>
      <c r="K266" s="91">
        <v>1076.419067</v>
      </c>
      <c r="L266" s="91">
        <v>12936186</v>
      </c>
      <c r="M266" s="91">
        <v>3.8E-3</v>
      </c>
      <c r="O266" s="90">
        <v>45040</v>
      </c>
      <c r="P266" s="91">
        <v>843.5</v>
      </c>
      <c r="Q266" s="91">
        <v>844.07501219999995</v>
      </c>
      <c r="R266" s="91">
        <v>812.28332520000004</v>
      </c>
      <c r="S266" s="91">
        <v>35675852</v>
      </c>
      <c r="T266" s="91">
        <v>8.0999999999999996E-3</v>
      </c>
      <c r="V266" s="90">
        <v>45040</v>
      </c>
      <c r="W266" s="91">
        <v>1228</v>
      </c>
      <c r="X266" s="91">
        <v>1226.3000489999999</v>
      </c>
      <c r="Y266" s="91">
        <v>1124.6733400000001</v>
      </c>
      <c r="Z266" s="91">
        <v>8313774</v>
      </c>
      <c r="AA266" s="91">
        <v>-8.9999999999999998E-4</v>
      </c>
      <c r="AB266" s="91"/>
      <c r="AC266" s="90">
        <v>45040</v>
      </c>
      <c r="AD266" s="91">
        <v>1393.75</v>
      </c>
      <c r="AE266" s="91">
        <v>1384</v>
      </c>
      <c r="AF266" s="91">
        <v>1379.8251949999999</v>
      </c>
      <c r="AG266" s="91">
        <v>327783</v>
      </c>
      <c r="AH266" s="91">
        <v>5.0000000000000001E-4</v>
      </c>
      <c r="AI266" s="91"/>
      <c r="AJ266" s="91">
        <f>(F266*'Part 3 Portfolio Analysis'!$B$8+M266*'Part 3 Portfolio Analysis'!$C$8+T266*'Part 3 Portfolio Analysis'!$D$8+AA266*'Part 3 Portfolio Analysis'!$E$8+AH266*'Part 3 Portfolio Analysis'!$F$8)/100</f>
        <v>1.2386539639085902E-3</v>
      </c>
      <c r="AK266" s="91">
        <f>'Part 3 Portfolio Analysis'!$B$107*F266+M266*'Part 3 Portfolio Analysis'!$C$107+T266*'Part 3 Portfolio Analysis'!$D$107+AA266*'Part 3 Portfolio Analysis'!$E$107+AH266*'Part 3 Portfolio Analysis'!$F$107</f>
        <v>1.6708999999999999E-3</v>
      </c>
      <c r="AL266" s="91">
        <f>F266*'Part 3 Portfolio Analysis'!$B$121+M266*'Part 3 Portfolio Analysis'!$C$121+'Part 3 Portfolio Analysis'!$D$121*T266+AA266*'Part 3 Portfolio Analysis'!$E$121+'Part 3 Portfolio Analysis'!$F$121*AH266</f>
        <v>3.2608799999999999E-3</v>
      </c>
      <c r="AM266" s="91"/>
      <c r="AN266" s="90">
        <v>45040</v>
      </c>
      <c r="AO266" s="91">
        <v>17707.550780000001</v>
      </c>
      <c r="AP266" s="91">
        <v>17743.400389999999</v>
      </c>
      <c r="AQ266" s="91">
        <v>17743.400389999999</v>
      </c>
      <c r="AR266" s="91">
        <v>255700</v>
      </c>
      <c r="AS266" s="91">
        <v>6.7999999999999996E-3</v>
      </c>
    </row>
    <row r="267" spans="1:45" x14ac:dyDescent="0.55000000000000004">
      <c r="A267" s="90">
        <v>45041</v>
      </c>
      <c r="B267" s="91">
        <v>6253</v>
      </c>
      <c r="C267" s="91">
        <v>6271.2001950000003</v>
      </c>
      <c r="D267" s="91">
        <v>6093.4169920000004</v>
      </c>
      <c r="E267" s="91">
        <v>47904</v>
      </c>
      <c r="F267" s="91">
        <v>2.8999999999999998E-3</v>
      </c>
      <c r="H267" s="90">
        <v>45041</v>
      </c>
      <c r="I267" s="91">
        <v>1091.9085689999999</v>
      </c>
      <c r="J267" s="91">
        <v>1096.5466309999999</v>
      </c>
      <c r="K267" s="91">
        <v>1084.658813</v>
      </c>
      <c r="L267" s="91">
        <v>9236126</v>
      </c>
      <c r="M267" s="91">
        <v>7.7000000000000002E-3</v>
      </c>
      <c r="O267" s="90">
        <v>45041</v>
      </c>
      <c r="P267" s="91">
        <v>843.84997559999999</v>
      </c>
      <c r="Q267" s="91">
        <v>832.07501219999995</v>
      </c>
      <c r="R267" s="91">
        <v>800.73522949999995</v>
      </c>
      <c r="S267" s="91">
        <v>50353068</v>
      </c>
      <c r="T267" s="91">
        <v>-1.4200000000000001E-2</v>
      </c>
      <c r="V267" s="90">
        <v>45041</v>
      </c>
      <c r="W267" s="91">
        <v>1225.9499510000001</v>
      </c>
      <c r="X267" s="91">
        <v>1224.900024</v>
      </c>
      <c r="Y267" s="91">
        <v>1123.389404</v>
      </c>
      <c r="Z267" s="91">
        <v>6808576</v>
      </c>
      <c r="AA267" s="91">
        <v>-1.1000000000000001E-3</v>
      </c>
      <c r="AB267" s="91"/>
      <c r="AC267" s="90">
        <v>45041</v>
      </c>
      <c r="AD267" s="91">
        <v>1388</v>
      </c>
      <c r="AE267" s="91">
        <v>1381.3000489999999</v>
      </c>
      <c r="AF267" s="91">
        <v>1377.133423</v>
      </c>
      <c r="AG267" s="91">
        <v>153489</v>
      </c>
      <c r="AH267" s="91">
        <v>-2E-3</v>
      </c>
      <c r="AI267" s="91"/>
      <c r="AJ267" s="91">
        <f>(F267*'Part 3 Portfolio Analysis'!$B$8+M267*'Part 3 Portfolio Analysis'!$C$8+T267*'Part 3 Portfolio Analysis'!$D$8+AA267*'Part 3 Portfolio Analysis'!$E$8+AH267*'Part 3 Portfolio Analysis'!$F$8)/100</f>
        <v>1.0957825564482254E-3</v>
      </c>
      <c r="AK267" s="91">
        <f>'Part 3 Portfolio Analysis'!$B$107*F267+M267*'Part 3 Portfolio Analysis'!$C$107+T267*'Part 3 Portfolio Analysis'!$D$107+AA267*'Part 3 Portfolio Analysis'!$E$107+AH267*'Part 3 Portfolio Analysis'!$F$107</f>
        <v>1.1709999999999965E-4</v>
      </c>
      <c r="AL267" s="91">
        <f>F267*'Part 3 Portfolio Analysis'!$B$121+M267*'Part 3 Portfolio Analysis'!$C$121+'Part 3 Portfolio Analysis'!$D$121*T267+AA267*'Part 3 Portfolio Analysis'!$E$121+'Part 3 Portfolio Analysis'!$F$121*AH267</f>
        <v>-6.6550000000000083E-4</v>
      </c>
      <c r="AM267" s="91"/>
      <c r="AN267" s="90">
        <v>45041</v>
      </c>
      <c r="AO267" s="91">
        <v>17761.550780000001</v>
      </c>
      <c r="AP267" s="91">
        <v>17769.25</v>
      </c>
      <c r="AQ267" s="91">
        <v>17769.25</v>
      </c>
      <c r="AR267" s="91">
        <v>297400</v>
      </c>
      <c r="AS267" s="91">
        <v>1.5E-3</v>
      </c>
    </row>
    <row r="268" spans="1:45" x14ac:dyDescent="0.55000000000000004">
      <c r="A268" s="90">
        <v>45042</v>
      </c>
      <c r="B268" s="91">
        <v>6269</v>
      </c>
      <c r="C268" s="91">
        <v>6290.8500979999999</v>
      </c>
      <c r="D268" s="91">
        <v>6112.5097660000001</v>
      </c>
      <c r="E268" s="91">
        <v>56123</v>
      </c>
      <c r="F268" s="91">
        <v>3.0999999999999999E-3</v>
      </c>
      <c r="H268" s="90">
        <v>45042</v>
      </c>
      <c r="I268" s="91">
        <v>1097.908081</v>
      </c>
      <c r="J268" s="91">
        <v>1090.1087649999999</v>
      </c>
      <c r="K268" s="91">
        <v>1078.2907709999999</v>
      </c>
      <c r="L268" s="91">
        <v>8617834</v>
      </c>
      <c r="M268" s="91">
        <v>-5.8999999999999999E-3</v>
      </c>
      <c r="O268" s="90">
        <v>45042</v>
      </c>
      <c r="P268" s="91">
        <v>830</v>
      </c>
      <c r="Q268" s="91">
        <v>835.90002440000001</v>
      </c>
      <c r="R268" s="91">
        <v>804.41625980000003</v>
      </c>
      <c r="S268" s="91">
        <v>27392750</v>
      </c>
      <c r="T268" s="91">
        <v>4.5999999999999999E-3</v>
      </c>
      <c r="V268" s="90">
        <v>45042</v>
      </c>
      <c r="W268" s="91">
        <v>1228</v>
      </c>
      <c r="X268" s="91">
        <v>1227.5500489999999</v>
      </c>
      <c r="Y268" s="91">
        <v>1125.8198239999999</v>
      </c>
      <c r="Z268" s="91">
        <v>5680192</v>
      </c>
      <c r="AA268" s="91">
        <v>2.2000000000000001E-3</v>
      </c>
      <c r="AB268" s="91"/>
      <c r="AC268" s="90">
        <v>45042</v>
      </c>
      <c r="AD268" s="91">
        <v>1378.849976</v>
      </c>
      <c r="AE268" s="91">
        <v>1373.5</v>
      </c>
      <c r="AF268" s="91">
        <v>1369.3569339999999</v>
      </c>
      <c r="AG268" s="91">
        <v>509852</v>
      </c>
      <c r="AH268" s="91">
        <v>-5.5999999999999999E-3</v>
      </c>
      <c r="AI268" s="91"/>
      <c r="AJ268" s="91">
        <f>(F268*'Part 3 Portfolio Analysis'!$B$8+M268*'Part 3 Portfolio Analysis'!$C$8+T268*'Part 3 Portfolio Analysis'!$D$8+AA268*'Part 3 Portfolio Analysis'!$E$8+AH268*'Part 3 Portfolio Analysis'!$F$8)/100</f>
        <v>-1.4197265027310473E-4</v>
      </c>
      <c r="AK268" s="91">
        <f>'Part 3 Portfolio Analysis'!$B$107*F268+M268*'Part 3 Portfolio Analysis'!$C$107+T268*'Part 3 Portfolio Analysis'!$D$107+AA268*'Part 3 Portfolio Analysis'!$E$107+AH268*'Part 3 Portfolio Analysis'!$F$107</f>
        <v>-1.7668999999999999E-3</v>
      </c>
      <c r="AL268" s="91">
        <f>F268*'Part 3 Portfolio Analysis'!$B$121+M268*'Part 3 Portfolio Analysis'!$C$121+'Part 3 Portfolio Analysis'!$D$121*T268+AA268*'Part 3 Portfolio Analysis'!$E$121+'Part 3 Portfolio Analysis'!$F$121*AH268</f>
        <v>-6.7633999999999999E-4</v>
      </c>
      <c r="AM268" s="91"/>
      <c r="AN268" s="90">
        <v>45042</v>
      </c>
      <c r="AO268" s="91">
        <v>17767.300780000001</v>
      </c>
      <c r="AP268" s="91">
        <v>17813.599610000001</v>
      </c>
      <c r="AQ268" s="91">
        <v>17813.599610000001</v>
      </c>
      <c r="AR268" s="91">
        <v>233000</v>
      </c>
      <c r="AS268" s="91">
        <v>2.5000000000000001E-3</v>
      </c>
    </row>
    <row r="269" spans="1:45" x14ac:dyDescent="0.55000000000000004">
      <c r="A269" s="90">
        <v>45043</v>
      </c>
      <c r="B269" s="91">
        <v>6284</v>
      </c>
      <c r="C269" s="91">
        <v>6578.2001950000003</v>
      </c>
      <c r="D269" s="91">
        <v>6391.7138670000004</v>
      </c>
      <c r="E269" s="91">
        <v>493002</v>
      </c>
      <c r="F269" s="91">
        <v>4.5699999999999998E-2</v>
      </c>
      <c r="H269" s="90">
        <v>45043</v>
      </c>
      <c r="I269" s="91">
        <v>1096.062134</v>
      </c>
      <c r="J269" s="91">
        <v>1097.0081789999999</v>
      </c>
      <c r="K269" s="91">
        <v>1085.115356</v>
      </c>
      <c r="L269" s="91">
        <v>9167125</v>
      </c>
      <c r="M269" s="91">
        <v>6.3E-3</v>
      </c>
      <c r="O269" s="90">
        <v>45043</v>
      </c>
      <c r="P269" s="91">
        <v>835.25</v>
      </c>
      <c r="Q269" s="91">
        <v>840.5</v>
      </c>
      <c r="R269" s="91">
        <v>808.84295650000001</v>
      </c>
      <c r="S269" s="91">
        <v>47790392</v>
      </c>
      <c r="T269" s="91">
        <v>5.4999999999999997E-3</v>
      </c>
      <c r="V269" s="90">
        <v>45043</v>
      </c>
      <c r="W269" s="91">
        <v>1230</v>
      </c>
      <c r="X269" s="91">
        <v>1246.25</v>
      </c>
      <c r="Y269" s="91">
        <v>1142.9698490000001</v>
      </c>
      <c r="Z269" s="91">
        <v>8020704</v>
      </c>
      <c r="AA269" s="91">
        <v>1.52E-2</v>
      </c>
      <c r="AB269" s="91"/>
      <c r="AC269" s="90">
        <v>45043</v>
      </c>
      <c r="AD269" s="91">
        <v>1378</v>
      </c>
      <c r="AE269" s="91">
        <v>1382.3000489999999</v>
      </c>
      <c r="AF269" s="91">
        <v>1378.130249</v>
      </c>
      <c r="AG269" s="91">
        <v>422730</v>
      </c>
      <c r="AH269" s="91">
        <v>6.4000000000000003E-3</v>
      </c>
      <c r="AI269" s="91"/>
      <c r="AJ269" s="91">
        <f>(F269*'Part 3 Portfolio Analysis'!$B$8+M269*'Part 3 Portfolio Analysis'!$C$8+T269*'Part 3 Portfolio Analysis'!$D$8+AA269*'Part 3 Portfolio Analysis'!$E$8+AH269*'Part 3 Portfolio Analysis'!$F$8)/100</f>
        <v>1.94198359713861E-2</v>
      </c>
      <c r="AK269" s="91">
        <f>'Part 3 Portfolio Analysis'!$B$107*F269+M269*'Part 3 Portfolio Analysis'!$C$107+T269*'Part 3 Portfolio Analysis'!$D$107+AA269*'Part 3 Portfolio Analysis'!$E$107+AH269*'Part 3 Portfolio Analysis'!$F$107</f>
        <v>1.41832E-2</v>
      </c>
      <c r="AL269" s="91">
        <f>F269*'Part 3 Portfolio Analysis'!$B$121+M269*'Part 3 Portfolio Analysis'!$C$121+'Part 3 Portfolio Analysis'!$D$121*T269+AA269*'Part 3 Portfolio Analysis'!$E$121+'Part 3 Portfolio Analysis'!$F$121*AH269</f>
        <v>1.1103700000000001E-2</v>
      </c>
      <c r="AM269" s="91"/>
      <c r="AN269" s="90">
        <v>45043</v>
      </c>
      <c r="AO269" s="91">
        <v>17813.099610000001</v>
      </c>
      <c r="AP269" s="91">
        <v>17915.050780000001</v>
      </c>
      <c r="AQ269" s="91">
        <v>17915.050780000001</v>
      </c>
      <c r="AR269" s="91">
        <v>241400</v>
      </c>
      <c r="AS269" s="91">
        <v>5.7000000000000002E-3</v>
      </c>
    </row>
    <row r="270" spans="1:45" x14ac:dyDescent="0.55000000000000004">
      <c r="A270" s="90">
        <v>45044</v>
      </c>
      <c r="B270" s="91">
        <v>6629</v>
      </c>
      <c r="C270" s="91">
        <v>6643.6000979999999</v>
      </c>
      <c r="D270" s="91">
        <v>6455.2592770000001</v>
      </c>
      <c r="E270" s="91">
        <v>191519</v>
      </c>
      <c r="F270" s="91">
        <v>9.9000000000000008E-3</v>
      </c>
      <c r="H270" s="90">
        <v>45044</v>
      </c>
      <c r="I270" s="91">
        <v>1099.2926030000001</v>
      </c>
      <c r="J270" s="91">
        <v>1117.060303</v>
      </c>
      <c r="K270" s="91">
        <v>1104.950073</v>
      </c>
      <c r="L270" s="91">
        <v>15565210</v>
      </c>
      <c r="M270" s="91">
        <v>1.83E-2</v>
      </c>
      <c r="O270" s="90">
        <v>45044</v>
      </c>
      <c r="P270" s="91">
        <v>842.34997559999999</v>
      </c>
      <c r="Q270" s="91">
        <v>843.79998780000005</v>
      </c>
      <c r="R270" s="91">
        <v>812.01867679999998</v>
      </c>
      <c r="S270" s="91">
        <v>27916272</v>
      </c>
      <c r="T270" s="91">
        <v>3.8999999999999998E-3</v>
      </c>
      <c r="V270" s="90">
        <v>45044</v>
      </c>
      <c r="W270" s="91">
        <v>1255.6999510000001</v>
      </c>
      <c r="X270" s="91">
        <v>1252.75</v>
      </c>
      <c r="Y270" s="91">
        <v>1148.9313959999999</v>
      </c>
      <c r="Z270" s="91">
        <v>10118277</v>
      </c>
      <c r="AA270" s="91">
        <v>5.1999999999999998E-3</v>
      </c>
      <c r="AB270" s="91"/>
      <c r="AC270" s="90">
        <v>45044</v>
      </c>
      <c r="AD270" s="91">
        <v>1375</v>
      </c>
      <c r="AE270" s="91">
        <v>1367.75</v>
      </c>
      <c r="AF270" s="91">
        <v>1363.6241460000001</v>
      </c>
      <c r="AG270" s="91">
        <v>1816275</v>
      </c>
      <c r="AH270" s="91">
        <v>-1.0500000000000001E-2</v>
      </c>
      <c r="AI270" s="91"/>
      <c r="AJ270" s="91">
        <f>(F270*'Part 3 Portfolio Analysis'!$B$8+M270*'Part 3 Portfolio Analysis'!$C$8+T270*'Part 3 Portfolio Analysis'!$D$8+AA270*'Part 3 Portfolio Analysis'!$E$8+AH270*'Part 3 Portfolio Analysis'!$F$8)/100</f>
        <v>1.0988187760190759E-2</v>
      </c>
      <c r="AK270" s="91">
        <f>'Part 3 Portfolio Analysis'!$B$107*F270+M270*'Part 3 Portfolio Analysis'!$C$107+T270*'Part 3 Portfolio Analysis'!$D$107+AA270*'Part 3 Portfolio Analysis'!$E$107+AH270*'Part 3 Portfolio Analysis'!$F$107</f>
        <v>5.9883999999999996E-3</v>
      </c>
      <c r="AL270" s="91">
        <f>F270*'Part 3 Portfolio Analysis'!$B$121+M270*'Part 3 Portfolio Analysis'!$C$121+'Part 3 Portfolio Analysis'!$D$121*T270+AA270*'Part 3 Portfolio Analysis'!$E$121+'Part 3 Portfolio Analysis'!$F$121*AH270</f>
        <v>1.031816E-2</v>
      </c>
      <c r="AM270" s="91"/>
      <c r="AN270" s="90">
        <v>45044</v>
      </c>
      <c r="AO270" s="91">
        <v>17950.400389999999</v>
      </c>
      <c r="AP270" s="91">
        <v>18065</v>
      </c>
      <c r="AQ270" s="91">
        <v>18065</v>
      </c>
      <c r="AR270" s="91">
        <v>290300</v>
      </c>
      <c r="AS270" s="91">
        <v>8.3999999999999995E-3</v>
      </c>
    </row>
    <row r="271" spans="1:45" x14ac:dyDescent="0.55000000000000004">
      <c r="A271" s="90">
        <v>45048</v>
      </c>
      <c r="B271" s="91">
        <v>6650</v>
      </c>
      <c r="C271" s="91">
        <v>6643.25</v>
      </c>
      <c r="D271" s="91">
        <v>6454.9194340000004</v>
      </c>
      <c r="E271" s="91">
        <v>125521</v>
      </c>
      <c r="F271" s="91">
        <v>-1E-4</v>
      </c>
      <c r="H271" s="90">
        <v>45048</v>
      </c>
      <c r="I271" s="91">
        <v>1124.305908</v>
      </c>
      <c r="J271" s="91">
        <v>1126.544189</v>
      </c>
      <c r="K271" s="91">
        <v>1114.331177</v>
      </c>
      <c r="L271" s="91">
        <v>12981805</v>
      </c>
      <c r="M271" s="91">
        <v>8.5000000000000006E-3</v>
      </c>
      <c r="O271" s="90">
        <v>45048</v>
      </c>
      <c r="P271" s="91">
        <v>844.34997559999999</v>
      </c>
      <c r="Q271" s="91">
        <v>843.625</v>
      </c>
      <c r="R271" s="91">
        <v>811.85028079999995</v>
      </c>
      <c r="S271" s="91">
        <v>32221184</v>
      </c>
      <c r="T271" s="91">
        <v>-2.0000000000000001E-4</v>
      </c>
      <c r="V271" s="90">
        <v>45048</v>
      </c>
      <c r="W271" s="91">
        <v>1254.5500489999999</v>
      </c>
      <c r="X271" s="91">
        <v>1277.4499510000001</v>
      </c>
      <c r="Y271" s="91">
        <v>1171.5844729999999</v>
      </c>
      <c r="Z271" s="91">
        <v>8886401</v>
      </c>
      <c r="AA271" s="91">
        <v>1.9699999999999999E-2</v>
      </c>
      <c r="AB271" s="91"/>
      <c r="AC271" s="90">
        <v>45048</v>
      </c>
      <c r="AD271" s="91">
        <v>1370</v>
      </c>
      <c r="AE271" s="91">
        <v>1406.5</v>
      </c>
      <c r="AF271" s="91">
        <v>1402.2573239999999</v>
      </c>
      <c r="AG271" s="91">
        <v>1312984</v>
      </c>
      <c r="AH271" s="91">
        <v>2.8299999999999999E-2</v>
      </c>
      <c r="AI271" s="91"/>
      <c r="AJ271" s="91">
        <f>(F271*'Part 3 Portfolio Analysis'!$B$8+M271*'Part 3 Portfolio Analysis'!$C$8+T271*'Part 3 Portfolio Analysis'!$D$8+AA271*'Part 3 Portfolio Analysis'!$E$8+AH271*'Part 3 Portfolio Analysis'!$F$8)/100</f>
        <v>6.4647027057659354E-3</v>
      </c>
      <c r="AK271" s="91">
        <f>'Part 3 Portfolio Analysis'!$B$107*F271+M271*'Part 3 Portfolio Analysis'!$C$107+T271*'Part 3 Portfolio Analysis'!$D$107+AA271*'Part 3 Portfolio Analysis'!$E$107+AH271*'Part 3 Portfolio Analysis'!$F$107</f>
        <v>1.1713100000000001E-2</v>
      </c>
      <c r="AL271" s="91">
        <f>F271*'Part 3 Portfolio Analysis'!$B$121+M271*'Part 3 Portfolio Analysis'!$C$121+'Part 3 Portfolio Analysis'!$D$121*T271+AA271*'Part 3 Portfolio Analysis'!$E$121+'Part 3 Portfolio Analysis'!$F$121*AH271</f>
        <v>8.1854399999999987E-3</v>
      </c>
      <c r="AM271" s="91"/>
      <c r="AN271" s="90">
        <v>45048</v>
      </c>
      <c r="AO271" s="91">
        <v>18124.800780000001</v>
      </c>
      <c r="AP271" s="91">
        <v>18147.650389999999</v>
      </c>
      <c r="AQ271" s="91">
        <v>18147.650389999999</v>
      </c>
      <c r="AR271" s="91">
        <v>265200</v>
      </c>
      <c r="AS271" s="91">
        <v>4.5999999999999999E-3</v>
      </c>
    </row>
    <row r="272" spans="1:45" x14ac:dyDescent="0.55000000000000004">
      <c r="A272" s="90">
        <v>45049</v>
      </c>
      <c r="B272" s="91">
        <v>6639</v>
      </c>
      <c r="C272" s="91">
        <v>6678.4501950000003</v>
      </c>
      <c r="D272" s="91">
        <v>6489.1215819999998</v>
      </c>
      <c r="E272" s="91">
        <v>95506</v>
      </c>
      <c r="F272" s="91">
        <v>5.3E-3</v>
      </c>
      <c r="H272" s="90">
        <v>45049</v>
      </c>
      <c r="I272" s="91">
        <v>1128.3670649999999</v>
      </c>
      <c r="J272" s="91">
        <v>1116.875732</v>
      </c>
      <c r="K272" s="91">
        <v>1104.767456</v>
      </c>
      <c r="L272" s="91">
        <v>7061872</v>
      </c>
      <c r="M272" s="91">
        <v>-8.6E-3</v>
      </c>
      <c r="O272" s="90">
        <v>45049</v>
      </c>
      <c r="P272" s="91">
        <v>842.47497559999999</v>
      </c>
      <c r="Q272" s="91">
        <v>846.57501219999995</v>
      </c>
      <c r="R272" s="91">
        <v>814.68914789999997</v>
      </c>
      <c r="S272" s="91">
        <v>29407270</v>
      </c>
      <c r="T272" s="91">
        <v>3.5000000000000001E-3</v>
      </c>
      <c r="V272" s="90">
        <v>45049</v>
      </c>
      <c r="W272" s="91">
        <v>1266</v>
      </c>
      <c r="X272" s="91">
        <v>1269.150024</v>
      </c>
      <c r="Y272" s="91">
        <v>1163.972168</v>
      </c>
      <c r="Z272" s="91">
        <v>5549783</v>
      </c>
      <c r="AA272" s="91">
        <v>-6.4999999999999997E-3</v>
      </c>
      <c r="AB272" s="91"/>
      <c r="AC272" s="90">
        <v>45049</v>
      </c>
      <c r="AD272" s="91">
        <v>1409.4499510000001</v>
      </c>
      <c r="AE272" s="91">
        <v>1390.150024</v>
      </c>
      <c r="AF272" s="91">
        <v>1385.9566649999999</v>
      </c>
      <c r="AG272" s="91">
        <v>515474</v>
      </c>
      <c r="AH272" s="91">
        <v>-1.1599999999999999E-2</v>
      </c>
      <c r="AI272" s="91"/>
      <c r="AJ272" s="91">
        <f>(F272*'Part 3 Portfolio Analysis'!$B$8+M272*'Part 3 Portfolio Analysis'!$C$8+T272*'Part 3 Portfolio Analysis'!$D$8+AA272*'Part 3 Portfolio Analysis'!$E$8+AH272*'Part 3 Portfolio Analysis'!$F$8)/100</f>
        <v>-2.1029266183956044E-3</v>
      </c>
      <c r="AK272" s="91">
        <f>'Part 3 Portfolio Analysis'!$B$107*F272+M272*'Part 3 Portfolio Analysis'!$C$107+T272*'Part 3 Portfolio Analysis'!$D$107+AA272*'Part 3 Portfolio Analysis'!$E$107+AH272*'Part 3 Portfolio Analysis'!$F$107</f>
        <v>-4.7685000000000002E-3</v>
      </c>
      <c r="AL272" s="91">
        <f>F272*'Part 3 Portfolio Analysis'!$B$121+M272*'Part 3 Portfolio Analysis'!$C$121+'Part 3 Portfolio Analysis'!$D$121*T272+AA272*'Part 3 Portfolio Analysis'!$E$121+'Part 3 Portfolio Analysis'!$F$121*AH272</f>
        <v>-3.8248199999999996E-3</v>
      </c>
      <c r="AM272" s="91"/>
      <c r="AN272" s="90">
        <v>45049</v>
      </c>
      <c r="AO272" s="91">
        <v>18113.800780000001</v>
      </c>
      <c r="AP272" s="91">
        <v>18089.849610000001</v>
      </c>
      <c r="AQ272" s="91">
        <v>18089.849610000001</v>
      </c>
      <c r="AR272" s="91">
        <v>226200</v>
      </c>
      <c r="AS272" s="91">
        <v>-3.2000000000000002E-3</v>
      </c>
    </row>
    <row r="273" spans="1:45" x14ac:dyDescent="0.55000000000000004">
      <c r="A273" s="90">
        <v>45050</v>
      </c>
      <c r="B273" s="91">
        <v>6688</v>
      </c>
      <c r="C273" s="91">
        <v>6721.2998049999997</v>
      </c>
      <c r="D273" s="91">
        <v>6530.7568359999996</v>
      </c>
      <c r="E273" s="91">
        <v>219751</v>
      </c>
      <c r="F273" s="91">
        <v>6.4000000000000003E-3</v>
      </c>
      <c r="H273" s="90">
        <v>45050</v>
      </c>
      <c r="I273" s="91">
        <v>1117.3603519999999</v>
      </c>
      <c r="J273" s="91">
        <v>1129.751587</v>
      </c>
      <c r="K273" s="91">
        <v>1117.5036620000001</v>
      </c>
      <c r="L273" s="91">
        <v>8635233</v>
      </c>
      <c r="M273" s="91">
        <v>1.15E-2</v>
      </c>
      <c r="O273" s="90">
        <v>45050</v>
      </c>
      <c r="P273" s="91">
        <v>843.54998780000005</v>
      </c>
      <c r="Q273" s="91">
        <v>863.90002440000001</v>
      </c>
      <c r="R273" s="91">
        <v>831.36175539999999</v>
      </c>
      <c r="S273" s="91">
        <v>56854638</v>
      </c>
      <c r="T273" s="91">
        <v>2.0500000000000001E-2</v>
      </c>
      <c r="V273" s="90">
        <v>45050</v>
      </c>
      <c r="W273" s="91">
        <v>1268.9499510000001</v>
      </c>
      <c r="X273" s="91">
        <v>1273.5500489999999</v>
      </c>
      <c r="Y273" s="91">
        <v>1168.007568</v>
      </c>
      <c r="Z273" s="91">
        <v>4505401</v>
      </c>
      <c r="AA273" s="91">
        <v>3.5000000000000001E-3</v>
      </c>
      <c r="AB273" s="91"/>
      <c r="AC273" s="90">
        <v>45050</v>
      </c>
      <c r="AD273" s="91">
        <v>1394.9499510000001</v>
      </c>
      <c r="AE273" s="91">
        <v>1404.9499510000001</v>
      </c>
      <c r="AF273" s="91">
        <v>1400.711914</v>
      </c>
      <c r="AG273" s="91">
        <v>244571</v>
      </c>
      <c r="AH273" s="91">
        <v>1.06E-2</v>
      </c>
      <c r="AI273" s="91"/>
      <c r="AJ273" s="91">
        <f>(F273*'Part 3 Portfolio Analysis'!$B$8+M273*'Part 3 Portfolio Analysis'!$C$8+T273*'Part 3 Portfolio Analysis'!$D$8+AA273*'Part 3 Portfolio Analysis'!$E$8+AH273*'Part 3 Portfolio Analysis'!$F$8)/100</f>
        <v>1.017504950762645E-2</v>
      </c>
      <c r="AK273" s="91">
        <f>'Part 3 Portfolio Analysis'!$B$107*F273+M273*'Part 3 Portfolio Analysis'!$C$107+T273*'Part 3 Portfolio Analysis'!$D$107+AA273*'Part 3 Portfolio Analysis'!$E$107+AH273*'Part 3 Portfolio Analysis'!$F$107</f>
        <v>1.09502E-2</v>
      </c>
      <c r="AL273" s="91">
        <f>F273*'Part 3 Portfolio Analysis'!$B$121+M273*'Part 3 Portfolio Analysis'!$C$121+'Part 3 Portfolio Analysis'!$D$121*T273+AA273*'Part 3 Portfolio Analysis'!$E$121+'Part 3 Portfolio Analysis'!$F$121*AH273</f>
        <v>1.1905199999999999E-2</v>
      </c>
      <c r="AM273" s="91"/>
      <c r="AN273" s="90">
        <v>45050</v>
      </c>
      <c r="AO273" s="91">
        <v>18081</v>
      </c>
      <c r="AP273" s="91">
        <v>18255.800780000001</v>
      </c>
      <c r="AQ273" s="91">
        <v>18255.800780000001</v>
      </c>
      <c r="AR273" s="91">
        <v>226600</v>
      </c>
      <c r="AS273" s="91">
        <v>9.1999999999999998E-3</v>
      </c>
    </row>
    <row r="274" spans="1:45" x14ac:dyDescent="0.55000000000000004">
      <c r="A274" s="90">
        <v>45051</v>
      </c>
      <c r="B274" s="91">
        <v>6715</v>
      </c>
      <c r="C274" s="91">
        <v>6660.25</v>
      </c>
      <c r="D274" s="91">
        <v>6471.4375</v>
      </c>
      <c r="E274" s="91">
        <v>77948</v>
      </c>
      <c r="F274" s="91">
        <v>-9.1000000000000004E-3</v>
      </c>
      <c r="H274" s="90">
        <v>45051</v>
      </c>
      <c r="I274" s="91">
        <v>1126.5211179999999</v>
      </c>
      <c r="J274" s="91">
        <v>1126.8671879999999</v>
      </c>
      <c r="K274" s="91">
        <v>1114.650635</v>
      </c>
      <c r="L274" s="91">
        <v>8746585</v>
      </c>
      <c r="M274" s="91">
        <v>-2.5999999999999999E-3</v>
      </c>
      <c r="O274" s="90">
        <v>45051</v>
      </c>
      <c r="P274" s="91">
        <v>819.5</v>
      </c>
      <c r="Q274" s="91">
        <v>812.82501219999995</v>
      </c>
      <c r="R274" s="91">
        <v>782.21038820000001</v>
      </c>
      <c r="S274" s="91">
        <v>62770416</v>
      </c>
      <c r="T274" s="91">
        <v>-5.91E-2</v>
      </c>
      <c r="V274" s="90">
        <v>45051</v>
      </c>
      <c r="W274" s="91">
        <v>1279</v>
      </c>
      <c r="X274" s="91">
        <v>1259.099976</v>
      </c>
      <c r="Y274" s="91">
        <v>1154.755249</v>
      </c>
      <c r="Z274" s="91">
        <v>5373791</v>
      </c>
      <c r="AA274" s="91">
        <v>-1.1299999999999999E-2</v>
      </c>
      <c r="AB274" s="91"/>
      <c r="AC274" s="90">
        <v>45051</v>
      </c>
      <c r="AD274" s="91">
        <v>1404.6999510000001</v>
      </c>
      <c r="AE274" s="91">
        <v>1416.8000489999999</v>
      </c>
      <c r="AF274" s="91">
        <v>1412.526245</v>
      </c>
      <c r="AG274" s="91">
        <v>317728</v>
      </c>
      <c r="AH274" s="91">
        <v>8.3999999999999995E-3</v>
      </c>
      <c r="AI274" s="91"/>
      <c r="AJ274" s="91">
        <f>(F274*'Part 3 Portfolio Analysis'!$B$8+M274*'Part 3 Portfolio Analysis'!$C$8+T274*'Part 3 Portfolio Analysis'!$D$8+AA274*'Part 3 Portfolio Analysis'!$E$8+AH274*'Part 3 Portfolio Analysis'!$F$8)/100</f>
        <v>-1.5267530067698636E-2</v>
      </c>
      <c r="AK274" s="91">
        <f>'Part 3 Portfolio Analysis'!$B$107*F274+M274*'Part 3 Portfolio Analysis'!$C$107+T274*'Part 3 Portfolio Analysis'!$D$107+AA274*'Part 3 Portfolio Analysis'!$E$107+AH274*'Part 3 Portfolio Analysis'!$F$107</f>
        <v>-1.0625499999999998E-2</v>
      </c>
      <c r="AL274" s="91">
        <f>F274*'Part 3 Portfolio Analysis'!$B$121+M274*'Part 3 Portfolio Analysis'!$C$121+'Part 3 Portfolio Analysis'!$D$121*T274+AA274*'Part 3 Portfolio Analysis'!$E$121+'Part 3 Portfolio Analysis'!$F$121*AH274</f>
        <v>-1.9954099999999999E-2</v>
      </c>
      <c r="AM274" s="91"/>
      <c r="AN274" s="90">
        <v>45051</v>
      </c>
      <c r="AO274" s="91">
        <v>18117.300780000001</v>
      </c>
      <c r="AP274" s="91">
        <v>18069</v>
      </c>
      <c r="AQ274" s="91">
        <v>18069</v>
      </c>
      <c r="AR274" s="91">
        <v>239700</v>
      </c>
      <c r="AS274" s="91">
        <v>-1.0200000000000001E-2</v>
      </c>
    </row>
    <row r="275" spans="1:45" x14ac:dyDescent="0.55000000000000004">
      <c r="A275" s="90">
        <v>45054</v>
      </c>
      <c r="B275" s="91">
        <v>6714</v>
      </c>
      <c r="C275" s="91">
        <v>6779.2998049999997</v>
      </c>
      <c r="D275" s="91">
        <v>6587.1127930000002</v>
      </c>
      <c r="E275" s="91">
        <v>132023</v>
      </c>
      <c r="F275" s="91">
        <v>1.7899999999999999E-2</v>
      </c>
      <c r="H275" s="90">
        <v>45054</v>
      </c>
      <c r="I275" s="91">
        <v>1130.674561</v>
      </c>
      <c r="J275" s="91">
        <v>1140.7814940000001</v>
      </c>
      <c r="K275" s="91">
        <v>1128.4139399999999</v>
      </c>
      <c r="L275" s="91">
        <v>9153782</v>
      </c>
      <c r="M275" s="91">
        <v>1.23E-2</v>
      </c>
      <c r="O275" s="90">
        <v>45054</v>
      </c>
      <c r="P275" s="91">
        <v>817.5</v>
      </c>
      <c r="Q275" s="91">
        <v>822.22497559999999</v>
      </c>
      <c r="R275" s="91">
        <v>791.25634769999999</v>
      </c>
      <c r="S275" s="91">
        <v>37244524</v>
      </c>
      <c r="T275" s="91">
        <v>1.1599999999999999E-2</v>
      </c>
      <c r="V275" s="90">
        <v>45054</v>
      </c>
      <c r="W275" s="91">
        <v>1262.4499510000001</v>
      </c>
      <c r="X275" s="91">
        <v>1265.599976</v>
      </c>
      <c r="Y275" s="91">
        <v>1160.7164310000001</v>
      </c>
      <c r="Z275" s="91">
        <v>5260842</v>
      </c>
      <c r="AA275" s="91">
        <v>5.1999999999999998E-3</v>
      </c>
      <c r="AB275" s="91"/>
      <c r="AC275" s="90">
        <v>45054</v>
      </c>
      <c r="AD275" s="91">
        <v>1417</v>
      </c>
      <c r="AE275" s="91">
        <v>1421.5</v>
      </c>
      <c r="AF275" s="91">
        <v>1417.212158</v>
      </c>
      <c r="AG275" s="91">
        <v>319478</v>
      </c>
      <c r="AH275" s="91">
        <v>3.3E-3</v>
      </c>
      <c r="AI275" s="91"/>
      <c r="AJ275" s="91">
        <f>(F275*'Part 3 Portfolio Analysis'!$B$8+M275*'Part 3 Portfolio Analysis'!$C$8+T275*'Part 3 Portfolio Analysis'!$D$8+AA275*'Part 3 Portfolio Analysis'!$E$8+AH275*'Part 3 Portfolio Analysis'!$F$8)/100</f>
        <v>1.2632640392213276E-2</v>
      </c>
      <c r="AK275" s="91">
        <f>'Part 3 Portfolio Analysis'!$B$107*F275+M275*'Part 3 Portfolio Analysis'!$C$107+T275*'Part 3 Portfolio Analysis'!$D$107+AA275*'Part 3 Portfolio Analysis'!$E$107+AH275*'Part 3 Portfolio Analysis'!$F$107</f>
        <v>1.0221499999999998E-2</v>
      </c>
      <c r="AL275" s="91">
        <f>F275*'Part 3 Portfolio Analysis'!$B$121+M275*'Part 3 Portfolio Analysis'!$C$121+'Part 3 Portfolio Analysis'!$D$121*T275+AA275*'Part 3 Portfolio Analysis'!$E$121+'Part 3 Portfolio Analysis'!$F$121*AH275</f>
        <v>1.0914119999999998E-2</v>
      </c>
      <c r="AM275" s="91"/>
      <c r="AN275" s="90">
        <v>45054</v>
      </c>
      <c r="AO275" s="91">
        <v>18120.599610000001</v>
      </c>
      <c r="AP275" s="91">
        <v>18264.400389999999</v>
      </c>
      <c r="AQ275" s="91">
        <v>18264.400389999999</v>
      </c>
      <c r="AR275" s="91">
        <v>228400</v>
      </c>
      <c r="AS275" s="91">
        <v>1.0800000000000001E-2</v>
      </c>
    </row>
    <row r="276" spans="1:45" x14ac:dyDescent="0.55000000000000004">
      <c r="A276" s="90">
        <v>45055</v>
      </c>
      <c r="B276" s="91">
        <v>6779.3500979999999</v>
      </c>
      <c r="C276" s="91">
        <v>6991.9501950000003</v>
      </c>
      <c r="D276" s="91">
        <v>6793.734375</v>
      </c>
      <c r="E276" s="91">
        <v>512348</v>
      </c>
      <c r="F276" s="91">
        <v>3.1399999999999997E-2</v>
      </c>
      <c r="H276" s="90">
        <v>45055</v>
      </c>
      <c r="I276" s="91">
        <v>1142.2120359999999</v>
      </c>
      <c r="J276" s="91">
        <v>1144.3118899999999</v>
      </c>
      <c r="K276" s="91">
        <v>1131.90625</v>
      </c>
      <c r="L276" s="91">
        <v>6464721</v>
      </c>
      <c r="M276" s="91">
        <v>3.0999999999999999E-3</v>
      </c>
      <c r="O276" s="90">
        <v>45055</v>
      </c>
      <c r="P276" s="91">
        <v>824.95001219999995</v>
      </c>
      <c r="Q276" s="91">
        <v>822.25</v>
      </c>
      <c r="R276" s="91">
        <v>791.28033449999998</v>
      </c>
      <c r="S276" s="91">
        <v>43688938</v>
      </c>
      <c r="T276" s="91">
        <v>0</v>
      </c>
      <c r="V276" s="90">
        <v>45055</v>
      </c>
      <c r="W276" s="91">
        <v>1266</v>
      </c>
      <c r="X276" s="91">
        <v>1270.6999510000001</v>
      </c>
      <c r="Y276" s="91">
        <v>1165.393677</v>
      </c>
      <c r="Z276" s="91">
        <v>4969897</v>
      </c>
      <c r="AA276" s="91">
        <v>4.0000000000000001E-3</v>
      </c>
      <c r="AB276" s="91"/>
      <c r="AC276" s="90">
        <v>45055</v>
      </c>
      <c r="AD276" s="91">
        <v>1422.0500489999999</v>
      </c>
      <c r="AE276" s="91">
        <v>1432.9499510000001</v>
      </c>
      <c r="AF276" s="91">
        <v>1428.6274410000001</v>
      </c>
      <c r="AG276" s="91">
        <v>824650</v>
      </c>
      <c r="AH276" s="91">
        <v>8.0999999999999996E-3</v>
      </c>
      <c r="AI276" s="91"/>
      <c r="AJ276" s="91">
        <f>(F276*'Part 3 Portfolio Analysis'!$B$8+M276*'Part 3 Portfolio Analysis'!$C$8+T276*'Part 3 Portfolio Analysis'!$D$8+AA276*'Part 3 Portfolio Analysis'!$E$8+AH276*'Part 3 Portfolio Analysis'!$F$8)/100</f>
        <v>1.126658882558337E-2</v>
      </c>
      <c r="AK276" s="91">
        <f>'Part 3 Portfolio Analysis'!$B$107*F276+M276*'Part 3 Portfolio Analysis'!$C$107+T276*'Part 3 Portfolio Analysis'!$D$107+AA276*'Part 3 Portfolio Analysis'!$E$107+AH276*'Part 3 Portfolio Analysis'!$F$107</f>
        <v>9.0634999999999986E-3</v>
      </c>
      <c r="AL276" s="91">
        <f>F276*'Part 3 Portfolio Analysis'!$B$121+M276*'Part 3 Portfolio Analysis'!$C$121+'Part 3 Portfolio Analysis'!$D$121*T276+AA276*'Part 3 Portfolio Analysis'!$E$121+'Part 3 Portfolio Analysis'!$F$121*AH276</f>
        <v>4.8940599999999996E-3</v>
      </c>
      <c r="AM276" s="91"/>
      <c r="AN276" s="90">
        <v>45055</v>
      </c>
      <c r="AO276" s="91">
        <v>18303.400389999999</v>
      </c>
      <c r="AP276" s="91">
        <v>18265.949219999999</v>
      </c>
      <c r="AQ276" s="91">
        <v>18265.949219999999</v>
      </c>
      <c r="AR276" s="91">
        <v>245400</v>
      </c>
      <c r="AS276" s="91">
        <v>1E-4</v>
      </c>
    </row>
    <row r="277" spans="1:45" x14ac:dyDescent="0.55000000000000004">
      <c r="A277" s="90">
        <v>45056</v>
      </c>
      <c r="B277" s="91">
        <v>7022</v>
      </c>
      <c r="C277" s="91">
        <v>7121.8500979999999</v>
      </c>
      <c r="D277" s="91">
        <v>6919.9516599999997</v>
      </c>
      <c r="E277" s="91">
        <v>347603</v>
      </c>
      <c r="F277" s="91">
        <v>1.8599999999999998E-2</v>
      </c>
      <c r="H277" s="90">
        <v>45056</v>
      </c>
      <c r="I277" s="91">
        <v>1149.134644</v>
      </c>
      <c r="J277" s="91">
        <v>1152.1805420000001</v>
      </c>
      <c r="K277" s="91">
        <v>1139.6895750000001</v>
      </c>
      <c r="L277" s="91">
        <v>10872255</v>
      </c>
      <c r="M277" s="91">
        <v>6.8999999999999999E-3</v>
      </c>
      <c r="O277" s="90">
        <v>45056</v>
      </c>
      <c r="P277" s="91">
        <v>822.25</v>
      </c>
      <c r="Q277" s="91">
        <v>826.04998780000005</v>
      </c>
      <c r="R277" s="91">
        <v>794.93731690000004</v>
      </c>
      <c r="S277" s="91">
        <v>46340550</v>
      </c>
      <c r="T277" s="91">
        <v>4.5999999999999999E-3</v>
      </c>
      <c r="V277" s="90">
        <v>45056</v>
      </c>
      <c r="W277" s="91">
        <v>1276.400024</v>
      </c>
      <c r="X277" s="91">
        <v>1263.25</v>
      </c>
      <c r="Y277" s="91">
        <v>1158.5611570000001</v>
      </c>
      <c r="Z277" s="91">
        <v>6515734</v>
      </c>
      <c r="AA277" s="91">
        <v>-5.8999999999999999E-3</v>
      </c>
      <c r="AB277" s="91"/>
      <c r="AC277" s="90">
        <v>45056</v>
      </c>
      <c r="AD277" s="91">
        <v>1440</v>
      </c>
      <c r="AE277" s="91">
        <v>1440.650024</v>
      </c>
      <c r="AF277" s="91">
        <v>1436.304443</v>
      </c>
      <c r="AG277" s="91">
        <v>469015</v>
      </c>
      <c r="AH277" s="91">
        <v>5.4000000000000003E-3</v>
      </c>
      <c r="AI277" s="91"/>
      <c r="AJ277" s="91">
        <f>(F277*'Part 3 Portfolio Analysis'!$B$8+M277*'Part 3 Portfolio Analysis'!$C$8+T277*'Part 3 Portfolio Analysis'!$D$8+AA277*'Part 3 Portfolio Analysis'!$E$8+AH277*'Part 3 Portfolio Analysis'!$F$8)/100</f>
        <v>7.9517206991602685E-3</v>
      </c>
      <c r="AK277" s="91">
        <f>'Part 3 Portfolio Analysis'!$B$107*F277+M277*'Part 3 Portfolio Analysis'!$C$107+T277*'Part 3 Portfolio Analysis'!$D$107+AA277*'Part 3 Portfolio Analysis'!$E$107+AH277*'Part 3 Portfolio Analysis'!$F$107</f>
        <v>6.9914999999999995E-3</v>
      </c>
      <c r="AL277" s="91">
        <f>F277*'Part 3 Portfolio Analysis'!$B$121+M277*'Part 3 Portfolio Analysis'!$C$121+'Part 3 Portfolio Analysis'!$D$121*T277+AA277*'Part 3 Portfolio Analysis'!$E$121+'Part 3 Portfolio Analysis'!$F$121*AH277</f>
        <v>4.6368400000000006E-3</v>
      </c>
      <c r="AM277" s="91"/>
      <c r="AN277" s="90">
        <v>45056</v>
      </c>
      <c r="AO277" s="91">
        <v>18313.599610000001</v>
      </c>
      <c r="AP277" s="91">
        <v>18315.099610000001</v>
      </c>
      <c r="AQ277" s="91">
        <v>18315.099610000001</v>
      </c>
      <c r="AR277" s="91">
        <v>220500</v>
      </c>
      <c r="AS277" s="91">
        <v>2.7000000000000001E-3</v>
      </c>
    </row>
    <row r="278" spans="1:45" x14ac:dyDescent="0.55000000000000004">
      <c r="A278" s="90">
        <v>45057</v>
      </c>
      <c r="B278" s="91">
        <v>7140</v>
      </c>
      <c r="C278" s="91">
        <v>7198.3500979999999</v>
      </c>
      <c r="D278" s="91">
        <v>6994.283203</v>
      </c>
      <c r="E278" s="91">
        <v>235153</v>
      </c>
      <c r="F278" s="91">
        <v>1.0699999999999999E-2</v>
      </c>
      <c r="H278" s="90">
        <v>45057</v>
      </c>
      <c r="I278" s="91">
        <v>1153.2650149999999</v>
      </c>
      <c r="J278" s="91">
        <v>1144.658081</v>
      </c>
      <c r="K278" s="91">
        <v>1132.2486570000001</v>
      </c>
      <c r="L278" s="91">
        <v>10557860</v>
      </c>
      <c r="M278" s="91">
        <v>-6.4999999999999997E-3</v>
      </c>
      <c r="O278" s="90">
        <v>45057</v>
      </c>
      <c r="P278" s="91">
        <v>832.57501219999995</v>
      </c>
      <c r="Q278" s="91">
        <v>826.59997559999999</v>
      </c>
      <c r="R278" s="91">
        <v>795.46655269999997</v>
      </c>
      <c r="S278" s="91">
        <v>35734618</v>
      </c>
      <c r="T278" s="91">
        <v>6.9999999999999999E-4</v>
      </c>
      <c r="V278" s="90">
        <v>45057</v>
      </c>
      <c r="W278" s="91">
        <v>1270.25</v>
      </c>
      <c r="X278" s="91">
        <v>1256.099976</v>
      </c>
      <c r="Y278" s="91">
        <v>1152.0036620000001</v>
      </c>
      <c r="Z278" s="91">
        <v>6888461</v>
      </c>
      <c r="AA278" s="91">
        <v>-5.7000000000000002E-3</v>
      </c>
      <c r="AB278" s="91"/>
      <c r="AC278" s="90">
        <v>45057</v>
      </c>
      <c r="AD278" s="91">
        <v>1445.599976</v>
      </c>
      <c r="AE278" s="91">
        <v>1471.400024</v>
      </c>
      <c r="AF278" s="91">
        <v>1466.9616699999999</v>
      </c>
      <c r="AG278" s="91">
        <v>456556</v>
      </c>
      <c r="AH278" s="91">
        <v>2.1299999999999999E-2</v>
      </c>
      <c r="AI278" s="91"/>
      <c r="AJ278" s="91">
        <f>(F278*'Part 3 Portfolio Analysis'!$B$8+M278*'Part 3 Portfolio Analysis'!$C$8+T278*'Part 3 Portfolio Analysis'!$D$8+AA278*'Part 3 Portfolio Analysis'!$E$8+AH278*'Part 3 Portfolio Analysis'!$F$8)/100</f>
        <v>2.61504290195976E-4</v>
      </c>
      <c r="AK278" s="91">
        <f>'Part 3 Portfolio Analysis'!$B$107*F278+M278*'Part 3 Portfolio Analysis'!$C$107+T278*'Part 3 Portfolio Analysis'!$D$107+AA278*'Part 3 Portfolio Analysis'!$E$107+AH278*'Part 3 Portfolio Analysis'!$F$107</f>
        <v>4.7976E-3</v>
      </c>
      <c r="AL278" s="91">
        <f>F278*'Part 3 Portfolio Analysis'!$B$121+M278*'Part 3 Portfolio Analysis'!$C$121+'Part 3 Portfolio Analysis'!$D$121*T278+AA278*'Part 3 Portfolio Analysis'!$E$121+'Part 3 Portfolio Analysis'!$F$121*AH278</f>
        <v>-2.2393999999999999E-3</v>
      </c>
      <c r="AM278" s="91"/>
      <c r="AN278" s="90">
        <v>45057</v>
      </c>
      <c r="AO278" s="91">
        <v>18357.800780000001</v>
      </c>
      <c r="AP278" s="91">
        <v>18297</v>
      </c>
      <c r="AQ278" s="91">
        <v>18297</v>
      </c>
      <c r="AR278" s="91">
        <v>248900</v>
      </c>
      <c r="AS278" s="91">
        <v>-1E-3</v>
      </c>
    </row>
    <row r="279" spans="1:45" x14ac:dyDescent="0.55000000000000004">
      <c r="A279" s="90">
        <v>45058</v>
      </c>
      <c r="B279" s="91">
        <v>7198.3500979999999</v>
      </c>
      <c r="C279" s="91">
        <v>7078.6000979999999</v>
      </c>
      <c r="D279" s="91">
        <v>6877.9277339999999</v>
      </c>
      <c r="E279" s="91">
        <v>142267</v>
      </c>
      <c r="F279" s="91">
        <v>-1.66E-2</v>
      </c>
      <c r="H279" s="90">
        <v>45058</v>
      </c>
      <c r="I279" s="91">
        <v>1139.8122559999999</v>
      </c>
      <c r="J279" s="91">
        <v>1146.5271</v>
      </c>
      <c r="K279" s="91">
        <v>1134.0974120000001</v>
      </c>
      <c r="L279" s="91">
        <v>6955341</v>
      </c>
      <c r="M279" s="91">
        <v>1.6000000000000001E-3</v>
      </c>
      <c r="O279" s="90">
        <v>45058</v>
      </c>
      <c r="P279" s="91">
        <v>823.5</v>
      </c>
      <c r="Q279" s="91">
        <v>833.90002440000001</v>
      </c>
      <c r="R279" s="91">
        <v>802.49163820000001</v>
      </c>
      <c r="S279" s="91">
        <v>22478760</v>
      </c>
      <c r="T279" s="91">
        <v>8.8000000000000005E-3</v>
      </c>
      <c r="V279" s="90">
        <v>45058</v>
      </c>
      <c r="W279" s="91">
        <v>1253.349976</v>
      </c>
      <c r="X279" s="91">
        <v>1245.1999510000001</v>
      </c>
      <c r="Y279" s="91">
        <v>1142.0070800000001</v>
      </c>
      <c r="Z279" s="91">
        <v>8292212</v>
      </c>
      <c r="AA279" s="91">
        <v>-8.6999999999999994E-3</v>
      </c>
      <c r="AB279" s="91"/>
      <c r="AC279" s="90">
        <v>45058</v>
      </c>
      <c r="AD279" s="91">
        <v>1471.349976</v>
      </c>
      <c r="AE279" s="91">
        <v>1486.150024</v>
      </c>
      <c r="AF279" s="91">
        <v>1481.6671140000001</v>
      </c>
      <c r="AG279" s="91">
        <v>326598</v>
      </c>
      <c r="AH279" s="91">
        <v>0.01</v>
      </c>
      <c r="AI279" s="91"/>
      <c r="AJ279" s="91">
        <f>(F279*'Part 3 Portfolio Analysis'!$B$8+M279*'Part 3 Portfolio Analysis'!$C$8+T279*'Part 3 Portfolio Analysis'!$D$8+AA279*'Part 3 Portfolio Analysis'!$E$8+AH279*'Part 3 Portfolio Analysis'!$F$8)/100</f>
        <v>-4.2344661136273472E-3</v>
      </c>
      <c r="AK279" s="91">
        <f>'Part 3 Portfolio Analysis'!$B$107*F279+M279*'Part 3 Portfolio Analysis'!$C$107+T279*'Part 3 Portfolio Analysis'!$D$107+AA279*'Part 3 Portfolio Analysis'!$E$107+AH279*'Part 3 Portfolio Analysis'!$F$107</f>
        <v>5.2680000000000044E-4</v>
      </c>
      <c r="AL279" s="91">
        <f>F279*'Part 3 Portfolio Analysis'!$B$121+M279*'Part 3 Portfolio Analysis'!$C$121+'Part 3 Portfolio Analysis'!$D$121*T279+AA279*'Part 3 Portfolio Analysis'!$E$121+'Part 3 Portfolio Analysis'!$F$121*AH279</f>
        <v>2.2244000000000056E-4</v>
      </c>
      <c r="AM279" s="91"/>
      <c r="AN279" s="90">
        <v>45058</v>
      </c>
      <c r="AO279" s="91">
        <v>18273.75</v>
      </c>
      <c r="AP279" s="91">
        <v>18314.800780000001</v>
      </c>
      <c r="AQ279" s="91">
        <v>18314.800780000001</v>
      </c>
      <c r="AR279" s="91">
        <v>241700</v>
      </c>
      <c r="AS279" s="91">
        <v>1E-3</v>
      </c>
    </row>
    <row r="280" spans="1:45" x14ac:dyDescent="0.55000000000000004">
      <c r="A280" s="90">
        <v>45061</v>
      </c>
      <c r="B280" s="91">
        <v>7102</v>
      </c>
      <c r="C280" s="91">
        <v>7031.6000979999999</v>
      </c>
      <c r="D280" s="91">
        <v>6832.2607420000004</v>
      </c>
      <c r="E280" s="91">
        <v>177522</v>
      </c>
      <c r="F280" s="91">
        <v>-6.6E-3</v>
      </c>
      <c r="H280" s="90">
        <v>45061</v>
      </c>
      <c r="I280" s="91">
        <v>1149.088501</v>
      </c>
      <c r="J280" s="91">
        <v>1148.788452</v>
      </c>
      <c r="K280" s="91">
        <v>1136.3342290000001</v>
      </c>
      <c r="L280" s="91">
        <v>6833343</v>
      </c>
      <c r="M280" s="91">
        <v>2E-3</v>
      </c>
      <c r="O280" s="90">
        <v>45061</v>
      </c>
      <c r="P280" s="91">
        <v>836</v>
      </c>
      <c r="Q280" s="91">
        <v>837.90002440000001</v>
      </c>
      <c r="R280" s="91">
        <v>806.34100339999998</v>
      </c>
      <c r="S280" s="91">
        <v>18512260</v>
      </c>
      <c r="T280" s="91">
        <v>4.7999999999999996E-3</v>
      </c>
      <c r="V280" s="90">
        <v>45061</v>
      </c>
      <c r="W280" s="91">
        <v>1249.900024</v>
      </c>
      <c r="X280" s="91">
        <v>1258.349976</v>
      </c>
      <c r="Y280" s="91">
        <v>1154.0672609999999</v>
      </c>
      <c r="Z280" s="91">
        <v>5534710</v>
      </c>
      <c r="AA280" s="91">
        <v>1.06E-2</v>
      </c>
      <c r="AB280" s="91"/>
      <c r="AC280" s="90">
        <v>45061</v>
      </c>
      <c r="AD280" s="91">
        <v>1486</v>
      </c>
      <c r="AE280" s="91">
        <v>1511.3000489999999</v>
      </c>
      <c r="AF280" s="91">
        <v>1506.7413329999999</v>
      </c>
      <c r="AG280" s="91">
        <v>496686</v>
      </c>
      <c r="AH280" s="91">
        <v>1.6899999999999998E-2</v>
      </c>
      <c r="AI280" s="91"/>
      <c r="AJ280" s="91">
        <f>(F280*'Part 3 Portfolio Analysis'!$B$8+M280*'Part 3 Portfolio Analysis'!$C$8+T280*'Part 3 Portfolio Analysis'!$D$8+AA280*'Part 3 Portfolio Analysis'!$E$8+AH280*'Part 3 Portfolio Analysis'!$F$8)/100</f>
        <v>1.4167308546825976E-3</v>
      </c>
      <c r="AK280" s="91">
        <f>'Part 3 Portfolio Analysis'!$B$107*F280+M280*'Part 3 Portfolio Analysis'!$C$107+T280*'Part 3 Portfolio Analysis'!$D$107+AA280*'Part 3 Portfolio Analysis'!$E$107+AH280*'Part 3 Portfolio Analysis'!$F$107</f>
        <v>5.5007999999999993E-3</v>
      </c>
      <c r="AL280" s="91">
        <f>F280*'Part 3 Portfolio Analysis'!$B$121+M280*'Part 3 Portfolio Analysis'!$C$121+'Part 3 Portfolio Analysis'!$D$121*T280+AA280*'Part 3 Portfolio Analysis'!$E$121+'Part 3 Portfolio Analysis'!$F$121*AH280</f>
        <v>4.1650599999999999E-3</v>
      </c>
      <c r="AM280" s="91"/>
      <c r="AN280" s="90">
        <v>45061</v>
      </c>
      <c r="AO280" s="91">
        <v>18339.300780000001</v>
      </c>
      <c r="AP280" s="91">
        <v>18398.849610000001</v>
      </c>
      <c r="AQ280" s="91">
        <v>18398.849610000001</v>
      </c>
      <c r="AR280" s="91">
        <v>216100</v>
      </c>
      <c r="AS280" s="91">
        <v>4.5999999999999999E-3</v>
      </c>
    </row>
    <row r="281" spans="1:45" x14ac:dyDescent="0.55000000000000004">
      <c r="A281" s="90">
        <v>45062</v>
      </c>
      <c r="B281" s="91">
        <v>7068</v>
      </c>
      <c r="C281" s="91">
        <v>7115.7001950000003</v>
      </c>
      <c r="D281" s="91">
        <v>6913.9760740000002</v>
      </c>
      <c r="E281" s="91">
        <v>154662</v>
      </c>
      <c r="F281" s="91">
        <v>1.2E-2</v>
      </c>
      <c r="H281" s="90">
        <v>45062</v>
      </c>
      <c r="I281" s="91">
        <v>1150.980591</v>
      </c>
      <c r="J281" s="91">
        <v>1132.428345</v>
      </c>
      <c r="K281" s="91">
        <v>1120.1513669999999</v>
      </c>
      <c r="L281" s="91">
        <v>8717229</v>
      </c>
      <c r="M281" s="91">
        <v>-1.4200000000000001E-2</v>
      </c>
      <c r="O281" s="90">
        <v>45062</v>
      </c>
      <c r="P281" s="91">
        <v>835.90002440000001</v>
      </c>
      <c r="Q281" s="91">
        <v>823.65002440000001</v>
      </c>
      <c r="R281" s="91">
        <v>801.71740720000003</v>
      </c>
      <c r="S281" s="91">
        <v>32722086</v>
      </c>
      <c r="T281" s="91">
        <v>-5.7000000000000002E-3</v>
      </c>
      <c r="V281" s="90">
        <v>45062</v>
      </c>
      <c r="W281" s="91">
        <v>1265</v>
      </c>
      <c r="X281" s="91">
        <v>1264.3000489999999</v>
      </c>
      <c r="Y281" s="91">
        <v>1159.5242920000001</v>
      </c>
      <c r="Z281" s="91">
        <v>5236469</v>
      </c>
      <c r="AA281" s="91">
        <v>4.7000000000000002E-3</v>
      </c>
      <c r="AB281" s="91"/>
      <c r="AC281" s="90">
        <v>45062</v>
      </c>
      <c r="AD281" s="91">
        <v>1518</v>
      </c>
      <c r="AE281" s="91">
        <v>1500.1999510000001</v>
      </c>
      <c r="AF281" s="91">
        <v>1495.674561</v>
      </c>
      <c r="AG281" s="91">
        <v>481416</v>
      </c>
      <c r="AH281" s="91">
        <v>-7.3000000000000001E-3</v>
      </c>
      <c r="AI281" s="91"/>
      <c r="AJ281" s="91">
        <f>(F281*'Part 3 Portfolio Analysis'!$B$8+M281*'Part 3 Portfolio Analysis'!$C$8+T281*'Part 3 Portfolio Analysis'!$D$8+AA281*'Part 3 Portfolio Analysis'!$E$8+AH281*'Part 3 Portfolio Analysis'!$F$8)/100</f>
        <v>-1.8130097573805179E-3</v>
      </c>
      <c r="AK281" s="91">
        <f>'Part 3 Portfolio Analysis'!$B$107*F281+M281*'Part 3 Portfolio Analysis'!$C$107+T281*'Part 3 Portfolio Analysis'!$D$107+AA281*'Part 3 Portfolio Analysis'!$E$107+AH281*'Part 3 Portfolio Analysis'!$F$107</f>
        <v>-4.5377000000000004E-3</v>
      </c>
      <c r="AL281" s="91">
        <f>F281*'Part 3 Portfolio Analysis'!$B$121+M281*'Part 3 Portfolio Analysis'!$C$121+'Part 3 Portfolio Analysis'!$D$121*T281+AA281*'Part 3 Portfolio Analysis'!$E$121+'Part 3 Portfolio Analysis'!$F$121*AH281</f>
        <v>-5.7735800000000004E-3</v>
      </c>
      <c r="AM281" s="91"/>
      <c r="AN281" s="90">
        <v>45062</v>
      </c>
      <c r="AO281" s="91">
        <v>18432.349610000001</v>
      </c>
      <c r="AP281" s="91">
        <v>18286.5</v>
      </c>
      <c r="AQ281" s="91">
        <v>18286.5</v>
      </c>
      <c r="AR281" s="91">
        <v>219500</v>
      </c>
      <c r="AS281" s="91">
        <v>-6.1000000000000004E-3</v>
      </c>
    </row>
    <row r="282" spans="1:45" x14ac:dyDescent="0.55000000000000004">
      <c r="A282" s="90">
        <v>45063</v>
      </c>
      <c r="B282" s="91">
        <v>7135</v>
      </c>
      <c r="C282" s="91">
        <v>7099.1499020000001</v>
      </c>
      <c r="D282" s="91">
        <v>6897.8945309999999</v>
      </c>
      <c r="E282" s="91">
        <v>115618</v>
      </c>
      <c r="F282" s="91">
        <v>-2.3E-3</v>
      </c>
      <c r="H282" s="90">
        <v>45063</v>
      </c>
      <c r="I282" s="91">
        <v>1136.674072</v>
      </c>
      <c r="J282" s="91">
        <v>1125.736572</v>
      </c>
      <c r="K282" s="91">
        <v>1113.5322269999999</v>
      </c>
      <c r="L282" s="91">
        <v>8798967</v>
      </c>
      <c r="M282" s="91">
        <v>-5.8999999999999999E-3</v>
      </c>
      <c r="O282" s="90">
        <v>45063</v>
      </c>
      <c r="P282" s="91">
        <v>825</v>
      </c>
      <c r="Q282" s="91">
        <v>819.22497559999999</v>
      </c>
      <c r="R282" s="91">
        <v>797.4102173</v>
      </c>
      <c r="S282" s="91">
        <v>30466868</v>
      </c>
      <c r="T282" s="91">
        <v>-5.4000000000000003E-3</v>
      </c>
      <c r="V282" s="90">
        <v>45063</v>
      </c>
      <c r="W282" s="91">
        <v>1260.599976</v>
      </c>
      <c r="X282" s="91">
        <v>1246.900024</v>
      </c>
      <c r="Y282" s="91">
        <v>1143.5660399999999</v>
      </c>
      <c r="Z282" s="91">
        <v>10465667</v>
      </c>
      <c r="AA282" s="91">
        <v>-1.38E-2</v>
      </c>
      <c r="AB282" s="91"/>
      <c r="AC282" s="90">
        <v>45063</v>
      </c>
      <c r="AD282" s="91">
        <v>1502.9499510000001</v>
      </c>
      <c r="AE282" s="91">
        <v>1505.5500489999999</v>
      </c>
      <c r="AF282" s="91">
        <v>1501.0085449999999</v>
      </c>
      <c r="AG282" s="91">
        <v>469701</v>
      </c>
      <c r="AH282" s="91">
        <v>3.5999999999999999E-3</v>
      </c>
      <c r="AI282" s="91"/>
      <c r="AJ282" s="91">
        <f>(F282*'Part 3 Portfolio Analysis'!$B$8+M282*'Part 3 Portfolio Analysis'!$C$8+T282*'Part 3 Portfolio Analysis'!$D$8+AA282*'Part 3 Portfolio Analysis'!$E$8+AH282*'Part 3 Portfolio Analysis'!$F$8)/100</f>
        <v>-5.9151196823002718E-3</v>
      </c>
      <c r="AK282" s="91">
        <f>'Part 3 Portfolio Analysis'!$B$107*F282+M282*'Part 3 Portfolio Analysis'!$C$107+T282*'Part 3 Portfolio Analysis'!$D$107+AA282*'Part 3 Portfolio Analysis'!$E$107+AH282*'Part 3 Portfolio Analysis'!$F$107</f>
        <v>-3.5705000000000003E-3</v>
      </c>
      <c r="AL282" s="91">
        <f>F282*'Part 3 Portfolio Analysis'!$B$121+M282*'Part 3 Portfolio Analysis'!$C$121+'Part 3 Portfolio Analysis'!$D$121*T282+AA282*'Part 3 Portfolio Analysis'!$E$121+'Part 3 Portfolio Analysis'!$F$121*AH282</f>
        <v>-6.7991800000000002E-3</v>
      </c>
      <c r="AM282" s="91"/>
      <c r="AN282" s="90">
        <v>45063</v>
      </c>
      <c r="AO282" s="91">
        <v>18300.449219999999</v>
      </c>
      <c r="AP282" s="91">
        <v>18181.75</v>
      </c>
      <c r="AQ282" s="91">
        <v>18181.75</v>
      </c>
      <c r="AR282" s="91">
        <v>229900</v>
      </c>
      <c r="AS282" s="91">
        <v>-5.7000000000000002E-3</v>
      </c>
    </row>
    <row r="283" spans="1:45" x14ac:dyDescent="0.55000000000000004">
      <c r="A283" s="90">
        <v>45064</v>
      </c>
      <c r="B283" s="91">
        <v>7156.9501950000003</v>
      </c>
      <c r="C283" s="91">
        <v>6995.6000979999999</v>
      </c>
      <c r="D283" s="91">
        <v>6797.2807620000003</v>
      </c>
      <c r="E283" s="91">
        <v>115117</v>
      </c>
      <c r="F283" s="91">
        <v>-1.46E-2</v>
      </c>
      <c r="H283" s="90">
        <v>45064</v>
      </c>
      <c r="I283" s="91">
        <v>1130.466919</v>
      </c>
      <c r="J283" s="91">
        <v>1123.313721</v>
      </c>
      <c r="K283" s="91">
        <v>1111.13562</v>
      </c>
      <c r="L283" s="91">
        <v>10525531</v>
      </c>
      <c r="M283" s="91">
        <v>-2.2000000000000001E-3</v>
      </c>
      <c r="O283" s="90">
        <v>45064</v>
      </c>
      <c r="P283" s="91">
        <v>824</v>
      </c>
      <c r="Q283" s="91">
        <v>822.5</v>
      </c>
      <c r="R283" s="91">
        <v>800.59802249999996</v>
      </c>
      <c r="S283" s="91">
        <v>49646942</v>
      </c>
      <c r="T283" s="91">
        <v>4.0000000000000001E-3</v>
      </c>
      <c r="V283" s="90">
        <v>45064</v>
      </c>
      <c r="W283" s="91">
        <v>1258.599976</v>
      </c>
      <c r="X283" s="91">
        <v>1246</v>
      </c>
      <c r="Y283" s="91">
        <v>1142.7407229999999</v>
      </c>
      <c r="Z283" s="91">
        <v>6948732</v>
      </c>
      <c r="AA283" s="91">
        <v>-6.9999999999999999E-4</v>
      </c>
      <c r="AB283" s="91"/>
      <c r="AC283" s="90">
        <v>45064</v>
      </c>
      <c r="AD283" s="91">
        <v>1508.099976</v>
      </c>
      <c r="AE283" s="91">
        <v>1490.6999510000001</v>
      </c>
      <c r="AF283" s="91">
        <v>1486.2032469999999</v>
      </c>
      <c r="AG283" s="91">
        <v>245900</v>
      </c>
      <c r="AH283" s="91">
        <v>-9.9000000000000008E-3</v>
      </c>
      <c r="AI283" s="91"/>
      <c r="AJ283" s="91">
        <f>(F283*'Part 3 Portfolio Analysis'!$B$8+M283*'Part 3 Portfolio Analysis'!$C$8+T283*'Part 3 Portfolio Analysis'!$D$8+AA283*'Part 3 Portfolio Analysis'!$E$8+AH283*'Part 3 Portfolio Analysis'!$F$8)/100</f>
        <v>-4.7196175978680525E-3</v>
      </c>
      <c r="AK283" s="91">
        <f>'Part 3 Portfolio Analysis'!$B$107*F283+M283*'Part 3 Portfolio Analysis'!$C$107+T283*'Part 3 Portfolio Analysis'!$D$107+AA283*'Part 3 Portfolio Analysis'!$E$107+AH283*'Part 3 Portfolio Analysis'!$F$107</f>
        <v>-5.2614000000000011E-3</v>
      </c>
      <c r="AL283" s="91">
        <f>F283*'Part 3 Portfolio Analysis'!$B$121+M283*'Part 3 Portfolio Analysis'!$C$121+'Part 3 Portfolio Analysis'!$D$121*T283+AA283*'Part 3 Portfolio Analysis'!$E$121+'Part 3 Portfolio Analysis'!$F$121*AH283</f>
        <v>-1.4346199999999999E-3</v>
      </c>
      <c r="AM283" s="91"/>
      <c r="AN283" s="90">
        <v>45064</v>
      </c>
      <c r="AO283" s="91">
        <v>18287.5</v>
      </c>
      <c r="AP283" s="91">
        <v>18129.949219999999</v>
      </c>
      <c r="AQ283" s="91">
        <v>18129.949219999999</v>
      </c>
      <c r="AR283" s="91">
        <v>272100</v>
      </c>
      <c r="AS283" s="91">
        <v>-2.8E-3</v>
      </c>
    </row>
    <row r="284" spans="1:45" x14ac:dyDescent="0.55000000000000004">
      <c r="A284" s="90">
        <v>45065</v>
      </c>
      <c r="B284" s="91">
        <v>6870</v>
      </c>
      <c r="C284" s="91">
        <v>7027.3500979999999</v>
      </c>
      <c r="D284" s="91">
        <v>6828.1303710000002</v>
      </c>
      <c r="E284" s="91">
        <v>588194</v>
      </c>
      <c r="F284" s="91">
        <v>4.4999999999999997E-3</v>
      </c>
      <c r="H284" s="90">
        <v>45065</v>
      </c>
      <c r="I284" s="91">
        <v>1123.313721</v>
      </c>
      <c r="J284" s="91">
        <v>1126.9594729999999</v>
      </c>
      <c r="K284" s="91">
        <v>1114.7418210000001</v>
      </c>
      <c r="L284" s="91">
        <v>8050447</v>
      </c>
      <c r="M284" s="91">
        <v>3.2000000000000002E-3</v>
      </c>
      <c r="O284" s="90">
        <v>45065</v>
      </c>
      <c r="P284" s="91">
        <v>824</v>
      </c>
      <c r="Q284" s="91">
        <v>823.45001219999995</v>
      </c>
      <c r="R284" s="91">
        <v>801.52270510000005</v>
      </c>
      <c r="S284" s="91">
        <v>30460332</v>
      </c>
      <c r="T284" s="91">
        <v>1.1999999999999999E-3</v>
      </c>
      <c r="V284" s="90">
        <v>45065</v>
      </c>
      <c r="W284" s="91">
        <v>1256.0500489999999</v>
      </c>
      <c r="X284" s="91">
        <v>1268.900024</v>
      </c>
      <c r="Y284" s="91">
        <v>1163.7430420000001</v>
      </c>
      <c r="Z284" s="91">
        <v>11094136</v>
      </c>
      <c r="AA284" s="91">
        <v>1.84E-2</v>
      </c>
      <c r="AB284" s="91"/>
      <c r="AC284" s="90">
        <v>45065</v>
      </c>
      <c r="AD284" s="91">
        <v>1490.650024</v>
      </c>
      <c r="AE284" s="91">
        <v>1493.099976</v>
      </c>
      <c r="AF284" s="91">
        <v>1488.5960689999999</v>
      </c>
      <c r="AG284" s="91">
        <v>468553</v>
      </c>
      <c r="AH284" s="91">
        <v>1.6000000000000001E-3</v>
      </c>
      <c r="AI284" s="91"/>
      <c r="AJ284" s="91">
        <f>(F284*'Part 3 Portfolio Analysis'!$B$8+M284*'Part 3 Portfolio Analysis'!$C$8+T284*'Part 3 Portfolio Analysis'!$D$8+AA284*'Part 3 Portfolio Analysis'!$E$8+AH284*'Part 3 Portfolio Analysis'!$F$8)/100</f>
        <v>5.6869271066278988E-3</v>
      </c>
      <c r="AK284" s="91">
        <f>'Part 3 Portfolio Analysis'!$B$107*F284+M284*'Part 3 Portfolio Analysis'!$C$107+T284*'Part 3 Portfolio Analysis'!$D$107+AA284*'Part 3 Portfolio Analysis'!$E$107+AH284*'Part 3 Portfolio Analysis'!$F$107</f>
        <v>4.2408000000000003E-3</v>
      </c>
      <c r="AL284" s="91">
        <f>F284*'Part 3 Portfolio Analysis'!$B$121+M284*'Part 3 Portfolio Analysis'!$C$121+'Part 3 Portfolio Analysis'!$D$121*T284+AA284*'Part 3 Portfolio Analysis'!$E$121+'Part 3 Portfolio Analysis'!$F$121*AH284</f>
        <v>5.76094E-3</v>
      </c>
      <c r="AM284" s="91"/>
      <c r="AN284" s="90">
        <v>45065</v>
      </c>
      <c r="AO284" s="91">
        <v>18186.150389999999</v>
      </c>
      <c r="AP284" s="91">
        <v>18203.400389999999</v>
      </c>
      <c r="AQ284" s="91">
        <v>18203.400389999999</v>
      </c>
      <c r="AR284" s="91">
        <v>260900</v>
      </c>
      <c r="AS284" s="91">
        <v>4.1000000000000003E-3</v>
      </c>
    </row>
    <row r="285" spans="1:45" x14ac:dyDescent="0.55000000000000004">
      <c r="A285" s="90">
        <v>45068</v>
      </c>
      <c r="B285" s="91">
        <v>7030</v>
      </c>
      <c r="C285" s="91">
        <v>6931</v>
      </c>
      <c r="D285" s="91">
        <v>6734.5117190000001</v>
      </c>
      <c r="E285" s="91">
        <v>137531</v>
      </c>
      <c r="F285" s="91">
        <v>-1.37E-2</v>
      </c>
      <c r="H285" s="90">
        <v>45068</v>
      </c>
      <c r="I285" s="91">
        <v>1123.7520750000001</v>
      </c>
      <c r="J285" s="91">
        <v>1132.9820560000001</v>
      </c>
      <c r="K285" s="91">
        <v>1120.6990969999999</v>
      </c>
      <c r="L285" s="91">
        <v>7434906</v>
      </c>
      <c r="M285" s="91">
        <v>5.3E-3</v>
      </c>
      <c r="O285" s="90">
        <v>45068</v>
      </c>
      <c r="P285" s="91">
        <v>822.5</v>
      </c>
      <c r="Q285" s="91">
        <v>820.52502440000001</v>
      </c>
      <c r="R285" s="91">
        <v>798.67565920000004</v>
      </c>
      <c r="S285" s="91">
        <v>28334032</v>
      </c>
      <c r="T285" s="91">
        <v>-3.5999999999999999E-3</v>
      </c>
      <c r="V285" s="90">
        <v>45068</v>
      </c>
      <c r="W285" s="91">
        <v>1272.9499510000001</v>
      </c>
      <c r="X285" s="91">
        <v>1292.8000489999999</v>
      </c>
      <c r="Y285" s="91">
        <v>1185.6623540000001</v>
      </c>
      <c r="Z285" s="91">
        <v>7625947</v>
      </c>
      <c r="AA285" s="91">
        <v>1.8800000000000001E-2</v>
      </c>
      <c r="AB285" s="91"/>
      <c r="AC285" s="90">
        <v>45068</v>
      </c>
      <c r="AD285" s="91">
        <v>1493.900024</v>
      </c>
      <c r="AE285" s="91">
        <v>1496.25</v>
      </c>
      <c r="AF285" s="91">
        <v>1491.736572</v>
      </c>
      <c r="AG285" s="91">
        <v>276941</v>
      </c>
      <c r="AH285" s="91">
        <v>2.0999999999999999E-3</v>
      </c>
      <c r="AI285" s="91"/>
      <c r="AJ285" s="91">
        <f>(F285*'Part 3 Portfolio Analysis'!$B$8+M285*'Part 3 Portfolio Analysis'!$C$8+T285*'Part 3 Portfolio Analysis'!$D$8+AA285*'Part 3 Portfolio Analysis'!$E$8+AH285*'Part 3 Portfolio Analysis'!$F$8)/100</f>
        <v>2.5669464993308561E-4</v>
      </c>
      <c r="AK285" s="91">
        <f>'Part 3 Portfolio Analysis'!$B$107*F285+M285*'Part 3 Portfolio Analysis'!$C$107+T285*'Part 3 Portfolio Analysis'!$D$107+AA285*'Part 3 Portfolio Analysis'!$E$107+AH285*'Part 3 Portfolio Analysis'!$F$107</f>
        <v>1.0441000000000005E-3</v>
      </c>
      <c r="AL285" s="91">
        <f>F285*'Part 3 Portfolio Analysis'!$B$121+M285*'Part 3 Portfolio Analysis'!$C$121+'Part 3 Portfolio Analysis'!$D$121*T285+AA285*'Part 3 Portfolio Analysis'!$E$121+'Part 3 Portfolio Analysis'!$F$121*AH285</f>
        <v>3.93356E-3</v>
      </c>
      <c r="AM285" s="91"/>
      <c r="AN285" s="90">
        <v>45068</v>
      </c>
      <c r="AO285" s="91">
        <v>18201.099610000001</v>
      </c>
      <c r="AP285" s="91">
        <v>18314.400389999999</v>
      </c>
      <c r="AQ285" s="91">
        <v>18314.400389999999</v>
      </c>
      <c r="AR285" s="91">
        <v>262600</v>
      </c>
      <c r="AS285" s="91">
        <v>6.1000000000000004E-3</v>
      </c>
    </row>
    <row r="286" spans="1:45" x14ac:dyDescent="0.55000000000000004">
      <c r="A286" s="90">
        <v>45069</v>
      </c>
      <c r="B286" s="91">
        <v>6955.3500979999999</v>
      </c>
      <c r="C286" s="91">
        <v>7023.0498049999997</v>
      </c>
      <c r="D286" s="91">
        <v>6823.9526370000003</v>
      </c>
      <c r="E286" s="91">
        <v>140520</v>
      </c>
      <c r="F286" s="91">
        <v>1.3299999999999999E-2</v>
      </c>
      <c r="H286" s="90">
        <v>45069</v>
      </c>
      <c r="I286" s="91">
        <v>1135.5896</v>
      </c>
      <c r="J286" s="91">
        <v>1132.774414</v>
      </c>
      <c r="K286" s="91">
        <v>1120.4936520000001</v>
      </c>
      <c r="L286" s="91">
        <v>6092034</v>
      </c>
      <c r="M286" s="91">
        <v>-2.0000000000000001E-4</v>
      </c>
      <c r="O286" s="90">
        <v>45069</v>
      </c>
      <c r="P286" s="91">
        <v>824.5</v>
      </c>
      <c r="Q286" s="91">
        <v>818.59997559999999</v>
      </c>
      <c r="R286" s="91">
        <v>796.80187990000002</v>
      </c>
      <c r="S286" s="91">
        <v>22470074</v>
      </c>
      <c r="T286" s="91">
        <v>-2.3E-3</v>
      </c>
      <c r="V286" s="90">
        <v>45069</v>
      </c>
      <c r="W286" s="91">
        <v>1299.1999510000001</v>
      </c>
      <c r="X286" s="91">
        <v>1300.0500489999999</v>
      </c>
      <c r="Y286" s="91">
        <v>1192.3114009999999</v>
      </c>
      <c r="Z286" s="91">
        <v>7436031</v>
      </c>
      <c r="AA286" s="91">
        <v>5.5999999999999999E-3</v>
      </c>
      <c r="AB286" s="91"/>
      <c r="AC286" s="90">
        <v>45069</v>
      </c>
      <c r="AD286" s="91">
        <v>1499.900024</v>
      </c>
      <c r="AE286" s="91">
        <v>1503.650024</v>
      </c>
      <c r="AF286" s="91">
        <v>1499.11438</v>
      </c>
      <c r="AG286" s="91">
        <v>368971</v>
      </c>
      <c r="AH286" s="91">
        <v>4.8999999999999998E-3</v>
      </c>
      <c r="AI286" s="91"/>
      <c r="AJ286" s="91">
        <f>(F286*'Part 3 Portfolio Analysis'!$B$8+M286*'Part 3 Portfolio Analysis'!$C$8+T286*'Part 3 Portfolio Analysis'!$D$8+AA286*'Part 3 Portfolio Analysis'!$E$8+AH286*'Part 3 Portfolio Analysis'!$F$8)/100</f>
        <v>4.4829533781751444E-3</v>
      </c>
      <c r="AK286" s="91">
        <f>'Part 3 Portfolio Analysis'!$B$107*F286+M286*'Part 3 Portfolio Analysis'!$C$107+T286*'Part 3 Portfolio Analysis'!$D$107+AA286*'Part 3 Portfolio Analysis'!$E$107+AH286*'Part 3 Portfolio Analysis'!$F$107</f>
        <v>3.7697E-3</v>
      </c>
      <c r="AL286" s="91">
        <f>F286*'Part 3 Portfolio Analysis'!$B$121+M286*'Part 3 Portfolio Analysis'!$C$121+'Part 3 Portfolio Analysis'!$D$121*T286+AA286*'Part 3 Portfolio Analysis'!$E$121+'Part 3 Portfolio Analysis'!$F$121*AH286</f>
        <v>1.6321200000000001E-3</v>
      </c>
      <c r="AM286" s="91"/>
      <c r="AN286" s="90">
        <v>45069</v>
      </c>
      <c r="AO286" s="91">
        <v>18362.900389999999</v>
      </c>
      <c r="AP286" s="91">
        <v>18348</v>
      </c>
      <c r="AQ286" s="91">
        <v>18348</v>
      </c>
      <c r="AR286" s="91">
        <v>270400</v>
      </c>
      <c r="AS286" s="91">
        <v>1.8E-3</v>
      </c>
    </row>
    <row r="287" spans="1:45" x14ac:dyDescent="0.55000000000000004">
      <c r="A287" s="90">
        <v>45070</v>
      </c>
      <c r="B287" s="91">
        <v>7000</v>
      </c>
      <c r="C287" s="91">
        <v>7032.4501950000003</v>
      </c>
      <c r="D287" s="91">
        <v>6833.0859380000002</v>
      </c>
      <c r="E287" s="91">
        <v>150701</v>
      </c>
      <c r="F287" s="91">
        <v>1.2999999999999999E-3</v>
      </c>
      <c r="H287" s="90">
        <v>45070</v>
      </c>
      <c r="I287" s="91">
        <v>1128.782471</v>
      </c>
      <c r="J287" s="91">
        <v>1126.174927</v>
      </c>
      <c r="K287" s="91">
        <v>1113.965942</v>
      </c>
      <c r="L287" s="91">
        <v>8112254</v>
      </c>
      <c r="M287" s="91">
        <v>-5.7999999999999996E-3</v>
      </c>
      <c r="O287" s="90">
        <v>45070</v>
      </c>
      <c r="P287" s="91">
        <v>813.77502440000001</v>
      </c>
      <c r="Q287" s="91">
        <v>807.90002440000001</v>
      </c>
      <c r="R287" s="91">
        <v>786.3867798</v>
      </c>
      <c r="S287" s="91">
        <v>33588112</v>
      </c>
      <c r="T287" s="91">
        <v>-1.3100000000000001E-2</v>
      </c>
      <c r="V287" s="90">
        <v>45070</v>
      </c>
      <c r="W287" s="91">
        <v>1296.3000489999999</v>
      </c>
      <c r="X287" s="91">
        <v>1298.650024</v>
      </c>
      <c r="Y287" s="91">
        <v>1191.027466</v>
      </c>
      <c r="Z287" s="91">
        <v>4824077</v>
      </c>
      <c r="AA287" s="91">
        <v>-1.1000000000000001E-3</v>
      </c>
      <c r="AB287" s="91"/>
      <c r="AC287" s="90">
        <v>45070</v>
      </c>
      <c r="AD287" s="91">
        <v>1504.9499510000001</v>
      </c>
      <c r="AE287" s="91">
        <v>1498.5</v>
      </c>
      <c r="AF287" s="91">
        <v>1493.9798579999999</v>
      </c>
      <c r="AG287" s="91">
        <v>362122</v>
      </c>
      <c r="AH287" s="91">
        <v>-3.3999999999999998E-3</v>
      </c>
      <c r="AI287" s="91"/>
      <c r="AJ287" s="91">
        <f>(F287*'Part 3 Portfolio Analysis'!$B$8+M287*'Part 3 Portfolio Analysis'!$C$8+T287*'Part 3 Portfolio Analysis'!$D$8+AA287*'Part 3 Portfolio Analysis'!$E$8+AH287*'Part 3 Portfolio Analysis'!$F$8)/100</f>
        <v>-4.1078883023320358E-3</v>
      </c>
      <c r="AK287" s="91">
        <f>'Part 3 Portfolio Analysis'!$B$107*F287+M287*'Part 3 Portfolio Analysis'!$C$107+T287*'Part 3 Portfolio Analysis'!$D$107+AA287*'Part 3 Portfolio Analysis'!$E$107+AH287*'Part 3 Portfolio Analysis'!$F$107</f>
        <v>-4.5786999999999998E-3</v>
      </c>
      <c r="AL287" s="91">
        <f>F287*'Part 3 Portfolio Analysis'!$B$121+M287*'Part 3 Portfolio Analysis'!$C$121+'Part 3 Portfolio Analysis'!$D$121*T287+AA287*'Part 3 Portfolio Analysis'!$E$121+'Part 3 Portfolio Analysis'!$F$121*AH287</f>
        <v>-6.1990999999999999E-3</v>
      </c>
      <c r="AM287" s="91"/>
      <c r="AN287" s="90">
        <v>45070</v>
      </c>
      <c r="AO287" s="91">
        <v>18294.800780000001</v>
      </c>
      <c r="AP287" s="91">
        <v>18285.400389999999</v>
      </c>
      <c r="AQ287" s="91">
        <v>18285.400389999999</v>
      </c>
      <c r="AR287" s="91">
        <v>232600</v>
      </c>
      <c r="AS287" s="91">
        <v>-3.3999999999999998E-3</v>
      </c>
    </row>
    <row r="288" spans="1:45" x14ac:dyDescent="0.55000000000000004">
      <c r="A288" s="90">
        <v>45071</v>
      </c>
      <c r="B288" s="91">
        <v>7032.4501950000003</v>
      </c>
      <c r="C288" s="91">
        <v>7261</v>
      </c>
      <c r="D288" s="91">
        <v>7055.1572269999997</v>
      </c>
      <c r="E288" s="91">
        <v>533209</v>
      </c>
      <c r="F288" s="91">
        <v>3.2500000000000001E-2</v>
      </c>
      <c r="H288" s="90">
        <v>45071</v>
      </c>
      <c r="I288" s="91">
        <v>1123.2445070000001</v>
      </c>
      <c r="J288" s="91">
        <v>1126.036499</v>
      </c>
      <c r="K288" s="91">
        <v>1113.8289789999999</v>
      </c>
      <c r="L288" s="91">
        <v>11487863</v>
      </c>
      <c r="M288" s="91">
        <v>-1E-4</v>
      </c>
      <c r="O288" s="90">
        <v>45071</v>
      </c>
      <c r="P288" s="91">
        <v>807.84997559999999</v>
      </c>
      <c r="Q288" s="91">
        <v>804.79998780000005</v>
      </c>
      <c r="R288" s="91">
        <v>783.3693237</v>
      </c>
      <c r="S288" s="91">
        <v>29776930</v>
      </c>
      <c r="T288" s="91">
        <v>-3.8E-3</v>
      </c>
      <c r="V288" s="90">
        <v>45071</v>
      </c>
      <c r="W288" s="91">
        <v>1294.5</v>
      </c>
      <c r="X288" s="91">
        <v>1304.349976</v>
      </c>
      <c r="Y288" s="91">
        <v>1196.2551269999999</v>
      </c>
      <c r="Z288" s="91">
        <v>4334121</v>
      </c>
      <c r="AA288" s="91">
        <v>4.4000000000000003E-3</v>
      </c>
      <c r="AB288" s="91"/>
      <c r="AC288" s="90">
        <v>45071</v>
      </c>
      <c r="AD288" s="91">
        <v>1500.3000489999999</v>
      </c>
      <c r="AE288" s="91">
        <v>1515.25</v>
      </c>
      <c r="AF288" s="91">
        <v>1512.9003909999999</v>
      </c>
      <c r="AG288" s="91">
        <v>475551</v>
      </c>
      <c r="AH288" s="91">
        <v>1.2699999999999999E-2</v>
      </c>
      <c r="AI288" s="91"/>
      <c r="AJ288" s="91">
        <f>(F288*'Part 3 Portfolio Analysis'!$B$8+M288*'Part 3 Portfolio Analysis'!$C$8+T288*'Part 3 Portfolio Analysis'!$D$8+AA288*'Part 3 Portfolio Analysis'!$E$8+AH288*'Part 3 Portfolio Analysis'!$F$8)/100</f>
        <v>9.9120961120144381E-3</v>
      </c>
      <c r="AK288" s="91">
        <f>'Part 3 Portfolio Analysis'!$B$107*F288+M288*'Part 3 Portfolio Analysis'!$C$107+T288*'Part 3 Portfolio Analysis'!$D$107+AA288*'Part 3 Portfolio Analysis'!$E$107+AH288*'Part 3 Portfolio Analysis'!$F$107</f>
        <v>8.8701000000000006E-3</v>
      </c>
      <c r="AL288" s="91">
        <f>F288*'Part 3 Portfolio Analysis'!$B$121+M288*'Part 3 Portfolio Analysis'!$C$121+'Part 3 Portfolio Analysis'!$D$121*T288+AA288*'Part 3 Portfolio Analysis'!$E$121+'Part 3 Portfolio Analysis'!$F$121*AH288</f>
        <v>2.80868E-3</v>
      </c>
      <c r="AM288" s="91"/>
      <c r="AN288" s="90">
        <v>45071</v>
      </c>
      <c r="AO288" s="91">
        <v>18268.900389999999</v>
      </c>
      <c r="AP288" s="91">
        <v>18321.150389999999</v>
      </c>
      <c r="AQ288" s="91">
        <v>18321.150389999999</v>
      </c>
      <c r="AR288" s="91">
        <v>235900</v>
      </c>
      <c r="AS288" s="91">
        <v>2E-3</v>
      </c>
    </row>
    <row r="289" spans="1:45" x14ac:dyDescent="0.55000000000000004">
      <c r="A289" s="90">
        <v>45072</v>
      </c>
      <c r="B289" s="91">
        <v>7300</v>
      </c>
      <c r="C289" s="91">
        <v>7467.1000979999999</v>
      </c>
      <c r="D289" s="91">
        <v>7255.4145509999998</v>
      </c>
      <c r="E289" s="91">
        <v>714927</v>
      </c>
      <c r="F289" s="91">
        <v>2.8400000000000002E-2</v>
      </c>
      <c r="H289" s="90">
        <v>45072</v>
      </c>
      <c r="I289" s="91">
        <v>1134.366577</v>
      </c>
      <c r="J289" s="91">
        <v>1156.7493899999999</v>
      </c>
      <c r="K289" s="91">
        <v>1144.208862</v>
      </c>
      <c r="L289" s="91">
        <v>12626260</v>
      </c>
      <c r="M289" s="91">
        <v>2.7300000000000001E-2</v>
      </c>
      <c r="O289" s="90">
        <v>45072</v>
      </c>
      <c r="P289" s="91">
        <v>809.5</v>
      </c>
      <c r="Q289" s="91">
        <v>807.90002440000001</v>
      </c>
      <c r="R289" s="91">
        <v>786.3867798</v>
      </c>
      <c r="S289" s="91">
        <v>26635066</v>
      </c>
      <c r="T289" s="91">
        <v>3.8999999999999998E-3</v>
      </c>
      <c r="V289" s="90">
        <v>45072</v>
      </c>
      <c r="W289" s="91">
        <v>1306</v>
      </c>
      <c r="X289" s="91">
        <v>1317.4499510000001</v>
      </c>
      <c r="Y289" s="91">
        <v>1208.269409</v>
      </c>
      <c r="Z289" s="91">
        <v>5521606</v>
      </c>
      <c r="AA289" s="91">
        <v>0.01</v>
      </c>
      <c r="AB289" s="91"/>
      <c r="AC289" s="90">
        <v>45072</v>
      </c>
      <c r="AD289" s="91">
        <v>1514.1999510000001</v>
      </c>
      <c r="AE289" s="91">
        <v>1530.1999510000001</v>
      </c>
      <c r="AF289" s="91">
        <v>1527.8271480000001</v>
      </c>
      <c r="AG289" s="91">
        <v>415204</v>
      </c>
      <c r="AH289" s="91">
        <v>9.9000000000000008E-3</v>
      </c>
      <c r="AI289" s="91"/>
      <c r="AJ289" s="91">
        <f>(F289*'Part 3 Portfolio Analysis'!$B$8+M289*'Part 3 Portfolio Analysis'!$C$8+T289*'Part 3 Portfolio Analysis'!$D$8+AA289*'Part 3 Portfolio Analysis'!$E$8+AH289*'Part 3 Portfolio Analysis'!$F$8)/100</f>
        <v>2.0772371466309791E-2</v>
      </c>
      <c r="AK289" s="91">
        <f>'Part 3 Portfolio Analysis'!$B$107*F289+M289*'Part 3 Portfolio Analysis'!$C$107+T289*'Part 3 Portfolio Analysis'!$D$107+AA289*'Part 3 Portfolio Analysis'!$E$107+AH289*'Part 3 Portfolio Analysis'!$F$107</f>
        <v>1.77562E-2</v>
      </c>
      <c r="AL289" s="91">
        <f>F289*'Part 3 Portfolio Analysis'!$B$121+M289*'Part 3 Portfolio Analysis'!$C$121+'Part 3 Portfolio Analysis'!$D$121*T289+AA289*'Part 3 Portfolio Analysis'!$E$121+'Part 3 Portfolio Analysis'!$F$121*AH289</f>
        <v>1.7109740000000002E-2</v>
      </c>
      <c r="AM289" s="91"/>
      <c r="AN289" s="90">
        <v>45072</v>
      </c>
      <c r="AO289" s="91">
        <v>18368.349610000001</v>
      </c>
      <c r="AP289" s="91">
        <v>18499.349610000001</v>
      </c>
      <c r="AQ289" s="91">
        <v>18499.349610000001</v>
      </c>
      <c r="AR289" s="91">
        <v>198700</v>
      </c>
      <c r="AS289" s="91">
        <v>9.7000000000000003E-3</v>
      </c>
    </row>
    <row r="290" spans="1:45" x14ac:dyDescent="0.55000000000000004">
      <c r="A290" s="90">
        <v>45075</v>
      </c>
      <c r="B290" s="91">
        <v>7560</v>
      </c>
      <c r="C290" s="91">
        <v>7494.9501950000003</v>
      </c>
      <c r="D290" s="91">
        <v>7282.4746089999999</v>
      </c>
      <c r="E290" s="91">
        <v>200412</v>
      </c>
      <c r="F290" s="91">
        <v>3.7000000000000002E-3</v>
      </c>
      <c r="H290" s="90">
        <v>45075</v>
      </c>
      <c r="I290" s="91">
        <v>1163.4410399999999</v>
      </c>
      <c r="J290" s="91">
        <v>1163.25647</v>
      </c>
      <c r="K290" s="91">
        <v>1150.645264</v>
      </c>
      <c r="L290" s="91">
        <v>10010304</v>
      </c>
      <c r="M290" s="91">
        <v>5.5999999999999999E-3</v>
      </c>
      <c r="O290" s="90">
        <v>45075</v>
      </c>
      <c r="P290" s="91">
        <v>814.25</v>
      </c>
      <c r="Q290" s="91">
        <v>817.75</v>
      </c>
      <c r="R290" s="91">
        <v>795.97448729999996</v>
      </c>
      <c r="S290" s="91">
        <v>21816292</v>
      </c>
      <c r="T290" s="91">
        <v>1.2200000000000001E-2</v>
      </c>
      <c r="V290" s="90">
        <v>45075</v>
      </c>
      <c r="W290" s="91">
        <v>1332.6999510000001</v>
      </c>
      <c r="X290" s="91">
        <v>1314.400024</v>
      </c>
      <c r="Y290" s="91">
        <v>1205.4722899999999</v>
      </c>
      <c r="Z290" s="91">
        <v>4419365</v>
      </c>
      <c r="AA290" s="91">
        <v>-2.3E-3</v>
      </c>
      <c r="AB290" s="91"/>
      <c r="AC290" s="90">
        <v>45075</v>
      </c>
      <c r="AD290" s="91">
        <v>1531.400024</v>
      </c>
      <c r="AE290" s="91">
        <v>1537.900024</v>
      </c>
      <c r="AF290" s="91">
        <v>1535.5153809999999</v>
      </c>
      <c r="AG290" s="91">
        <v>347260</v>
      </c>
      <c r="AH290" s="91">
        <v>5.0000000000000001E-3</v>
      </c>
      <c r="AI290" s="91"/>
      <c r="AJ290" s="91">
        <f>(F290*'Part 3 Portfolio Analysis'!$B$8+M290*'Part 3 Portfolio Analysis'!$C$8+T290*'Part 3 Portfolio Analysis'!$D$8+AA290*'Part 3 Portfolio Analysis'!$E$8+AH290*'Part 3 Portfolio Analysis'!$F$8)/100</f>
        <v>4.8537244626175348E-3</v>
      </c>
      <c r="AK290" s="91">
        <f>'Part 3 Portfolio Analysis'!$B$107*F290+M290*'Part 3 Portfolio Analysis'!$C$107+T290*'Part 3 Portfolio Analysis'!$D$107+AA290*'Part 3 Portfolio Analysis'!$E$107+AH290*'Part 3 Portfolio Analysis'!$F$107</f>
        <v>5.3397999999999996E-3</v>
      </c>
      <c r="AL290" s="91">
        <f>F290*'Part 3 Portfolio Analysis'!$B$121+M290*'Part 3 Portfolio Analysis'!$C$121+'Part 3 Portfolio Analysis'!$D$121*T290+AA290*'Part 3 Portfolio Analysis'!$E$121+'Part 3 Portfolio Analysis'!$F$121*AH290</f>
        <v>5.6432999999999995E-3</v>
      </c>
      <c r="AM290" s="91"/>
      <c r="AN290" s="90">
        <v>45075</v>
      </c>
      <c r="AO290" s="91">
        <v>18619.150389999999</v>
      </c>
      <c r="AP290" s="91">
        <v>18598.650389999999</v>
      </c>
      <c r="AQ290" s="91">
        <v>18598.650389999999</v>
      </c>
      <c r="AR290" s="91">
        <v>265300</v>
      </c>
      <c r="AS290" s="91">
        <v>5.4000000000000003E-3</v>
      </c>
    </row>
    <row r="291" spans="1:45" x14ac:dyDescent="0.55000000000000004">
      <c r="A291" s="90">
        <v>45076</v>
      </c>
      <c r="B291" s="91">
        <v>7485</v>
      </c>
      <c r="C291" s="91">
        <v>7422</v>
      </c>
      <c r="D291" s="91">
        <v>7211.5922849999997</v>
      </c>
      <c r="E291" s="91">
        <v>116607</v>
      </c>
      <c r="F291" s="91">
        <v>-9.7000000000000003E-3</v>
      </c>
      <c r="H291" s="90">
        <v>45076</v>
      </c>
      <c r="I291" s="91">
        <v>1163.25647</v>
      </c>
      <c r="J291" s="91">
        <v>1162.956543</v>
      </c>
      <c r="K291" s="91">
        <v>1150.3486330000001</v>
      </c>
      <c r="L291" s="91">
        <v>11342504</v>
      </c>
      <c r="M291" s="91">
        <v>-2.9999999999999997E-4</v>
      </c>
      <c r="O291" s="90">
        <v>45076</v>
      </c>
      <c r="P291" s="91">
        <v>816.79998780000005</v>
      </c>
      <c r="Q291" s="91">
        <v>818.375</v>
      </c>
      <c r="R291" s="91">
        <v>796.58288570000002</v>
      </c>
      <c r="S291" s="91">
        <v>37125928</v>
      </c>
      <c r="T291" s="91">
        <v>8.0000000000000004E-4</v>
      </c>
      <c r="V291" s="90">
        <v>45076</v>
      </c>
      <c r="W291" s="91">
        <v>1315</v>
      </c>
      <c r="X291" s="91">
        <v>1323.849976</v>
      </c>
      <c r="Y291" s="91">
        <v>1214.1391599999999</v>
      </c>
      <c r="Z291" s="91">
        <v>6274719</v>
      </c>
      <c r="AA291" s="91">
        <v>7.1999999999999998E-3</v>
      </c>
      <c r="AB291" s="91"/>
      <c r="AC291" s="90">
        <v>45076</v>
      </c>
      <c r="AD291" s="91">
        <v>1537.900024</v>
      </c>
      <c r="AE291" s="91">
        <v>1558.349976</v>
      </c>
      <c r="AF291" s="91">
        <v>1555.9335940000001</v>
      </c>
      <c r="AG291" s="91">
        <v>341563</v>
      </c>
      <c r="AH291" s="91">
        <v>1.3299999999999999E-2</v>
      </c>
      <c r="AI291" s="91"/>
      <c r="AJ291" s="91">
        <f>(F291*'Part 3 Portfolio Analysis'!$B$8+M291*'Part 3 Portfolio Analysis'!$C$8+T291*'Part 3 Portfolio Analysis'!$D$8+AA291*'Part 3 Portfolio Analysis'!$E$8+AH291*'Part 3 Portfolio Analysis'!$F$8)/100</f>
        <v>-1.5965833387823548E-3</v>
      </c>
      <c r="AK291" s="91">
        <f>'Part 3 Portfolio Analysis'!$B$107*F291+M291*'Part 3 Portfolio Analysis'!$C$107+T291*'Part 3 Portfolio Analysis'!$D$107+AA291*'Part 3 Portfolio Analysis'!$E$107+AH291*'Part 3 Portfolio Analysis'!$F$107</f>
        <v>2.3556999999999996E-3</v>
      </c>
      <c r="AL291" s="91">
        <f>F291*'Part 3 Portfolio Analysis'!$B$121+M291*'Part 3 Portfolio Analysis'!$C$121+'Part 3 Portfolio Analysis'!$D$121*T291+AA291*'Part 3 Portfolio Analysis'!$E$121+'Part 3 Portfolio Analysis'!$F$121*AH291</f>
        <v>1.0828400000000003E-3</v>
      </c>
      <c r="AM291" s="91"/>
      <c r="AN291" s="90">
        <v>45076</v>
      </c>
      <c r="AO291" s="91">
        <v>18606.650389999999</v>
      </c>
      <c r="AP291" s="91">
        <v>18633.849610000001</v>
      </c>
      <c r="AQ291" s="91">
        <v>18633.849610000001</v>
      </c>
      <c r="AR291" s="91">
        <v>234400</v>
      </c>
      <c r="AS291" s="91">
        <v>1.9E-3</v>
      </c>
    </row>
    <row r="292" spans="1:45" x14ac:dyDescent="0.55000000000000004">
      <c r="A292" s="90">
        <v>45077</v>
      </c>
      <c r="B292" s="91">
        <v>7414</v>
      </c>
      <c r="C292" s="91">
        <v>7421.5498049999997</v>
      </c>
      <c r="D292" s="91">
        <v>7211.1552730000003</v>
      </c>
      <c r="E292" s="91">
        <v>440466</v>
      </c>
      <c r="F292" s="91">
        <v>-1E-4</v>
      </c>
      <c r="H292" s="90">
        <v>45077</v>
      </c>
      <c r="I292" s="91">
        <v>1153.749634</v>
      </c>
      <c r="J292" s="91">
        <v>1139.8583980000001</v>
      </c>
      <c r="K292" s="91">
        <v>1127.5009769999999</v>
      </c>
      <c r="L292" s="91">
        <v>27107927</v>
      </c>
      <c r="M292" s="91">
        <v>-1.9900000000000001E-2</v>
      </c>
      <c r="O292" s="90">
        <v>45077</v>
      </c>
      <c r="P292" s="91">
        <v>814.95001219999995</v>
      </c>
      <c r="Q292" s="91">
        <v>805.42498780000005</v>
      </c>
      <c r="R292" s="91">
        <v>783.97778319999998</v>
      </c>
      <c r="S292" s="91">
        <v>43334270</v>
      </c>
      <c r="T292" s="91">
        <v>-1.5800000000000002E-2</v>
      </c>
      <c r="V292" s="90">
        <v>45077</v>
      </c>
      <c r="W292" s="91">
        <v>1319.849976</v>
      </c>
      <c r="X292" s="91">
        <v>1318.3000489999999</v>
      </c>
      <c r="Y292" s="91">
        <v>1209.049072</v>
      </c>
      <c r="Z292" s="91">
        <v>17800782</v>
      </c>
      <c r="AA292" s="91">
        <v>-4.1999999999999997E-3</v>
      </c>
      <c r="AB292" s="91"/>
      <c r="AC292" s="90">
        <v>45077</v>
      </c>
      <c r="AD292" s="91">
        <v>1561.400024</v>
      </c>
      <c r="AE292" s="91">
        <v>1560.4499510000001</v>
      </c>
      <c r="AF292" s="91">
        <v>1558.0302730000001</v>
      </c>
      <c r="AG292" s="91">
        <v>1279601</v>
      </c>
      <c r="AH292" s="91">
        <v>1.2999999999999999E-3</v>
      </c>
      <c r="AI292" s="91"/>
      <c r="AJ292" s="91">
        <f>(F292*'Part 3 Portfolio Analysis'!$B$8+M292*'Part 3 Portfolio Analysis'!$C$8+T292*'Part 3 Portfolio Analysis'!$D$8+AA292*'Part 3 Portfolio Analysis'!$E$8+AH292*'Part 3 Portfolio Analysis'!$F$8)/100</f>
        <v>-1.0542210628642672E-2</v>
      </c>
      <c r="AK292" s="91">
        <f>'Part 3 Portfolio Analysis'!$B$107*F292+M292*'Part 3 Portfolio Analysis'!$C$107+T292*'Part 3 Portfolio Analysis'!$D$107+AA292*'Part 3 Portfolio Analysis'!$E$107+AH292*'Part 3 Portfolio Analysis'!$F$107</f>
        <v>-8.7881000000000001E-3</v>
      </c>
      <c r="AL292" s="91">
        <f>F292*'Part 3 Portfolio Analysis'!$B$121+M292*'Part 3 Portfolio Analysis'!$C$121+'Part 3 Portfolio Analysis'!$D$121*T292+AA292*'Part 3 Portfolio Analysis'!$E$121+'Part 3 Portfolio Analysis'!$F$121*AH292</f>
        <v>-1.3461799999999999E-2</v>
      </c>
      <c r="AM292" s="91"/>
      <c r="AN292" s="90">
        <v>45077</v>
      </c>
      <c r="AO292" s="91">
        <v>18594.199219999999</v>
      </c>
      <c r="AP292" s="91">
        <v>18534.400389999999</v>
      </c>
      <c r="AQ292" s="91">
        <v>18534.400389999999</v>
      </c>
      <c r="AR292" s="91">
        <v>696500</v>
      </c>
      <c r="AS292" s="91">
        <v>-5.3E-3</v>
      </c>
    </row>
    <row r="293" spans="1:45" x14ac:dyDescent="0.55000000000000004">
      <c r="A293" s="90">
        <v>45078</v>
      </c>
      <c r="B293" s="91">
        <v>7478.7998049999997</v>
      </c>
      <c r="C293" s="91">
        <v>7634.5</v>
      </c>
      <c r="D293" s="91">
        <v>7418.0683589999999</v>
      </c>
      <c r="E293" s="91">
        <v>382173</v>
      </c>
      <c r="F293" s="91">
        <v>2.87E-2</v>
      </c>
      <c r="H293" s="90">
        <v>45078</v>
      </c>
      <c r="I293" s="91">
        <v>1144.5888669999999</v>
      </c>
      <c r="J293" s="91">
        <v>1136.7894289999999</v>
      </c>
      <c r="K293" s="91">
        <v>1124.465332</v>
      </c>
      <c r="L293" s="91">
        <v>14592692</v>
      </c>
      <c r="M293" s="91">
        <v>-2.7000000000000001E-3</v>
      </c>
      <c r="O293" s="90">
        <v>45078</v>
      </c>
      <c r="P293" s="91">
        <v>809.95001219999995</v>
      </c>
      <c r="Q293" s="91">
        <v>802</v>
      </c>
      <c r="R293" s="91">
        <v>780.64392090000001</v>
      </c>
      <c r="S293" s="91">
        <v>50366938</v>
      </c>
      <c r="T293" s="91">
        <v>-4.3E-3</v>
      </c>
      <c r="V293" s="90">
        <v>45078</v>
      </c>
      <c r="W293" s="91">
        <v>1322.5500489999999</v>
      </c>
      <c r="X293" s="91">
        <v>1319.5</v>
      </c>
      <c r="Y293" s="91">
        <v>1210.1495359999999</v>
      </c>
      <c r="Z293" s="91">
        <v>4277841</v>
      </c>
      <c r="AA293" s="91">
        <v>8.9999999999999998E-4</v>
      </c>
      <c r="AB293" s="91"/>
      <c r="AC293" s="90">
        <v>45078</v>
      </c>
      <c r="AD293" s="91">
        <v>1564.900024</v>
      </c>
      <c r="AE293" s="91">
        <v>1562.400024</v>
      </c>
      <c r="AF293" s="91">
        <v>1559.9772949999999</v>
      </c>
      <c r="AG293" s="91">
        <v>452507</v>
      </c>
      <c r="AH293" s="91">
        <v>1.1999999999999999E-3</v>
      </c>
      <c r="AI293" s="91"/>
      <c r="AJ293" s="91">
        <f>(F293*'Part 3 Portfolio Analysis'!$B$8+M293*'Part 3 Portfolio Analysis'!$C$8+T293*'Part 3 Portfolio Analysis'!$D$8+AA293*'Part 3 Portfolio Analysis'!$E$8+AH293*'Part 3 Portfolio Analysis'!$F$8)/100</f>
        <v>7.0705775584607297E-3</v>
      </c>
      <c r="AK293" s="91">
        <f>'Part 3 Portfolio Analysis'!$B$107*F293+M293*'Part 3 Portfolio Analysis'!$C$107+T293*'Part 3 Portfolio Analysis'!$D$107+AA293*'Part 3 Portfolio Analysis'!$E$107+AH293*'Part 3 Portfolio Analysis'!$F$107</f>
        <v>4.0467999999999997E-3</v>
      </c>
      <c r="AL293" s="91">
        <f>F293*'Part 3 Portfolio Analysis'!$B$121+M293*'Part 3 Portfolio Analysis'!$C$121+'Part 3 Portfolio Analysis'!$D$121*T293+AA293*'Part 3 Portfolio Analysis'!$E$121+'Part 3 Portfolio Analysis'!$F$121*AH293</f>
        <v>2.6806000000000009E-4</v>
      </c>
      <c r="AM293" s="91"/>
      <c r="AN293" s="90">
        <v>45078</v>
      </c>
      <c r="AO293" s="91">
        <v>18579.400389999999</v>
      </c>
      <c r="AP293" s="91">
        <v>18487.75</v>
      </c>
      <c r="AQ293" s="91">
        <v>18487.75</v>
      </c>
      <c r="AR293" s="91">
        <v>265600</v>
      </c>
      <c r="AS293" s="91">
        <v>-2.5000000000000001E-3</v>
      </c>
    </row>
    <row r="294" spans="1:45" x14ac:dyDescent="0.55000000000000004">
      <c r="A294" s="90">
        <v>45079</v>
      </c>
      <c r="B294" s="91">
        <v>7675</v>
      </c>
      <c r="C294" s="91">
        <v>7695.9501950000003</v>
      </c>
      <c r="D294" s="91">
        <v>7477.7763670000004</v>
      </c>
      <c r="E294" s="91">
        <v>228387</v>
      </c>
      <c r="F294" s="91">
        <v>8.0000000000000002E-3</v>
      </c>
      <c r="H294" s="90">
        <v>45079</v>
      </c>
      <c r="I294" s="91">
        <v>1140.3660890000001</v>
      </c>
      <c r="J294" s="91">
        <v>1133.074341</v>
      </c>
      <c r="K294" s="91">
        <v>1120.790405</v>
      </c>
      <c r="L294" s="91">
        <v>15800644</v>
      </c>
      <c r="M294" s="91">
        <v>-3.3E-3</v>
      </c>
      <c r="O294" s="90">
        <v>45079</v>
      </c>
      <c r="P294" s="91">
        <v>806.22497559999999</v>
      </c>
      <c r="Q294" s="91">
        <v>803.25</v>
      </c>
      <c r="R294" s="91">
        <v>781.86059569999998</v>
      </c>
      <c r="S294" s="91">
        <v>17859710</v>
      </c>
      <c r="T294" s="91">
        <v>1.6000000000000001E-3</v>
      </c>
      <c r="V294" s="90">
        <v>45079</v>
      </c>
      <c r="W294" s="91">
        <v>1309</v>
      </c>
      <c r="X294" s="91">
        <v>1299</v>
      </c>
      <c r="Y294" s="91">
        <v>1207.361328</v>
      </c>
      <c r="Z294" s="91">
        <v>10909311</v>
      </c>
      <c r="AA294" s="91">
        <v>-2.3E-3</v>
      </c>
      <c r="AB294" s="91"/>
      <c r="AC294" s="90">
        <v>45079</v>
      </c>
      <c r="AD294" s="91">
        <v>1566.5500489999999</v>
      </c>
      <c r="AE294" s="91">
        <v>1597.3000489999999</v>
      </c>
      <c r="AF294" s="91">
        <v>1594.8232419999999</v>
      </c>
      <c r="AG294" s="91">
        <v>514635</v>
      </c>
      <c r="AH294" s="91">
        <v>2.23E-2</v>
      </c>
      <c r="AI294" s="91"/>
      <c r="AJ294" s="91">
        <f>(F294*'Part 3 Portfolio Analysis'!$B$8+M294*'Part 3 Portfolio Analysis'!$C$8+T294*'Part 3 Portfolio Analysis'!$D$8+AA294*'Part 3 Portfolio Analysis'!$E$8+AH294*'Part 3 Portfolio Analysis'!$F$8)/100</f>
        <v>1.3185198802087193E-3</v>
      </c>
      <c r="AK294" s="91">
        <f>'Part 3 Portfolio Analysis'!$B$107*F294+M294*'Part 3 Portfolio Analysis'!$C$107+T294*'Part 3 Portfolio Analysis'!$D$107+AA294*'Part 3 Portfolio Analysis'!$E$107+AH294*'Part 3 Portfolio Analysis'!$F$107</f>
        <v>6.0446999999999992E-3</v>
      </c>
      <c r="AL294" s="91">
        <f>F294*'Part 3 Portfolio Analysis'!$B$121+M294*'Part 3 Portfolio Analysis'!$C$121+'Part 3 Portfolio Analysis'!$D$121*T294+AA294*'Part 3 Portfolio Analysis'!$E$121+'Part 3 Portfolio Analysis'!$F$121*AH294</f>
        <v>-1.6761999999999984E-4</v>
      </c>
      <c r="AM294" s="91"/>
      <c r="AN294" s="90">
        <v>45079</v>
      </c>
      <c r="AO294" s="91">
        <v>18550.849610000001</v>
      </c>
      <c r="AP294" s="91">
        <v>18534.099610000001</v>
      </c>
      <c r="AQ294" s="91">
        <v>18534.099610000001</v>
      </c>
      <c r="AR294" s="91">
        <v>270900</v>
      </c>
      <c r="AS294" s="91">
        <v>2.5000000000000001E-3</v>
      </c>
    </row>
    <row r="295" spans="1:45" x14ac:dyDescent="0.55000000000000004">
      <c r="A295" s="90">
        <v>45082</v>
      </c>
      <c r="B295" s="91">
        <v>7725</v>
      </c>
      <c r="C295" s="91">
        <v>7698.1499020000001</v>
      </c>
      <c r="D295" s="91">
        <v>7479.9140630000002</v>
      </c>
      <c r="E295" s="91">
        <v>131164</v>
      </c>
      <c r="F295" s="91">
        <v>2.9999999999999997E-4</v>
      </c>
      <c r="H295" s="90">
        <v>45082</v>
      </c>
      <c r="I295" s="91">
        <v>1138.612427</v>
      </c>
      <c r="J295" s="91">
        <v>1143.2504879999999</v>
      </c>
      <c r="K295" s="91">
        <v>1130.8562010000001</v>
      </c>
      <c r="L295" s="91">
        <v>10908682</v>
      </c>
      <c r="M295" s="91">
        <v>8.9999999999999993E-3</v>
      </c>
      <c r="O295" s="90">
        <v>45082</v>
      </c>
      <c r="P295" s="91">
        <v>807.25</v>
      </c>
      <c r="Q295" s="91">
        <v>802.20001219999995</v>
      </c>
      <c r="R295" s="91">
        <v>780.83868410000002</v>
      </c>
      <c r="S295" s="91">
        <v>18697242</v>
      </c>
      <c r="T295" s="91">
        <v>-1.2999999999999999E-3</v>
      </c>
      <c r="V295" s="90">
        <v>45082</v>
      </c>
      <c r="W295" s="91">
        <v>1304</v>
      </c>
      <c r="X295" s="91">
        <v>1304.5</v>
      </c>
      <c r="Y295" s="91">
        <v>1212.473389</v>
      </c>
      <c r="Z295" s="91">
        <v>5002553</v>
      </c>
      <c r="AA295" s="91">
        <v>4.1999999999999997E-3</v>
      </c>
      <c r="AB295" s="91"/>
      <c r="AC295" s="90">
        <v>45082</v>
      </c>
      <c r="AD295" s="91">
        <v>1595</v>
      </c>
      <c r="AE295" s="91">
        <v>1599.0500489999999</v>
      </c>
      <c r="AF295" s="91">
        <v>1596.570557</v>
      </c>
      <c r="AG295" s="91">
        <v>231024</v>
      </c>
      <c r="AH295" s="91">
        <v>1.1000000000000001E-3</v>
      </c>
      <c r="AI295" s="91"/>
      <c r="AJ295" s="91">
        <f>(F295*'Part 3 Portfolio Analysis'!$B$8+M295*'Part 3 Portfolio Analysis'!$C$8+T295*'Part 3 Portfolio Analysis'!$D$8+AA295*'Part 3 Portfolio Analysis'!$E$8+AH295*'Part 3 Portfolio Analysis'!$F$8)/100</f>
        <v>3.8221366352948348E-3</v>
      </c>
      <c r="AK295" s="91">
        <f>'Part 3 Portfolio Analysis'!$B$107*F295+M295*'Part 3 Portfolio Analysis'!$C$107+T295*'Part 3 Portfolio Analysis'!$D$107+AA295*'Part 3 Portfolio Analysis'!$E$107+AH295*'Part 3 Portfolio Analysis'!$F$107</f>
        <v>3.3666999999999994E-3</v>
      </c>
      <c r="AL295" s="91">
        <f>F295*'Part 3 Portfolio Analysis'!$B$121+M295*'Part 3 Portfolio Analysis'!$C$121+'Part 3 Portfolio Analysis'!$D$121*T295+AA295*'Part 3 Portfolio Analysis'!$E$121+'Part 3 Portfolio Analysis'!$F$121*AH295</f>
        <v>4.3162799999999996E-3</v>
      </c>
      <c r="AM295" s="91"/>
      <c r="AN295" s="90">
        <v>45082</v>
      </c>
      <c r="AO295" s="91">
        <v>18612</v>
      </c>
      <c r="AP295" s="91">
        <v>18593.849610000001</v>
      </c>
      <c r="AQ295" s="91">
        <v>18593.849610000001</v>
      </c>
      <c r="AR295" s="91">
        <v>256100</v>
      </c>
      <c r="AS295" s="91">
        <v>3.2000000000000002E-3</v>
      </c>
    </row>
    <row r="296" spans="1:45" x14ac:dyDescent="0.55000000000000004">
      <c r="A296" s="90">
        <v>45083</v>
      </c>
      <c r="B296" s="91">
        <v>7718.9501950000003</v>
      </c>
      <c r="C296" s="91">
        <v>7604.5</v>
      </c>
      <c r="D296" s="91">
        <v>7388.9189450000003</v>
      </c>
      <c r="E296" s="91">
        <v>155852</v>
      </c>
      <c r="F296" s="91">
        <v>-1.2200000000000001E-2</v>
      </c>
      <c r="H296" s="90">
        <v>45083</v>
      </c>
      <c r="I296" s="91">
        <v>1146.1118160000001</v>
      </c>
      <c r="J296" s="91">
        <v>1144.2196039999999</v>
      </c>
      <c r="K296" s="91">
        <v>1131.8149410000001</v>
      </c>
      <c r="L296" s="91">
        <v>7493309</v>
      </c>
      <c r="M296" s="91">
        <v>8.0000000000000004E-4</v>
      </c>
      <c r="O296" s="90">
        <v>45083</v>
      </c>
      <c r="P296" s="91">
        <v>803.82501219999995</v>
      </c>
      <c r="Q296" s="91">
        <v>799.70001219999995</v>
      </c>
      <c r="R296" s="91">
        <v>778.40515140000002</v>
      </c>
      <c r="S296" s="91">
        <v>32182852</v>
      </c>
      <c r="T296" s="91">
        <v>-3.0999999999999999E-3</v>
      </c>
      <c r="V296" s="90">
        <v>45083</v>
      </c>
      <c r="W296" s="91">
        <v>1288.599976</v>
      </c>
      <c r="X296" s="91">
        <v>1279</v>
      </c>
      <c r="Y296" s="91">
        <v>1188.772217</v>
      </c>
      <c r="Z296" s="91">
        <v>10008100</v>
      </c>
      <c r="AA296" s="91">
        <v>-1.95E-2</v>
      </c>
      <c r="AB296" s="91"/>
      <c r="AC296" s="90">
        <v>45083</v>
      </c>
      <c r="AD296" s="91">
        <v>1604.9499510000001</v>
      </c>
      <c r="AE296" s="91">
        <v>1602.650024</v>
      </c>
      <c r="AF296" s="91">
        <v>1600.1649170000001</v>
      </c>
      <c r="AG296" s="91">
        <v>208474</v>
      </c>
      <c r="AH296" s="91">
        <v>2.3E-3</v>
      </c>
      <c r="AI296" s="91"/>
      <c r="AJ296" s="91">
        <f>(F296*'Part 3 Portfolio Analysis'!$B$8+M296*'Part 3 Portfolio Analysis'!$C$8+T296*'Part 3 Portfolio Analysis'!$D$8+AA296*'Part 3 Portfolio Analysis'!$E$8+AH296*'Part 3 Portfolio Analysis'!$F$8)/100</f>
        <v>-7.0028606053208608E-3</v>
      </c>
      <c r="AK296" s="91">
        <f>'Part 3 Portfolio Analysis'!$B$107*F296+M296*'Part 3 Portfolio Analysis'!$C$107+T296*'Part 3 Portfolio Analysis'!$D$107+AA296*'Part 3 Portfolio Analysis'!$E$107+AH296*'Part 3 Portfolio Analysis'!$F$107</f>
        <v>-3.7965E-3</v>
      </c>
      <c r="AL296" s="91">
        <f>F296*'Part 3 Portfolio Analysis'!$B$121+M296*'Part 3 Portfolio Analysis'!$C$121+'Part 3 Portfolio Analysis'!$D$121*T296+AA296*'Part 3 Portfolio Analysis'!$E$121+'Part 3 Portfolio Analysis'!$F$121*AH296</f>
        <v>-5.3501E-3</v>
      </c>
      <c r="AM296" s="91"/>
      <c r="AN296" s="90">
        <v>45083</v>
      </c>
      <c r="AO296" s="91">
        <v>18600.800780000001</v>
      </c>
      <c r="AP296" s="91">
        <v>18599</v>
      </c>
      <c r="AQ296" s="91">
        <v>18599</v>
      </c>
      <c r="AR296" s="91">
        <v>220800</v>
      </c>
      <c r="AS296" s="91">
        <v>2.9999999999999997E-4</v>
      </c>
    </row>
    <row r="297" spans="1:45" x14ac:dyDescent="0.55000000000000004">
      <c r="A297" s="90">
        <v>45084</v>
      </c>
      <c r="B297" s="91">
        <v>7650.2001950000003</v>
      </c>
      <c r="C297" s="91">
        <v>7693.0498049999997</v>
      </c>
      <c r="D297" s="91">
        <v>7474.9580079999996</v>
      </c>
      <c r="E297" s="91">
        <v>129652</v>
      </c>
      <c r="F297" s="91">
        <v>1.1599999999999999E-2</v>
      </c>
      <c r="H297" s="90">
        <v>45084</v>
      </c>
      <c r="I297" s="91">
        <v>1147.7501219999999</v>
      </c>
      <c r="J297" s="91">
        <v>1152.895874</v>
      </c>
      <c r="K297" s="91">
        <v>1140.397095</v>
      </c>
      <c r="L297" s="91">
        <v>10312545</v>
      </c>
      <c r="M297" s="91">
        <v>7.6E-3</v>
      </c>
      <c r="O297" s="90">
        <v>45084</v>
      </c>
      <c r="P297" s="91">
        <v>801.72497559999999</v>
      </c>
      <c r="Q297" s="91">
        <v>803.84997559999999</v>
      </c>
      <c r="R297" s="91">
        <v>782.44458010000005</v>
      </c>
      <c r="S297" s="91">
        <v>24949026</v>
      </c>
      <c r="T297" s="91">
        <v>5.1999999999999998E-3</v>
      </c>
      <c r="V297" s="90">
        <v>45084</v>
      </c>
      <c r="W297" s="91">
        <v>1290.5</v>
      </c>
      <c r="X297" s="91">
        <v>1288.9499510000001</v>
      </c>
      <c r="Y297" s="91">
        <v>1198.020264</v>
      </c>
      <c r="Z297" s="91">
        <v>5397578</v>
      </c>
      <c r="AA297" s="91">
        <v>7.7999999999999996E-3</v>
      </c>
      <c r="AB297" s="91"/>
      <c r="AC297" s="90">
        <v>45084</v>
      </c>
      <c r="AD297" s="91">
        <v>1605</v>
      </c>
      <c r="AE297" s="91">
        <v>1602.849976</v>
      </c>
      <c r="AF297" s="91">
        <v>1600.3645019999999</v>
      </c>
      <c r="AG297" s="91">
        <v>632805</v>
      </c>
      <c r="AH297" s="91">
        <v>1E-4</v>
      </c>
      <c r="AI297" s="91"/>
      <c r="AJ297" s="91">
        <f>(F297*'Part 3 Portfolio Analysis'!$B$8+M297*'Part 3 Portfolio Analysis'!$C$8+T297*'Part 3 Portfolio Analysis'!$D$8+AA297*'Part 3 Portfolio Analysis'!$E$8+AH297*'Part 3 Portfolio Analysis'!$F$8)/100</f>
        <v>8.3585342569060875E-3</v>
      </c>
      <c r="AK297" s="91">
        <f>'Part 3 Portfolio Analysis'!$B$107*F297+M297*'Part 3 Portfolio Analysis'!$C$107+T297*'Part 3 Portfolio Analysis'!$D$107+AA297*'Part 3 Portfolio Analysis'!$E$107+AH297*'Part 3 Portfolio Analysis'!$F$107</f>
        <v>6.0780000000000009E-3</v>
      </c>
      <c r="AL297" s="91">
        <f>F297*'Part 3 Portfolio Analysis'!$B$121+M297*'Part 3 Portfolio Analysis'!$C$121+'Part 3 Portfolio Analysis'!$D$121*T297+AA297*'Part 3 Portfolio Analysis'!$E$121+'Part 3 Portfolio Analysis'!$F$121*AH297</f>
        <v>7.1195E-3</v>
      </c>
      <c r="AM297" s="91"/>
      <c r="AN297" s="90">
        <v>45084</v>
      </c>
      <c r="AO297" s="91">
        <v>18665.599610000001</v>
      </c>
      <c r="AP297" s="91">
        <v>18726.400389999999</v>
      </c>
      <c r="AQ297" s="91">
        <v>18726.400389999999</v>
      </c>
      <c r="AR297" s="91">
        <v>260100</v>
      </c>
      <c r="AS297" s="91">
        <v>6.7999999999999996E-3</v>
      </c>
    </row>
    <row r="298" spans="1:45" x14ac:dyDescent="0.55000000000000004">
      <c r="A298" s="90">
        <v>45085</v>
      </c>
      <c r="B298" s="91">
        <v>7920</v>
      </c>
      <c r="C298" s="91">
        <v>7844.6499020000001</v>
      </c>
      <c r="D298" s="91">
        <v>7622.2607420000004</v>
      </c>
      <c r="E298" s="91">
        <v>410366</v>
      </c>
      <c r="F298" s="91">
        <v>1.9699999999999999E-2</v>
      </c>
      <c r="H298" s="90">
        <v>45085</v>
      </c>
      <c r="I298" s="91">
        <v>1156.5185550000001</v>
      </c>
      <c r="J298" s="91">
        <v>1153.588013</v>
      </c>
      <c r="K298" s="91">
        <v>1141.0816649999999</v>
      </c>
      <c r="L298" s="91">
        <v>12071109</v>
      </c>
      <c r="M298" s="91">
        <v>5.9999999999999995E-4</v>
      </c>
      <c r="O298" s="90">
        <v>45085</v>
      </c>
      <c r="P298" s="91">
        <v>801.625</v>
      </c>
      <c r="Q298" s="91">
        <v>804.34997559999999</v>
      </c>
      <c r="R298" s="91">
        <v>782.93127440000001</v>
      </c>
      <c r="S298" s="91">
        <v>37395522</v>
      </c>
      <c r="T298" s="91">
        <v>5.9999999999999995E-4</v>
      </c>
      <c r="V298" s="90">
        <v>45085</v>
      </c>
      <c r="W298" s="91">
        <v>1286.1999510000001</v>
      </c>
      <c r="X298" s="91">
        <v>1282.8000489999999</v>
      </c>
      <c r="Y298" s="91">
        <v>1192.304077</v>
      </c>
      <c r="Z298" s="91">
        <v>5034942</v>
      </c>
      <c r="AA298" s="91">
        <v>-4.7999999999999996E-3</v>
      </c>
      <c r="AB298" s="91"/>
      <c r="AC298" s="90">
        <v>45085</v>
      </c>
      <c r="AD298" s="91">
        <v>1609</v>
      </c>
      <c r="AE298" s="91">
        <v>1588.599976</v>
      </c>
      <c r="AF298" s="91">
        <v>1586.1365969999999</v>
      </c>
      <c r="AG298" s="91">
        <v>286923</v>
      </c>
      <c r="AH298" s="91">
        <v>-8.8999999999999999E-3</v>
      </c>
      <c r="AI298" s="91"/>
      <c r="AJ298" s="91">
        <f>(F298*'Part 3 Portfolio Analysis'!$B$8+M298*'Part 3 Portfolio Analysis'!$C$8+T298*'Part 3 Portfolio Analysis'!$D$8+AA298*'Part 3 Portfolio Analysis'!$E$8+AH298*'Part 3 Portfolio Analysis'!$F$8)/100</f>
        <v>5.3681095529332446E-3</v>
      </c>
      <c r="AK298" s="91">
        <f>'Part 3 Portfolio Analysis'!$B$107*F298+M298*'Part 3 Portfolio Analysis'!$C$107+T298*'Part 3 Portfolio Analysis'!$D$107+AA298*'Part 3 Portfolio Analysis'!$E$107+AH298*'Part 3 Portfolio Analysis'!$F$107</f>
        <v>1.1039999999999999E-3</v>
      </c>
      <c r="AL298" s="91">
        <f>F298*'Part 3 Portfolio Analysis'!$B$121+M298*'Part 3 Portfolio Analysis'!$C$121+'Part 3 Portfolio Analysis'!$D$121*T298+AA298*'Part 3 Portfolio Analysis'!$E$121+'Part 3 Portfolio Analysis'!$F$121*AH298</f>
        <v>8.4111999999999978E-4</v>
      </c>
      <c r="AM298" s="91"/>
      <c r="AN298" s="90">
        <v>45085</v>
      </c>
      <c r="AO298" s="91">
        <v>18725.349610000001</v>
      </c>
      <c r="AP298" s="91">
        <v>18634.550780000001</v>
      </c>
      <c r="AQ298" s="91">
        <v>18634.550780000001</v>
      </c>
      <c r="AR298" s="91">
        <v>286500</v>
      </c>
      <c r="AS298" s="91">
        <v>-4.8999999999999998E-3</v>
      </c>
    </row>
    <row r="299" spans="1:45" x14ac:dyDescent="0.55000000000000004">
      <c r="A299" s="90">
        <v>45086</v>
      </c>
      <c r="B299" s="91">
        <v>7881.4501950000003</v>
      </c>
      <c r="C299" s="91">
        <v>7817.6000979999999</v>
      </c>
      <c r="D299" s="91">
        <v>7595.9775390000004</v>
      </c>
      <c r="E299" s="91">
        <v>142993</v>
      </c>
      <c r="F299" s="91">
        <v>-3.3999999999999998E-3</v>
      </c>
      <c r="H299" s="90">
        <v>45086</v>
      </c>
      <c r="I299" s="91">
        <v>1156.9801030000001</v>
      </c>
      <c r="J299" s="91">
        <v>1145.4195560000001</v>
      </c>
      <c r="K299" s="91">
        <v>1133.001953</v>
      </c>
      <c r="L299" s="91">
        <v>5877018</v>
      </c>
      <c r="M299" s="91">
        <v>-7.1000000000000004E-3</v>
      </c>
      <c r="O299" s="90">
        <v>45086</v>
      </c>
      <c r="P299" s="91">
        <v>807.95001219999995</v>
      </c>
      <c r="Q299" s="91">
        <v>805.29998780000005</v>
      </c>
      <c r="R299" s="91">
        <v>783.85607909999999</v>
      </c>
      <c r="S299" s="91">
        <v>18212578</v>
      </c>
      <c r="T299" s="91">
        <v>1.1999999999999999E-3</v>
      </c>
      <c r="V299" s="90">
        <v>45086</v>
      </c>
      <c r="W299" s="91">
        <v>1282.5</v>
      </c>
      <c r="X299" s="91">
        <v>1265.9499510000001</v>
      </c>
      <c r="Y299" s="91">
        <v>1176.6427000000001</v>
      </c>
      <c r="Z299" s="91">
        <v>5339073</v>
      </c>
      <c r="AA299" s="91">
        <v>-1.3100000000000001E-2</v>
      </c>
      <c r="AB299" s="91"/>
      <c r="AC299" s="90">
        <v>45086</v>
      </c>
      <c r="AD299" s="91">
        <v>1594</v>
      </c>
      <c r="AE299" s="91">
        <v>1598.400024</v>
      </c>
      <c r="AF299" s="91">
        <v>1595.921509</v>
      </c>
      <c r="AG299" s="91">
        <v>437123</v>
      </c>
      <c r="AH299" s="91">
        <v>6.1999999999999998E-3</v>
      </c>
      <c r="AI299" s="91"/>
      <c r="AJ299" s="91">
        <f>(F299*'Part 3 Portfolio Analysis'!$B$8+M299*'Part 3 Portfolio Analysis'!$C$8+T299*'Part 3 Portfolio Analysis'!$D$8+AA299*'Part 3 Portfolio Analysis'!$E$8+AH299*'Part 3 Portfolio Analysis'!$F$8)/100</f>
        <v>-5.4410671682672248E-3</v>
      </c>
      <c r="AK299" s="91">
        <f>'Part 3 Portfolio Analysis'!$B$107*F299+M299*'Part 3 Portfolio Analysis'!$C$107+T299*'Part 3 Portfolio Analysis'!$D$107+AA299*'Part 3 Portfolio Analysis'!$E$107+AH299*'Part 3 Portfolio Analysis'!$F$107</f>
        <v>-2.3958999999999994E-3</v>
      </c>
      <c r="AL299" s="91">
        <f>F299*'Part 3 Portfolio Analysis'!$B$121+M299*'Part 3 Portfolio Analysis'!$C$121+'Part 3 Portfolio Analysis'!$D$121*T299+AA299*'Part 3 Portfolio Analysis'!$E$121+'Part 3 Portfolio Analysis'!$F$121*AH299</f>
        <v>-5.3898000000000001E-3</v>
      </c>
      <c r="AM299" s="91"/>
      <c r="AN299" s="90">
        <v>45086</v>
      </c>
      <c r="AO299" s="91">
        <v>18655.900389999999</v>
      </c>
      <c r="AP299" s="91">
        <v>18563.400389999999</v>
      </c>
      <c r="AQ299" s="91">
        <v>18563.400389999999</v>
      </c>
      <c r="AR299" s="91">
        <v>221800</v>
      </c>
      <c r="AS299" s="91">
        <v>-3.8E-3</v>
      </c>
    </row>
    <row r="300" spans="1:45" x14ac:dyDescent="0.55000000000000004">
      <c r="A300" s="90">
        <v>45089</v>
      </c>
      <c r="B300" s="91">
        <v>7855</v>
      </c>
      <c r="C300" s="91">
        <v>7858.5</v>
      </c>
      <c r="D300" s="91">
        <v>7635.7182620000003</v>
      </c>
      <c r="E300" s="91">
        <v>124640</v>
      </c>
      <c r="F300" s="91">
        <v>5.1999999999999998E-3</v>
      </c>
      <c r="H300" s="90">
        <v>45089</v>
      </c>
      <c r="I300" s="91">
        <v>1142.442871</v>
      </c>
      <c r="J300" s="91">
        <v>1146.434814</v>
      </c>
      <c r="K300" s="91">
        <v>1134.0061040000001</v>
      </c>
      <c r="L300" s="91">
        <v>6391969</v>
      </c>
      <c r="M300" s="91">
        <v>8.9999999999999998E-4</v>
      </c>
      <c r="O300" s="90">
        <v>45089</v>
      </c>
      <c r="P300" s="91">
        <v>806.27502440000001</v>
      </c>
      <c r="Q300" s="91">
        <v>800.40002440000001</v>
      </c>
      <c r="R300" s="91">
        <v>779.08654790000003</v>
      </c>
      <c r="S300" s="91">
        <v>13408292</v>
      </c>
      <c r="T300" s="91">
        <v>-6.1000000000000004E-3</v>
      </c>
      <c r="V300" s="90">
        <v>45089</v>
      </c>
      <c r="W300" s="91">
        <v>1273.5</v>
      </c>
      <c r="X300" s="91">
        <v>1291.9499510000001</v>
      </c>
      <c r="Y300" s="91">
        <v>1200.8085940000001</v>
      </c>
      <c r="Z300" s="91">
        <v>4785588</v>
      </c>
      <c r="AA300" s="91">
        <v>2.0500000000000001E-2</v>
      </c>
      <c r="AB300" s="91"/>
      <c r="AC300" s="90">
        <v>45089</v>
      </c>
      <c r="AD300" s="91">
        <v>1598.400024</v>
      </c>
      <c r="AE300" s="91">
        <v>1595.349976</v>
      </c>
      <c r="AF300" s="91">
        <v>1592.8760990000001</v>
      </c>
      <c r="AG300" s="91">
        <v>223661</v>
      </c>
      <c r="AH300" s="91">
        <v>-1.9E-3</v>
      </c>
      <c r="AI300" s="91"/>
      <c r="AJ300" s="91">
        <f>(F300*'Part 3 Portfolio Analysis'!$B$8+M300*'Part 3 Portfolio Analysis'!$C$8+T300*'Part 3 Portfolio Analysis'!$D$8+AA300*'Part 3 Portfolio Analysis'!$E$8+AH300*'Part 3 Portfolio Analysis'!$F$8)/100</f>
        <v>4.1492429958282298E-3</v>
      </c>
      <c r="AK300" s="91">
        <f>'Part 3 Portfolio Analysis'!$B$107*F300+M300*'Part 3 Portfolio Analysis'!$C$107+T300*'Part 3 Portfolio Analysis'!$D$107+AA300*'Part 3 Portfolio Analysis'!$E$107+AH300*'Part 3 Portfolio Analysis'!$F$107</f>
        <v>1.8434E-3</v>
      </c>
      <c r="AL300" s="91">
        <f>F300*'Part 3 Portfolio Analysis'!$B$121+M300*'Part 3 Portfolio Analysis'!$C$121+'Part 3 Portfolio Analysis'!$D$121*T300+AA300*'Part 3 Portfolio Analysis'!$E$121+'Part 3 Portfolio Analysis'!$F$121*AH300</f>
        <v>3.1960999999999999E-3</v>
      </c>
      <c r="AM300" s="91"/>
      <c r="AN300" s="90">
        <v>45089</v>
      </c>
      <c r="AO300" s="91">
        <v>18595.050780000001</v>
      </c>
      <c r="AP300" s="91">
        <v>18601.5</v>
      </c>
      <c r="AQ300" s="91">
        <v>18601.5</v>
      </c>
      <c r="AR300" s="91">
        <v>179500</v>
      </c>
      <c r="AS300" s="91">
        <v>2.0999999999999999E-3</v>
      </c>
    </row>
    <row r="301" spans="1:45" x14ac:dyDescent="0.55000000000000004">
      <c r="A301" s="90">
        <v>45090</v>
      </c>
      <c r="B301" s="91">
        <v>7888</v>
      </c>
      <c r="C301" s="91">
        <v>7852</v>
      </c>
      <c r="D301" s="91">
        <v>7629.4023440000001</v>
      </c>
      <c r="E301" s="91">
        <v>150301</v>
      </c>
      <c r="F301" s="91">
        <v>-8.0000000000000004E-4</v>
      </c>
      <c r="H301" s="90">
        <v>45090</v>
      </c>
      <c r="I301" s="91">
        <v>1151.442139</v>
      </c>
      <c r="J301" s="91">
        <v>1163.3718260000001</v>
      </c>
      <c r="K301" s="91">
        <v>1150.7595209999999</v>
      </c>
      <c r="L301" s="91">
        <v>11248016</v>
      </c>
      <c r="M301" s="91">
        <v>1.4800000000000001E-2</v>
      </c>
      <c r="O301" s="90">
        <v>45090</v>
      </c>
      <c r="P301" s="91">
        <v>795.04998780000005</v>
      </c>
      <c r="Q301" s="91">
        <v>801.75</v>
      </c>
      <c r="R301" s="91">
        <v>780.4005737</v>
      </c>
      <c r="S301" s="91">
        <v>27926108</v>
      </c>
      <c r="T301" s="91">
        <v>1.6999999999999999E-3</v>
      </c>
      <c r="V301" s="90">
        <v>45090</v>
      </c>
      <c r="W301" s="91">
        <v>1299.900024</v>
      </c>
      <c r="X301" s="91">
        <v>1304.849976</v>
      </c>
      <c r="Y301" s="91">
        <v>1212.7985839999999</v>
      </c>
      <c r="Z301" s="91">
        <v>4846587</v>
      </c>
      <c r="AA301" s="91">
        <v>0.01</v>
      </c>
      <c r="AB301" s="91"/>
      <c r="AC301" s="90">
        <v>45090</v>
      </c>
      <c r="AD301" s="91">
        <v>1602.400024</v>
      </c>
      <c r="AE301" s="91">
        <v>1685.650024</v>
      </c>
      <c r="AF301" s="91">
        <v>1683.036255</v>
      </c>
      <c r="AG301" s="91">
        <v>1634306</v>
      </c>
      <c r="AH301" s="91">
        <v>5.6599999999999998E-2</v>
      </c>
      <c r="AI301" s="91"/>
      <c r="AJ301" s="91">
        <f>(F301*'Part 3 Portfolio Analysis'!$B$8+M301*'Part 3 Portfolio Analysis'!$C$8+T301*'Part 3 Portfolio Analysis'!$D$8+AA301*'Part 3 Portfolio Analysis'!$E$8+AH301*'Part 3 Portfolio Analysis'!$F$8)/100</f>
        <v>7.5708088352608336E-3</v>
      </c>
      <c r="AK301" s="91">
        <f>'Part 3 Portfolio Analysis'!$B$107*F301+M301*'Part 3 Portfolio Analysis'!$C$107+T301*'Part 3 Portfolio Analysis'!$D$107+AA301*'Part 3 Portfolio Analysis'!$E$107+AH301*'Part 3 Portfolio Analysis'!$F$107</f>
        <v>2.0015100000000001E-2</v>
      </c>
      <c r="AL301" s="91">
        <f>F301*'Part 3 Portfolio Analysis'!$B$121+M301*'Part 3 Portfolio Analysis'!$C$121+'Part 3 Portfolio Analysis'!$D$121*T301+AA301*'Part 3 Portfolio Analysis'!$E$121+'Part 3 Portfolio Analysis'!$F$121*AH301</f>
        <v>1.008964E-2</v>
      </c>
      <c r="AM301" s="91"/>
      <c r="AN301" s="90">
        <v>45090</v>
      </c>
      <c r="AO301" s="91">
        <v>18631.800780000001</v>
      </c>
      <c r="AP301" s="91">
        <v>18716.150389999999</v>
      </c>
      <c r="AQ301" s="91">
        <v>18716.150389999999</v>
      </c>
      <c r="AR301" s="91">
        <v>233200</v>
      </c>
      <c r="AS301" s="91">
        <v>6.1999999999999998E-3</v>
      </c>
    </row>
    <row r="302" spans="1:45" x14ac:dyDescent="0.55000000000000004">
      <c r="A302" s="90">
        <v>45091</v>
      </c>
      <c r="B302" s="91">
        <v>7869.9501950000003</v>
      </c>
      <c r="C302" s="91">
        <v>7749.8999020000001</v>
      </c>
      <c r="D302" s="91">
        <v>7530.1972660000001</v>
      </c>
      <c r="E302" s="91">
        <v>151994</v>
      </c>
      <c r="F302" s="91">
        <v>-1.2999999999999999E-2</v>
      </c>
      <c r="H302" s="90">
        <v>45091</v>
      </c>
      <c r="I302" s="91">
        <v>1163.4410399999999</v>
      </c>
      <c r="J302" s="91">
        <v>1177.678345</v>
      </c>
      <c r="K302" s="91">
        <v>1164.910889</v>
      </c>
      <c r="L302" s="91">
        <v>13277380</v>
      </c>
      <c r="M302" s="91">
        <v>1.23E-2</v>
      </c>
      <c r="O302" s="90">
        <v>45091</v>
      </c>
      <c r="P302" s="91">
        <v>805.22497559999999</v>
      </c>
      <c r="Q302" s="91">
        <v>800.875</v>
      </c>
      <c r="R302" s="91">
        <v>779.54888919999996</v>
      </c>
      <c r="S302" s="91">
        <v>20113968</v>
      </c>
      <c r="T302" s="91">
        <v>-1.1000000000000001E-3</v>
      </c>
      <c r="V302" s="90">
        <v>45091</v>
      </c>
      <c r="W302" s="91">
        <v>1306.349976</v>
      </c>
      <c r="X302" s="91">
        <v>1300.400024</v>
      </c>
      <c r="Y302" s="91">
        <v>1208.6625979999999</v>
      </c>
      <c r="Z302" s="91">
        <v>3457981</v>
      </c>
      <c r="AA302" s="91">
        <v>-3.3999999999999998E-3</v>
      </c>
      <c r="AB302" s="91"/>
      <c r="AC302" s="90">
        <v>45091</v>
      </c>
      <c r="AD302" s="91">
        <v>1695.5</v>
      </c>
      <c r="AE302" s="91">
        <v>1711.1999510000001</v>
      </c>
      <c r="AF302" s="91">
        <v>1708.5466309999999</v>
      </c>
      <c r="AG302" s="91">
        <v>1207550</v>
      </c>
      <c r="AH302" s="91">
        <v>1.52E-2</v>
      </c>
      <c r="AI302" s="91"/>
      <c r="AJ302" s="91">
        <f>(F302*'Part 3 Portfolio Analysis'!$B$8+M302*'Part 3 Portfolio Analysis'!$C$8+T302*'Part 3 Portfolio Analysis'!$D$8+AA302*'Part 3 Portfolio Analysis'!$E$8+AH302*'Part 3 Portfolio Analysis'!$F$8)/100</f>
        <v>-2.3603802399603176E-5</v>
      </c>
      <c r="AK302" s="91">
        <f>'Part 3 Portfolio Analysis'!$B$107*F302+M302*'Part 3 Portfolio Analysis'!$C$107+T302*'Part 3 Portfolio Analysis'!$D$107+AA302*'Part 3 Portfolio Analysis'!$E$107+AH302*'Part 3 Portfolio Analysis'!$F$107</f>
        <v>4.8298000000000004E-3</v>
      </c>
      <c r="AL302" s="91">
        <f>F302*'Part 3 Portfolio Analysis'!$B$121+M302*'Part 3 Portfolio Analysis'!$C$121+'Part 3 Portfolio Analysis'!$D$121*T302+AA302*'Part 3 Portfolio Analysis'!$E$121+'Part 3 Portfolio Analysis'!$F$121*AH302</f>
        <v>3.5115199999999989E-3</v>
      </c>
      <c r="AM302" s="91"/>
      <c r="AN302" s="90">
        <v>45091</v>
      </c>
      <c r="AO302" s="91">
        <v>18744.599610000001</v>
      </c>
      <c r="AP302" s="91">
        <v>18755.900389999999</v>
      </c>
      <c r="AQ302" s="91">
        <v>18755.900389999999</v>
      </c>
      <c r="AR302" s="91">
        <v>261400</v>
      </c>
      <c r="AS302" s="91">
        <v>2.0999999999999999E-3</v>
      </c>
    </row>
    <row r="303" spans="1:45" x14ac:dyDescent="0.55000000000000004">
      <c r="A303" s="90">
        <v>45092</v>
      </c>
      <c r="B303" s="91">
        <v>7770</v>
      </c>
      <c r="C303" s="91">
        <v>7786.5498049999997</v>
      </c>
      <c r="D303" s="91">
        <v>7565.8081050000001</v>
      </c>
      <c r="E303" s="91">
        <v>136247</v>
      </c>
      <c r="F303" s="91">
        <v>4.7000000000000002E-3</v>
      </c>
      <c r="H303" s="90">
        <v>45092</v>
      </c>
      <c r="I303" s="91">
        <v>1177.6552730000001</v>
      </c>
      <c r="J303" s="91">
        <v>1178.0014650000001</v>
      </c>
      <c r="K303" s="91">
        <v>1165.2304690000001</v>
      </c>
      <c r="L303" s="91">
        <v>11813494</v>
      </c>
      <c r="M303" s="91">
        <v>2.9999999999999997E-4</v>
      </c>
      <c r="O303" s="90">
        <v>45092</v>
      </c>
      <c r="P303" s="91">
        <v>802</v>
      </c>
      <c r="Q303" s="91">
        <v>791.02502440000001</v>
      </c>
      <c r="R303" s="91">
        <v>769.96118160000003</v>
      </c>
      <c r="S303" s="91">
        <v>35377476</v>
      </c>
      <c r="T303" s="91">
        <v>-1.23E-2</v>
      </c>
      <c r="V303" s="90">
        <v>45092</v>
      </c>
      <c r="W303" s="91">
        <v>1293.9499510000001</v>
      </c>
      <c r="X303" s="91">
        <v>1286.8000489999999</v>
      </c>
      <c r="Y303" s="91">
        <v>1196.021851</v>
      </c>
      <c r="Z303" s="91">
        <v>6161155</v>
      </c>
      <c r="AA303" s="91">
        <v>-1.0500000000000001E-2</v>
      </c>
      <c r="AB303" s="91"/>
      <c r="AC303" s="90">
        <v>45092</v>
      </c>
      <c r="AD303" s="91">
        <v>1716.25</v>
      </c>
      <c r="AE303" s="91">
        <v>1685.0500489999999</v>
      </c>
      <c r="AF303" s="91">
        <v>1682.4372559999999</v>
      </c>
      <c r="AG303" s="91">
        <v>465902</v>
      </c>
      <c r="AH303" s="91">
        <v>-1.5299999999999999E-2</v>
      </c>
      <c r="AI303" s="91"/>
      <c r="AJ303" s="91">
        <f>(F303*'Part 3 Portfolio Analysis'!$B$8+M303*'Part 3 Portfolio Analysis'!$C$8+T303*'Part 3 Portfolio Analysis'!$D$8+AA303*'Part 3 Portfolio Analysis'!$E$8+AH303*'Part 3 Portfolio Analysis'!$F$8)/100</f>
        <v>-2.3723906904563664E-3</v>
      </c>
      <c r="AK303" s="91">
        <f>'Part 3 Portfolio Analysis'!$B$107*F303+M303*'Part 3 Portfolio Analysis'!$C$107+T303*'Part 3 Portfolio Analysis'!$D$107+AA303*'Part 3 Portfolio Analysis'!$E$107+AH303*'Part 3 Portfolio Analysis'!$F$107</f>
        <v>-5.8722000000000002E-3</v>
      </c>
      <c r="AL303" s="91">
        <f>F303*'Part 3 Portfolio Analysis'!$B$121+M303*'Part 3 Portfolio Analysis'!$C$121+'Part 3 Portfolio Analysis'!$D$121*T303+AA303*'Part 3 Portfolio Analysis'!$E$121+'Part 3 Portfolio Analysis'!$F$121*AH303</f>
        <v>-5.3342400000000014E-3</v>
      </c>
      <c r="AM303" s="91"/>
      <c r="AN303" s="90">
        <v>45092</v>
      </c>
      <c r="AO303" s="91">
        <v>18774.449219999999</v>
      </c>
      <c r="AP303" s="91">
        <v>18688.099610000001</v>
      </c>
      <c r="AQ303" s="91">
        <v>18688.099610000001</v>
      </c>
      <c r="AR303" s="91">
        <v>263000</v>
      </c>
      <c r="AS303" s="91">
        <v>-3.5999999999999999E-3</v>
      </c>
    </row>
    <row r="304" spans="1:45" x14ac:dyDescent="0.55000000000000004">
      <c r="A304" s="90">
        <v>45093</v>
      </c>
      <c r="B304" s="91">
        <v>7786.5498049999997</v>
      </c>
      <c r="C304" s="91">
        <v>7640.2001950000003</v>
      </c>
      <c r="D304" s="91">
        <v>7423.6069340000004</v>
      </c>
      <c r="E304" s="91">
        <v>200139</v>
      </c>
      <c r="F304" s="91">
        <v>-1.8800000000000001E-2</v>
      </c>
      <c r="H304" s="90">
        <v>45093</v>
      </c>
      <c r="I304" s="91">
        <v>1181.5318600000001</v>
      </c>
      <c r="J304" s="91">
        <v>1189.4697269999999</v>
      </c>
      <c r="K304" s="91">
        <v>1176.5744629999999</v>
      </c>
      <c r="L304" s="91">
        <v>24171579</v>
      </c>
      <c r="M304" s="91">
        <v>9.7000000000000003E-3</v>
      </c>
      <c r="O304" s="90">
        <v>45093</v>
      </c>
      <c r="P304" s="91">
        <v>793.57501219999995</v>
      </c>
      <c r="Q304" s="91">
        <v>801.375</v>
      </c>
      <c r="R304" s="91">
        <v>780.03558350000003</v>
      </c>
      <c r="S304" s="91">
        <v>15779272</v>
      </c>
      <c r="T304" s="91">
        <v>1.3100000000000001E-2</v>
      </c>
      <c r="V304" s="90">
        <v>45093</v>
      </c>
      <c r="W304" s="91">
        <v>1287</v>
      </c>
      <c r="X304" s="91">
        <v>1291.650024</v>
      </c>
      <c r="Y304" s="91">
        <v>1200.5297849999999</v>
      </c>
      <c r="Z304" s="91">
        <v>8536287</v>
      </c>
      <c r="AA304" s="91">
        <v>3.8E-3</v>
      </c>
      <c r="AB304" s="91"/>
      <c r="AC304" s="90">
        <v>45093</v>
      </c>
      <c r="AD304" s="91">
        <v>1685.849976</v>
      </c>
      <c r="AE304" s="91">
        <v>1714.25</v>
      </c>
      <c r="AF304" s="91">
        <v>1711.591919</v>
      </c>
      <c r="AG304" s="91">
        <v>484881</v>
      </c>
      <c r="AH304" s="91">
        <v>1.7299999999999999E-2</v>
      </c>
      <c r="AI304" s="91"/>
      <c r="AJ304" s="91">
        <f>(F304*'Part 3 Portfolio Analysis'!$B$8+M304*'Part 3 Portfolio Analysis'!$C$8+T304*'Part 3 Portfolio Analysis'!$D$8+AA304*'Part 3 Portfolio Analysis'!$E$8+AH304*'Part 3 Portfolio Analysis'!$F$8)/100</f>
        <v>8.4193445481453631E-4</v>
      </c>
      <c r="AK304" s="91">
        <f>'Part 3 Portfolio Analysis'!$B$107*F304+M304*'Part 3 Portfolio Analysis'!$C$107+T304*'Part 3 Portfolio Analysis'!$D$107+AA304*'Part 3 Portfolio Analysis'!$E$107+AH304*'Part 3 Portfolio Analysis'!$F$107</f>
        <v>6.4222000000000003E-3</v>
      </c>
      <c r="AL304" s="91">
        <f>F304*'Part 3 Portfolio Analysis'!$B$121+M304*'Part 3 Portfolio Analysis'!$C$121+'Part 3 Portfolio Analysis'!$D$121*T304+AA304*'Part 3 Portfolio Analysis'!$E$121+'Part 3 Portfolio Analysis'!$F$121*AH304</f>
        <v>7.3012199999999998E-3</v>
      </c>
      <c r="AM304" s="91"/>
      <c r="AN304" s="90">
        <v>45093</v>
      </c>
      <c r="AO304" s="91">
        <v>18723.300780000001</v>
      </c>
      <c r="AP304" s="91">
        <v>18826</v>
      </c>
      <c r="AQ304" s="91">
        <v>18826</v>
      </c>
      <c r="AR304" s="91">
        <v>272800</v>
      </c>
      <c r="AS304" s="91">
        <v>7.4000000000000003E-3</v>
      </c>
    </row>
    <row r="305" spans="1:45" x14ac:dyDescent="0.55000000000000004">
      <c r="A305" s="90">
        <v>45096</v>
      </c>
      <c r="B305" s="91">
        <v>7662.7001950000003</v>
      </c>
      <c r="C305" s="91">
        <v>7683.25</v>
      </c>
      <c r="D305" s="91">
        <v>7465.4370120000003</v>
      </c>
      <c r="E305" s="91">
        <v>146303</v>
      </c>
      <c r="F305" s="91">
        <v>5.5999999999999999E-3</v>
      </c>
      <c r="H305" s="90">
        <v>45096</v>
      </c>
      <c r="I305" s="91">
        <v>1192.515625</v>
      </c>
      <c r="J305" s="91">
        <v>1177.6552730000001</v>
      </c>
      <c r="K305" s="91">
        <v>1164.888062</v>
      </c>
      <c r="L305" s="91">
        <v>6798554</v>
      </c>
      <c r="M305" s="91">
        <v>-9.9000000000000008E-3</v>
      </c>
      <c r="O305" s="90">
        <v>45096</v>
      </c>
      <c r="P305" s="91">
        <v>805.5</v>
      </c>
      <c r="Q305" s="91">
        <v>802.07501219999995</v>
      </c>
      <c r="R305" s="91">
        <v>780.71698000000004</v>
      </c>
      <c r="S305" s="91">
        <v>24829146</v>
      </c>
      <c r="T305" s="91">
        <v>8.9999999999999998E-4</v>
      </c>
      <c r="V305" s="90">
        <v>45096</v>
      </c>
      <c r="W305" s="91">
        <v>1294</v>
      </c>
      <c r="X305" s="91">
        <v>1294</v>
      </c>
      <c r="Y305" s="91">
        <v>1202.714111</v>
      </c>
      <c r="Z305" s="91">
        <v>4451787</v>
      </c>
      <c r="AA305" s="91">
        <v>1.8E-3</v>
      </c>
      <c r="AB305" s="91"/>
      <c r="AC305" s="90">
        <v>45096</v>
      </c>
      <c r="AD305" s="91">
        <v>1714.4499510000001</v>
      </c>
      <c r="AE305" s="91">
        <v>1708.4499510000001</v>
      </c>
      <c r="AF305" s="91">
        <v>1705.8007809999999</v>
      </c>
      <c r="AG305" s="91">
        <v>199840</v>
      </c>
      <c r="AH305" s="91">
        <v>-3.3999999999999998E-3</v>
      </c>
      <c r="AI305" s="91"/>
      <c r="AJ305" s="91">
        <f>(F305*'Part 3 Portfolio Analysis'!$B$8+M305*'Part 3 Portfolio Analysis'!$C$8+T305*'Part 3 Portfolio Analysis'!$D$8+AA305*'Part 3 Portfolio Analysis'!$E$8+AH305*'Part 3 Portfolio Analysis'!$F$8)/100</f>
        <v>-1.5019716883392402E-3</v>
      </c>
      <c r="AK305" s="91">
        <f>'Part 3 Portfolio Analysis'!$B$107*F305+M305*'Part 3 Portfolio Analysis'!$C$107+T305*'Part 3 Portfolio Analysis'!$D$107+AA305*'Part 3 Portfolio Analysis'!$E$107+AH305*'Part 3 Portfolio Analysis'!$F$107</f>
        <v>-2.6280000000000001E-3</v>
      </c>
      <c r="AL305" s="91">
        <f>F305*'Part 3 Portfolio Analysis'!$B$121+M305*'Part 3 Portfolio Analysis'!$C$121+'Part 3 Portfolio Analysis'!$D$121*T305+AA305*'Part 3 Portfolio Analysis'!$E$121+'Part 3 Portfolio Analysis'!$F$121*AH305</f>
        <v>-3.1780000000000003E-3</v>
      </c>
      <c r="AM305" s="91"/>
      <c r="AN305" s="90">
        <v>45096</v>
      </c>
      <c r="AO305" s="91">
        <v>18873.300780000001</v>
      </c>
      <c r="AP305" s="91">
        <v>18755.449219999999</v>
      </c>
      <c r="AQ305" s="91">
        <v>18755.449219999999</v>
      </c>
      <c r="AR305" s="91">
        <v>219800</v>
      </c>
      <c r="AS305" s="91">
        <v>-3.7000000000000002E-3</v>
      </c>
    </row>
    <row r="306" spans="1:45" x14ac:dyDescent="0.55000000000000004">
      <c r="A306" s="90">
        <v>45097</v>
      </c>
      <c r="B306" s="91">
        <v>7707.2998049999997</v>
      </c>
      <c r="C306" s="91">
        <v>7770.4501950000003</v>
      </c>
      <c r="D306" s="91">
        <v>7550.1645509999998</v>
      </c>
      <c r="E306" s="91">
        <v>173677</v>
      </c>
      <c r="F306" s="91">
        <v>1.1299999999999999E-2</v>
      </c>
      <c r="H306" s="90">
        <v>45097</v>
      </c>
      <c r="I306" s="91">
        <v>1175.69397</v>
      </c>
      <c r="J306" s="91">
        <v>1180.1011960000001</v>
      </c>
      <c r="K306" s="91">
        <v>1167.307495</v>
      </c>
      <c r="L306" s="91">
        <v>6921096</v>
      </c>
      <c r="M306" s="91">
        <v>2.0999999999999999E-3</v>
      </c>
      <c r="O306" s="90">
        <v>45097</v>
      </c>
      <c r="P306" s="91">
        <v>802.07501219999995</v>
      </c>
      <c r="Q306" s="91">
        <v>803.75</v>
      </c>
      <c r="R306" s="91">
        <v>782.34729000000004</v>
      </c>
      <c r="S306" s="91">
        <v>20005626</v>
      </c>
      <c r="T306" s="91">
        <v>2.0999999999999999E-3</v>
      </c>
      <c r="V306" s="90">
        <v>45097</v>
      </c>
      <c r="W306" s="91">
        <v>1294</v>
      </c>
      <c r="X306" s="91">
        <v>1303.400024</v>
      </c>
      <c r="Y306" s="91">
        <v>1211.4510499999999</v>
      </c>
      <c r="Z306" s="91">
        <v>4009180</v>
      </c>
      <c r="AA306" s="91">
        <v>7.3000000000000001E-3</v>
      </c>
      <c r="AB306" s="91"/>
      <c r="AC306" s="90">
        <v>45097</v>
      </c>
      <c r="AD306" s="91">
        <v>1710</v>
      </c>
      <c r="AE306" s="91">
        <v>1719.4499510000001</v>
      </c>
      <c r="AF306" s="91">
        <v>1716.7836910000001</v>
      </c>
      <c r="AG306" s="91">
        <v>273300</v>
      </c>
      <c r="AH306" s="91">
        <v>6.4000000000000003E-3</v>
      </c>
      <c r="AI306" s="91"/>
      <c r="AJ306" s="91">
        <f>(F306*'Part 3 Portfolio Analysis'!$B$8+M306*'Part 3 Portfolio Analysis'!$C$8+T306*'Part 3 Portfolio Analysis'!$D$8+AA306*'Part 3 Portfolio Analysis'!$E$8+AH306*'Part 3 Portfolio Analysis'!$F$8)/100</f>
        <v>5.7388810297051562E-3</v>
      </c>
      <c r="AK306" s="91">
        <f>'Part 3 Portfolio Analysis'!$B$107*F306+M306*'Part 3 Portfolio Analysis'!$C$107+T306*'Part 3 Portfolio Analysis'!$D$107+AA306*'Part 3 Portfolio Analysis'!$E$107+AH306*'Part 3 Portfolio Analysis'!$F$107</f>
        <v>5.3596E-3</v>
      </c>
      <c r="AL306" s="91">
        <f>F306*'Part 3 Portfolio Analysis'!$B$121+M306*'Part 3 Portfolio Analysis'!$C$121+'Part 3 Portfolio Analysis'!$D$121*T306+AA306*'Part 3 Portfolio Analysis'!$E$121+'Part 3 Portfolio Analysis'!$F$121*AH306</f>
        <v>4.0089000000000001E-3</v>
      </c>
      <c r="AM306" s="91"/>
      <c r="AN306" s="90">
        <v>45097</v>
      </c>
      <c r="AO306" s="91">
        <v>18752.349610000001</v>
      </c>
      <c r="AP306" s="91">
        <v>18816.699219999999</v>
      </c>
      <c r="AQ306" s="91">
        <v>18816.699219999999</v>
      </c>
      <c r="AR306" s="91">
        <v>211600</v>
      </c>
      <c r="AS306" s="91">
        <v>3.3E-3</v>
      </c>
    </row>
    <row r="307" spans="1:45" x14ac:dyDescent="0.55000000000000004">
      <c r="A307" s="90">
        <v>45098</v>
      </c>
      <c r="B307" s="91">
        <v>7786</v>
      </c>
      <c r="C307" s="91">
        <v>7790.75</v>
      </c>
      <c r="D307" s="91">
        <v>7569.888672</v>
      </c>
      <c r="E307" s="91">
        <v>180193</v>
      </c>
      <c r="F307" s="91">
        <v>2.5999999999999999E-3</v>
      </c>
      <c r="H307" s="90">
        <v>45098</v>
      </c>
      <c r="I307" s="91">
        <v>1180.0550539999999</v>
      </c>
      <c r="J307" s="91">
        <v>1183.424072</v>
      </c>
      <c r="K307" s="91">
        <v>1170.5942379999999</v>
      </c>
      <c r="L307" s="91">
        <v>6961603</v>
      </c>
      <c r="M307" s="91">
        <v>2.8E-3</v>
      </c>
      <c r="O307" s="90">
        <v>45098</v>
      </c>
      <c r="P307" s="91">
        <v>808</v>
      </c>
      <c r="Q307" s="91">
        <v>817.79998780000005</v>
      </c>
      <c r="R307" s="91">
        <v>796.02313230000004</v>
      </c>
      <c r="S307" s="91">
        <v>24308946</v>
      </c>
      <c r="T307" s="91">
        <v>1.7500000000000002E-2</v>
      </c>
      <c r="V307" s="90">
        <v>45098</v>
      </c>
      <c r="W307" s="91">
        <v>1299.9499510000001</v>
      </c>
      <c r="X307" s="91">
        <v>1299.349976</v>
      </c>
      <c r="Y307" s="91">
        <v>1207.6865230000001</v>
      </c>
      <c r="Z307" s="91">
        <v>4041529</v>
      </c>
      <c r="AA307" s="91">
        <v>-3.0999999999999999E-3</v>
      </c>
      <c r="AB307" s="91"/>
      <c r="AC307" s="90">
        <v>45098</v>
      </c>
      <c r="AD307" s="91">
        <v>1723.9499510000001</v>
      </c>
      <c r="AE307" s="91">
        <v>1700.8000489999999</v>
      </c>
      <c r="AF307" s="91">
        <v>1698.16272</v>
      </c>
      <c r="AG307" s="91">
        <v>369391</v>
      </c>
      <c r="AH307" s="91">
        <v>-1.0800000000000001E-2</v>
      </c>
      <c r="AI307" s="91"/>
      <c r="AJ307" s="91">
        <f>(F307*'Part 3 Portfolio Analysis'!$B$8+M307*'Part 3 Portfolio Analysis'!$C$8+T307*'Part 3 Portfolio Analysis'!$D$8+AA307*'Part 3 Portfolio Analysis'!$E$8+AH307*'Part 3 Portfolio Analysis'!$F$8)/100</f>
        <v>4.1097177174559034E-3</v>
      </c>
      <c r="AK307" s="91">
        <f>'Part 3 Portfolio Analysis'!$B$107*F307+M307*'Part 3 Portfolio Analysis'!$C$107+T307*'Part 3 Portfolio Analysis'!$D$107+AA307*'Part 3 Portfolio Analysis'!$E$107+AH307*'Part 3 Portfolio Analysis'!$F$107</f>
        <v>1.0253000000000003E-3</v>
      </c>
      <c r="AL307" s="91">
        <f>F307*'Part 3 Portfolio Analysis'!$B$121+M307*'Part 3 Portfolio Analysis'!$C$121+'Part 3 Portfolio Analysis'!$D$121*T307+AA307*'Part 3 Portfolio Analysis'!$E$121+'Part 3 Portfolio Analysis'!$F$121*AH307</f>
        <v>5.2456400000000011E-3</v>
      </c>
      <c r="AM307" s="91"/>
      <c r="AN307" s="90">
        <v>45098</v>
      </c>
      <c r="AO307" s="91">
        <v>18849.400389999999</v>
      </c>
      <c r="AP307" s="91">
        <v>18856.849610000001</v>
      </c>
      <c r="AQ307" s="91">
        <v>18856.849610000001</v>
      </c>
      <c r="AR307" s="91">
        <v>217500</v>
      </c>
      <c r="AS307" s="91">
        <v>2.0999999999999999E-3</v>
      </c>
    </row>
    <row r="308" spans="1:45" x14ac:dyDescent="0.55000000000000004">
      <c r="A308" s="90">
        <v>45099</v>
      </c>
      <c r="B308" s="91">
        <v>7770</v>
      </c>
      <c r="C308" s="91">
        <v>7667.25</v>
      </c>
      <c r="D308" s="91">
        <v>7508.2929690000001</v>
      </c>
      <c r="E308" s="91">
        <v>102273</v>
      </c>
      <c r="F308" s="91">
        <v>-8.0999999999999996E-3</v>
      </c>
      <c r="H308" s="90">
        <v>45099</v>
      </c>
      <c r="I308" s="91">
        <v>1179.5936280000001</v>
      </c>
      <c r="J308" s="91">
        <v>1170.1328129999999</v>
      </c>
      <c r="K308" s="91">
        <v>1157.447144</v>
      </c>
      <c r="L308" s="91">
        <v>7619166</v>
      </c>
      <c r="M308" s="91">
        <v>-1.12E-2</v>
      </c>
      <c r="O308" s="90">
        <v>45099</v>
      </c>
      <c r="P308" s="91">
        <v>820</v>
      </c>
      <c r="Q308" s="91">
        <v>821.79998780000005</v>
      </c>
      <c r="R308" s="91">
        <v>799.91668700000002</v>
      </c>
      <c r="S308" s="91">
        <v>56596140</v>
      </c>
      <c r="T308" s="91">
        <v>4.8999999999999998E-3</v>
      </c>
      <c r="V308" s="90">
        <v>45099</v>
      </c>
      <c r="W308" s="91">
        <v>1289.400024</v>
      </c>
      <c r="X308" s="91">
        <v>1281.5500489999999</v>
      </c>
      <c r="Y308" s="91">
        <v>1191.1423339999999</v>
      </c>
      <c r="Z308" s="91">
        <v>6676607</v>
      </c>
      <c r="AA308" s="91">
        <v>-1.37E-2</v>
      </c>
      <c r="AB308" s="91"/>
      <c r="AC308" s="90">
        <v>45099</v>
      </c>
      <c r="AD308" s="91">
        <v>1700</v>
      </c>
      <c r="AE308" s="91">
        <v>1710.6999510000001</v>
      </c>
      <c r="AF308" s="91">
        <v>1708.0473629999999</v>
      </c>
      <c r="AG308" s="91">
        <v>213389</v>
      </c>
      <c r="AH308" s="91">
        <v>5.7999999999999996E-3</v>
      </c>
      <c r="AI308" s="91"/>
      <c r="AJ308" s="91">
        <f>(F308*'Part 3 Portfolio Analysis'!$B$8+M308*'Part 3 Portfolio Analysis'!$C$8+T308*'Part 3 Portfolio Analysis'!$D$8+AA308*'Part 3 Portfolio Analysis'!$E$8+AH308*'Part 3 Portfolio Analysis'!$F$8)/100</f>
        <v>-7.8204983020850136E-3</v>
      </c>
      <c r="AK308" s="91">
        <f>'Part 3 Portfolio Analysis'!$B$107*F308+M308*'Part 3 Portfolio Analysis'!$C$107+T308*'Part 3 Portfolio Analysis'!$D$107+AA308*'Part 3 Portfolio Analysis'!$E$107+AH308*'Part 3 Portfolio Analysis'!$F$107</f>
        <v>-4.1124999999999998E-3</v>
      </c>
      <c r="AL308" s="91">
        <f>F308*'Part 3 Portfolio Analysis'!$B$121+M308*'Part 3 Portfolio Analysis'!$C$121+'Part 3 Portfolio Analysis'!$D$121*T308+AA308*'Part 3 Portfolio Analysis'!$E$121+'Part 3 Portfolio Analysis'!$F$121*AH308</f>
        <v>-6.62058E-3</v>
      </c>
      <c r="AM308" s="91"/>
      <c r="AN308" s="90">
        <v>45099</v>
      </c>
      <c r="AO308" s="91">
        <v>18853.599610000001</v>
      </c>
      <c r="AP308" s="91">
        <v>18771.25</v>
      </c>
      <c r="AQ308" s="91">
        <v>18771.25</v>
      </c>
      <c r="AR308" s="91">
        <v>252700</v>
      </c>
      <c r="AS308" s="91">
        <v>-4.4999999999999997E-3</v>
      </c>
    </row>
    <row r="309" spans="1:45" x14ac:dyDescent="0.55000000000000004">
      <c r="A309" s="90">
        <v>45100</v>
      </c>
      <c r="B309" s="91">
        <v>7674</v>
      </c>
      <c r="C309" s="91">
        <v>7481.9501950000003</v>
      </c>
      <c r="D309" s="91">
        <v>7326.8349609999996</v>
      </c>
      <c r="E309" s="91">
        <v>135452</v>
      </c>
      <c r="F309" s="91">
        <v>-2.4199999999999999E-2</v>
      </c>
      <c r="H309" s="90">
        <v>45100</v>
      </c>
      <c r="I309" s="91">
        <v>1167.086914</v>
      </c>
      <c r="J309" s="91">
        <v>1160.556763</v>
      </c>
      <c r="K309" s="91">
        <v>1147.9748540000001</v>
      </c>
      <c r="L309" s="91">
        <v>6628570</v>
      </c>
      <c r="M309" s="91">
        <v>-8.2000000000000007E-3</v>
      </c>
      <c r="O309" s="90">
        <v>45100</v>
      </c>
      <c r="P309" s="91">
        <v>818.77502440000001</v>
      </c>
      <c r="Q309" s="91">
        <v>821.75</v>
      </c>
      <c r="R309" s="91">
        <v>799.86804199999995</v>
      </c>
      <c r="S309" s="91">
        <v>21339218</v>
      </c>
      <c r="T309" s="91">
        <v>-1E-4</v>
      </c>
      <c r="V309" s="90">
        <v>45100</v>
      </c>
      <c r="W309" s="91">
        <v>1276.4499510000001</v>
      </c>
      <c r="X309" s="91">
        <v>1265</v>
      </c>
      <c r="Y309" s="91">
        <v>1175.7597659999999</v>
      </c>
      <c r="Z309" s="91">
        <v>7239467</v>
      </c>
      <c r="AA309" s="91">
        <v>-1.29E-2</v>
      </c>
      <c r="AB309" s="91"/>
      <c r="AC309" s="90">
        <v>45100</v>
      </c>
      <c r="AD309" s="91">
        <v>1710</v>
      </c>
      <c r="AE309" s="91">
        <v>1724.9499510000001</v>
      </c>
      <c r="AF309" s="91">
        <v>1722.2751459999999</v>
      </c>
      <c r="AG309" s="91">
        <v>732596</v>
      </c>
      <c r="AH309" s="91">
        <v>8.3000000000000001E-3</v>
      </c>
      <c r="AI309" s="91"/>
      <c r="AJ309" s="91">
        <f>(F309*'Part 3 Portfolio Analysis'!$B$8+M309*'Part 3 Portfolio Analysis'!$C$8+T309*'Part 3 Portfolio Analysis'!$D$8+AA309*'Part 3 Portfolio Analysis'!$E$8+AH309*'Part 3 Portfolio Analysis'!$F$8)/100</f>
        <v>-1.2243940557718208E-2</v>
      </c>
      <c r="AK309" s="91">
        <f>'Part 3 Portfolio Analysis'!$B$107*F309+M309*'Part 3 Portfolio Analysis'!$C$107+T309*'Part 3 Portfolio Analysis'!$D$107+AA309*'Part 3 Portfolio Analysis'!$E$107+AH309*'Part 3 Portfolio Analysis'!$F$107</f>
        <v>-6.1364999999999987E-3</v>
      </c>
      <c r="AL309" s="91">
        <f>F309*'Part 3 Portfolio Analysis'!$B$121+M309*'Part 3 Portfolio Analysis'!$C$121+'Part 3 Portfolio Analysis'!$D$121*T309+AA309*'Part 3 Portfolio Analysis'!$E$121+'Part 3 Portfolio Analysis'!$F$121*AH309</f>
        <v>-7.8197000000000006E-3</v>
      </c>
      <c r="AM309" s="91"/>
      <c r="AN309" s="90">
        <v>45100</v>
      </c>
      <c r="AO309" s="91">
        <v>18741.849610000001</v>
      </c>
      <c r="AP309" s="91">
        <v>18665.5</v>
      </c>
      <c r="AQ309" s="91">
        <v>18665.5</v>
      </c>
      <c r="AR309" s="91">
        <v>210600</v>
      </c>
      <c r="AS309" s="91">
        <v>-5.5999999999999999E-3</v>
      </c>
    </row>
    <row r="310" spans="1:45" x14ac:dyDescent="0.55000000000000004">
      <c r="A310" s="90">
        <v>45103</v>
      </c>
      <c r="B310" s="91">
        <v>7490</v>
      </c>
      <c r="C310" s="91">
        <v>7507.75</v>
      </c>
      <c r="D310" s="91">
        <v>7352.0996089999999</v>
      </c>
      <c r="E310" s="91">
        <v>108405</v>
      </c>
      <c r="F310" s="91">
        <v>3.3999999999999998E-3</v>
      </c>
      <c r="H310" s="90">
        <v>45103</v>
      </c>
      <c r="I310" s="91">
        <v>1156.9801030000001</v>
      </c>
      <c r="J310" s="91">
        <v>1151.695923</v>
      </c>
      <c r="K310" s="91">
        <v>1139.2102050000001</v>
      </c>
      <c r="L310" s="91">
        <v>12641159</v>
      </c>
      <c r="M310" s="91">
        <v>-7.6E-3</v>
      </c>
      <c r="O310" s="90">
        <v>45103</v>
      </c>
      <c r="P310" s="91">
        <v>822.5</v>
      </c>
      <c r="Q310" s="91">
        <v>817.77502440000001</v>
      </c>
      <c r="R310" s="91">
        <v>795.99884029999998</v>
      </c>
      <c r="S310" s="91">
        <v>16130314</v>
      </c>
      <c r="T310" s="91">
        <v>-4.7999999999999996E-3</v>
      </c>
      <c r="V310" s="90">
        <v>45103</v>
      </c>
      <c r="W310" s="91">
        <v>1270.25</v>
      </c>
      <c r="X310" s="91">
        <v>1270.349976</v>
      </c>
      <c r="Y310" s="91">
        <v>1180.7322999999999</v>
      </c>
      <c r="Z310" s="91">
        <v>3403244</v>
      </c>
      <c r="AA310" s="91">
        <v>4.1999999999999997E-3</v>
      </c>
      <c r="AB310" s="91"/>
      <c r="AC310" s="90">
        <v>45103</v>
      </c>
      <c r="AD310" s="91">
        <v>1726.849976</v>
      </c>
      <c r="AE310" s="91">
        <v>1753.650024</v>
      </c>
      <c r="AF310" s="91">
        <v>1750.9307859999999</v>
      </c>
      <c r="AG310" s="91">
        <v>445964</v>
      </c>
      <c r="AH310" s="91">
        <v>1.66E-2</v>
      </c>
      <c r="AI310" s="91"/>
      <c r="AJ310" s="91">
        <f>(F310*'Part 3 Portfolio Analysis'!$B$8+M310*'Part 3 Portfolio Analysis'!$C$8+T310*'Part 3 Portfolio Analysis'!$D$8+AA310*'Part 3 Portfolio Analysis'!$E$8+AH310*'Part 3 Portfolio Analysis'!$F$8)/100</f>
        <v>-1.6973872713772365E-3</v>
      </c>
      <c r="AK310" s="91">
        <f>'Part 3 Portfolio Analysis'!$B$107*F310+M310*'Part 3 Portfolio Analysis'!$C$107+T310*'Part 3 Portfolio Analysis'!$D$107+AA310*'Part 3 Portfolio Analysis'!$E$107+AH310*'Part 3 Portfolio Analysis'!$F$107</f>
        <v>2.0923999999999995E-3</v>
      </c>
      <c r="AL310" s="91">
        <f>F310*'Part 3 Portfolio Analysis'!$B$121+M310*'Part 3 Portfolio Analysis'!$C$121+'Part 3 Portfolio Analysis'!$D$121*T310+AA310*'Part 3 Portfolio Analysis'!$E$121+'Part 3 Portfolio Analysis'!$F$121*AH310</f>
        <v>-2.9401599999999994E-3</v>
      </c>
      <c r="AM310" s="91"/>
      <c r="AN310" s="90">
        <v>45103</v>
      </c>
      <c r="AO310" s="91">
        <v>18682.349610000001</v>
      </c>
      <c r="AP310" s="91">
        <v>18691.199219999999</v>
      </c>
      <c r="AQ310" s="91">
        <v>18691.199219999999</v>
      </c>
      <c r="AR310" s="91">
        <v>171300</v>
      </c>
      <c r="AS310" s="91">
        <v>1.4E-3</v>
      </c>
    </row>
    <row r="311" spans="1:45" x14ac:dyDescent="0.55000000000000004">
      <c r="A311" s="90">
        <v>45104</v>
      </c>
      <c r="B311" s="91">
        <v>7578.7998049999997</v>
      </c>
      <c r="C311" s="91">
        <v>7546.2001950000003</v>
      </c>
      <c r="D311" s="91">
        <v>7389.7529299999997</v>
      </c>
      <c r="E311" s="91">
        <v>143885</v>
      </c>
      <c r="F311" s="91">
        <v>5.1000000000000004E-3</v>
      </c>
      <c r="H311" s="90">
        <v>45104</v>
      </c>
      <c r="I311" s="91">
        <v>1152.157471</v>
      </c>
      <c r="J311" s="91">
        <v>1152.111328</v>
      </c>
      <c r="K311" s="91">
        <v>1139.6210940000001</v>
      </c>
      <c r="L311" s="91">
        <v>9689466</v>
      </c>
      <c r="M311" s="91">
        <v>4.0000000000000002E-4</v>
      </c>
      <c r="O311" s="90">
        <v>45104</v>
      </c>
      <c r="P311" s="91">
        <v>821.47497559999999</v>
      </c>
      <c r="Q311" s="91">
        <v>829.29998780000005</v>
      </c>
      <c r="R311" s="91">
        <v>807.2169189</v>
      </c>
      <c r="S311" s="91">
        <v>33831864</v>
      </c>
      <c r="T311" s="91">
        <v>1.41E-2</v>
      </c>
      <c r="V311" s="90">
        <v>45104</v>
      </c>
      <c r="W311" s="91">
        <v>1280</v>
      </c>
      <c r="X311" s="91">
        <v>1279.150024</v>
      </c>
      <c r="Y311" s="91">
        <v>1188.911621</v>
      </c>
      <c r="Z311" s="91">
        <v>3240024</v>
      </c>
      <c r="AA311" s="91">
        <v>6.8999999999999999E-3</v>
      </c>
      <c r="AB311" s="91"/>
      <c r="AC311" s="90">
        <v>45104</v>
      </c>
      <c r="AD311" s="91">
        <v>1766</v>
      </c>
      <c r="AE311" s="91">
        <v>1742.849976</v>
      </c>
      <c r="AF311" s="91">
        <v>1740.147461</v>
      </c>
      <c r="AG311" s="91">
        <v>320512</v>
      </c>
      <c r="AH311" s="91">
        <v>-6.1999999999999998E-3</v>
      </c>
      <c r="AI311" s="91"/>
      <c r="AJ311" s="91">
        <f>(F311*'Part 3 Portfolio Analysis'!$B$8+M311*'Part 3 Portfolio Analysis'!$C$8+T311*'Part 3 Portfolio Analysis'!$D$8+AA311*'Part 3 Portfolio Analysis'!$E$8+AH311*'Part 3 Portfolio Analysis'!$F$8)/100</f>
        <v>5.0768964613330195E-3</v>
      </c>
      <c r="AK311" s="91">
        <f>'Part 3 Portfolio Analysis'!$B$107*F311+M311*'Part 3 Portfolio Analysis'!$C$107+T311*'Part 3 Portfolio Analysis'!$D$107+AA311*'Part 3 Portfolio Analysis'!$E$107+AH311*'Part 3 Portfolio Analysis'!$F$107</f>
        <v>2.3563000000000004E-3</v>
      </c>
      <c r="AL311" s="91">
        <f>F311*'Part 3 Portfolio Analysis'!$B$121+M311*'Part 3 Portfolio Analysis'!$C$121+'Part 3 Portfolio Analysis'!$D$121*T311+AA311*'Part 3 Portfolio Analysis'!$E$121+'Part 3 Portfolio Analysis'!$F$121*AH311</f>
        <v>5.6398200000000002E-3</v>
      </c>
      <c r="AM311" s="91"/>
      <c r="AN311" s="90">
        <v>45104</v>
      </c>
      <c r="AO311" s="91">
        <v>18748.550780000001</v>
      </c>
      <c r="AP311" s="91">
        <v>18817.400389999999</v>
      </c>
      <c r="AQ311" s="91">
        <v>18817.400389999999</v>
      </c>
      <c r="AR311" s="91">
        <v>222500</v>
      </c>
      <c r="AS311" s="91">
        <v>6.7999999999999996E-3</v>
      </c>
    </row>
    <row r="312" spans="1:45" x14ac:dyDescent="0.55000000000000004">
      <c r="A312" s="90">
        <v>45105</v>
      </c>
      <c r="B312" s="91">
        <v>7609</v>
      </c>
      <c r="C312" s="91">
        <v>7586.1499020000001</v>
      </c>
      <c r="D312" s="91">
        <v>7428.8745120000003</v>
      </c>
      <c r="E312" s="91">
        <v>101231</v>
      </c>
      <c r="F312" s="91">
        <v>5.3E-3</v>
      </c>
      <c r="H312" s="90">
        <v>45105</v>
      </c>
      <c r="I312" s="91">
        <v>1159.7491460000001</v>
      </c>
      <c r="J312" s="91">
        <v>1167.3638920000001</v>
      </c>
      <c r="K312" s="91">
        <v>1154.7082519999999</v>
      </c>
      <c r="L312" s="91">
        <v>11354006</v>
      </c>
      <c r="M312" s="91">
        <v>1.32E-2</v>
      </c>
      <c r="O312" s="90">
        <v>45105</v>
      </c>
      <c r="P312" s="91">
        <v>835</v>
      </c>
      <c r="Q312" s="91">
        <v>838.07501219999995</v>
      </c>
      <c r="R312" s="91">
        <v>815.75836179999999</v>
      </c>
      <c r="S312" s="91">
        <v>59562950</v>
      </c>
      <c r="T312" s="91">
        <v>1.06E-2</v>
      </c>
      <c r="V312" s="90">
        <v>45105</v>
      </c>
      <c r="W312" s="91">
        <v>1290</v>
      </c>
      <c r="X312" s="91">
        <v>1293.349976</v>
      </c>
      <c r="Y312" s="91">
        <v>1202.1098629999999</v>
      </c>
      <c r="Z312" s="91">
        <v>5662358</v>
      </c>
      <c r="AA312" s="91">
        <v>1.11E-2</v>
      </c>
      <c r="AB312" s="91"/>
      <c r="AC312" s="90">
        <v>45105</v>
      </c>
      <c r="AD312" s="91">
        <v>1759.9499510000001</v>
      </c>
      <c r="AE312" s="91">
        <v>1769.3000489999999</v>
      </c>
      <c r="AF312" s="91">
        <v>1766.556519</v>
      </c>
      <c r="AG312" s="91">
        <v>322724</v>
      </c>
      <c r="AH312" s="91">
        <v>1.52E-2</v>
      </c>
      <c r="AI312" s="91"/>
      <c r="AJ312" s="91">
        <f>(F312*'Part 3 Portfolio Analysis'!$B$8+M312*'Part 3 Portfolio Analysis'!$C$8+T312*'Part 3 Portfolio Analysis'!$D$8+AA312*'Part 3 Portfolio Analysis'!$E$8+AH312*'Part 3 Portfolio Analysis'!$F$8)/100</f>
        <v>1.0077873675706228E-2</v>
      </c>
      <c r="AK312" s="91">
        <f>'Part 3 Portfolio Analysis'!$B$107*F312+M312*'Part 3 Portfolio Analysis'!$C$107+T312*'Part 3 Portfolio Analysis'!$D$107+AA312*'Part 3 Portfolio Analysis'!$E$107+AH312*'Part 3 Portfolio Analysis'!$F$107</f>
        <v>1.1668999999999999E-2</v>
      </c>
      <c r="AL312" s="91">
        <f>F312*'Part 3 Portfolio Analysis'!$B$121+M312*'Part 3 Portfolio Analysis'!$C$121+'Part 3 Portfolio Analysis'!$D$121*T312+AA312*'Part 3 Portfolio Analysis'!$E$121+'Part 3 Portfolio Analysis'!$F$121*AH312</f>
        <v>1.1475819999999999E-2</v>
      </c>
      <c r="AM312" s="91"/>
      <c r="AN312" s="90">
        <v>45105</v>
      </c>
      <c r="AO312" s="91">
        <v>18908.150389999999</v>
      </c>
      <c r="AP312" s="91">
        <v>18972.099610000001</v>
      </c>
      <c r="AQ312" s="91">
        <v>18972.099610000001</v>
      </c>
      <c r="AR312" s="91">
        <v>398800</v>
      </c>
      <c r="AS312" s="91">
        <v>8.2000000000000007E-3</v>
      </c>
    </row>
    <row r="313" spans="1:45" x14ac:dyDescent="0.55000000000000004">
      <c r="A313" s="90">
        <v>45107</v>
      </c>
      <c r="B313" s="91">
        <v>7623</v>
      </c>
      <c r="C313" s="91">
        <v>7588.5</v>
      </c>
      <c r="D313" s="91">
        <v>7431.1757809999999</v>
      </c>
      <c r="E313" s="91">
        <v>139681</v>
      </c>
      <c r="F313" s="91">
        <v>2.9999999999999997E-4</v>
      </c>
      <c r="H313" s="90">
        <v>45107</v>
      </c>
      <c r="I313" s="91">
        <v>1175.1632079999999</v>
      </c>
      <c r="J313" s="91">
        <v>1176.9399410000001</v>
      </c>
      <c r="K313" s="91">
        <v>1164.1805420000001</v>
      </c>
      <c r="L313" s="91">
        <v>11151555</v>
      </c>
      <c r="M313" s="91">
        <v>8.2000000000000007E-3</v>
      </c>
      <c r="O313" s="90">
        <v>45107</v>
      </c>
      <c r="P313" s="91">
        <v>852</v>
      </c>
      <c r="Q313" s="91">
        <v>850.70001219999995</v>
      </c>
      <c r="R313" s="91">
        <v>828.04711910000003</v>
      </c>
      <c r="S313" s="91">
        <v>40699016</v>
      </c>
      <c r="T313" s="91">
        <v>1.5100000000000001E-2</v>
      </c>
      <c r="V313" s="90">
        <v>45107</v>
      </c>
      <c r="W313" s="91">
        <v>1308.1999510000001</v>
      </c>
      <c r="X313" s="91">
        <v>1335.5</v>
      </c>
      <c r="Y313" s="91">
        <v>1241.286255</v>
      </c>
      <c r="Z313" s="91">
        <v>12821692</v>
      </c>
      <c r="AA313" s="91">
        <v>3.2599999999999997E-2</v>
      </c>
      <c r="AB313" s="91"/>
      <c r="AC313" s="90">
        <v>45107</v>
      </c>
      <c r="AD313" s="91">
        <v>1774.9499510000001</v>
      </c>
      <c r="AE313" s="91">
        <v>1764.150024</v>
      </c>
      <c r="AF313" s="91">
        <v>1761.4144289999999</v>
      </c>
      <c r="AG313" s="91">
        <v>336262</v>
      </c>
      <c r="AH313" s="91">
        <v>-2.8999999999999998E-3</v>
      </c>
      <c r="AI313" s="91"/>
      <c r="AJ313" s="91">
        <f>(F313*'Part 3 Portfolio Analysis'!$B$8+M313*'Part 3 Portfolio Analysis'!$C$8+T313*'Part 3 Portfolio Analysis'!$D$8+AA313*'Part 3 Portfolio Analysis'!$E$8+AH313*'Part 3 Portfolio Analysis'!$F$8)/100</f>
        <v>1.0799299813861438E-2</v>
      </c>
      <c r="AK313" s="91">
        <f>'Part 3 Portfolio Analysis'!$B$107*F313+M313*'Part 3 Portfolio Analysis'!$C$107+T313*'Part 3 Portfolio Analysis'!$D$107+AA313*'Part 3 Portfolio Analysis'!$E$107+AH313*'Part 3 Portfolio Analysis'!$F$107</f>
        <v>7.4902999999999983E-3</v>
      </c>
      <c r="AL313" s="91">
        <f>F313*'Part 3 Portfolio Analysis'!$B$121+M313*'Part 3 Portfolio Analysis'!$C$121+'Part 3 Portfolio Analysis'!$D$121*T313+AA313*'Part 3 Portfolio Analysis'!$E$121+'Part 3 Portfolio Analysis'!$F$121*AH313</f>
        <v>1.4016600000000001E-2</v>
      </c>
      <c r="AM313" s="91"/>
      <c r="AN313" s="90">
        <v>45107</v>
      </c>
      <c r="AO313" s="91">
        <v>19076.849610000001</v>
      </c>
      <c r="AP313" s="91">
        <v>19189.050780000001</v>
      </c>
      <c r="AQ313" s="91">
        <v>19189.050780000001</v>
      </c>
      <c r="AR313" s="91">
        <v>247900</v>
      </c>
      <c r="AS313" s="91">
        <v>1.14E-2</v>
      </c>
    </row>
    <row r="314" spans="1:45" x14ac:dyDescent="0.55000000000000004">
      <c r="A314" s="90">
        <v>45110</v>
      </c>
      <c r="B314" s="91">
        <v>7618.0498049999997</v>
      </c>
      <c r="C314" s="91">
        <v>7546.2998049999997</v>
      </c>
      <c r="D314" s="91">
        <v>7389.8505859999996</v>
      </c>
      <c r="E314" s="91">
        <v>106546</v>
      </c>
      <c r="F314" s="91">
        <v>-5.5999999999999999E-3</v>
      </c>
      <c r="H314" s="90">
        <v>45110</v>
      </c>
      <c r="I314" s="91">
        <v>1180.539673</v>
      </c>
      <c r="J314" s="91">
        <v>1207.1451420000001</v>
      </c>
      <c r="K314" s="91">
        <v>1194.0582280000001</v>
      </c>
      <c r="L314" s="91">
        <v>12154387</v>
      </c>
      <c r="M314" s="91">
        <v>2.5700000000000001E-2</v>
      </c>
      <c r="O314" s="90">
        <v>45110</v>
      </c>
      <c r="P314" s="91">
        <v>856.25</v>
      </c>
      <c r="Q314" s="91">
        <v>859.90002440000001</v>
      </c>
      <c r="R314" s="91">
        <v>837.00219730000003</v>
      </c>
      <c r="S314" s="91">
        <v>44104116</v>
      </c>
      <c r="T314" s="91">
        <v>1.0800000000000001E-2</v>
      </c>
      <c r="V314" s="90">
        <v>45110</v>
      </c>
      <c r="W314" s="91">
        <v>1330</v>
      </c>
      <c r="X314" s="91">
        <v>1333.6999510000001</v>
      </c>
      <c r="Y314" s="91">
        <v>1239.6132809999999</v>
      </c>
      <c r="Z314" s="91">
        <v>7732412</v>
      </c>
      <c r="AA314" s="91">
        <v>-1.2999999999999999E-3</v>
      </c>
      <c r="AB314" s="91"/>
      <c r="AC314" s="90">
        <v>45110</v>
      </c>
      <c r="AD314" s="91">
        <v>1774.900024</v>
      </c>
      <c r="AE314" s="91">
        <v>1751.5500489999999</v>
      </c>
      <c r="AF314" s="91">
        <v>1748.834106</v>
      </c>
      <c r="AG314" s="91">
        <v>238418</v>
      </c>
      <c r="AH314" s="91">
        <v>-7.1000000000000004E-3</v>
      </c>
      <c r="AI314" s="91"/>
      <c r="AJ314" s="91">
        <f>(F314*'Part 3 Portfolio Analysis'!$B$8+M314*'Part 3 Portfolio Analysis'!$C$8+T314*'Part 3 Portfolio Analysis'!$D$8+AA314*'Part 3 Portfolio Analysis'!$E$8+AH314*'Part 3 Portfolio Analysis'!$F$8)/100</f>
        <v>9.1587104012368567E-3</v>
      </c>
      <c r="AK314" s="91">
        <f>'Part 3 Portfolio Analysis'!$B$107*F314+M314*'Part 3 Portfolio Analysis'!$C$107+T314*'Part 3 Portfolio Analysis'!$D$107+AA314*'Part 3 Portfolio Analysis'!$E$107+AH314*'Part 3 Portfolio Analysis'!$F$107</f>
        <v>6.7908999999999999E-3</v>
      </c>
      <c r="AL314" s="91">
        <f>F314*'Part 3 Portfolio Analysis'!$B$121+M314*'Part 3 Portfolio Analysis'!$C$121+'Part 3 Portfolio Analysis'!$D$121*T314+AA314*'Part 3 Portfolio Analysis'!$E$121+'Part 3 Portfolio Analysis'!$F$121*AH314</f>
        <v>1.281498E-2</v>
      </c>
      <c r="AM314" s="91"/>
      <c r="AN314" s="90">
        <v>45110</v>
      </c>
      <c r="AO314" s="91">
        <v>19246.5</v>
      </c>
      <c r="AP314" s="91">
        <v>19322.550780000001</v>
      </c>
      <c r="AQ314" s="91">
        <v>19322.550780000001</v>
      </c>
      <c r="AR314" s="91">
        <v>226100</v>
      </c>
      <c r="AS314" s="91">
        <v>7.0000000000000001E-3</v>
      </c>
    </row>
    <row r="315" spans="1:45" x14ac:dyDescent="0.55000000000000004">
      <c r="A315" s="90">
        <v>45111</v>
      </c>
      <c r="B315" s="91">
        <v>7561.5</v>
      </c>
      <c r="C315" s="91">
        <v>7513.7998049999997</v>
      </c>
      <c r="D315" s="91">
        <v>7358.0239259999998</v>
      </c>
      <c r="E315" s="91">
        <v>70316</v>
      </c>
      <c r="F315" s="91">
        <v>-4.3E-3</v>
      </c>
      <c r="H315" s="90">
        <v>45111</v>
      </c>
      <c r="I315" s="91">
        <v>1211.437134</v>
      </c>
      <c r="J315" s="91">
        <v>1194.707764</v>
      </c>
      <c r="K315" s="91">
        <v>1181.755615</v>
      </c>
      <c r="L315" s="91">
        <v>8061643</v>
      </c>
      <c r="M315" s="91">
        <v>-1.03E-2</v>
      </c>
      <c r="O315" s="90">
        <v>45111</v>
      </c>
      <c r="P315" s="91">
        <v>861.72497559999999</v>
      </c>
      <c r="Q315" s="91">
        <v>864.09997559999999</v>
      </c>
      <c r="R315" s="91">
        <v>841.09027100000003</v>
      </c>
      <c r="S315" s="91">
        <v>38795188</v>
      </c>
      <c r="T315" s="91">
        <v>4.8999999999999998E-3</v>
      </c>
      <c r="V315" s="90">
        <v>45111</v>
      </c>
      <c r="W315" s="91">
        <v>1344.3000489999999</v>
      </c>
      <c r="X315" s="91">
        <v>1345.150024</v>
      </c>
      <c r="Y315" s="91">
        <v>1250.2554929999999</v>
      </c>
      <c r="Z315" s="91">
        <v>5797775</v>
      </c>
      <c r="AA315" s="91">
        <v>8.6E-3</v>
      </c>
      <c r="AB315" s="91"/>
      <c r="AC315" s="90">
        <v>45111</v>
      </c>
      <c r="AD315" s="91">
        <v>1751.5500489999999</v>
      </c>
      <c r="AE315" s="91">
        <v>1736.349976</v>
      </c>
      <c r="AF315" s="91">
        <v>1733.657471</v>
      </c>
      <c r="AG315" s="91">
        <v>399795</v>
      </c>
      <c r="AH315" s="91">
        <v>-8.6999999999999994E-3</v>
      </c>
      <c r="AI315" s="91"/>
      <c r="AJ315" s="91">
        <f>(F315*'Part 3 Portfolio Analysis'!$B$8+M315*'Part 3 Portfolio Analysis'!$C$8+T315*'Part 3 Portfolio Analysis'!$D$8+AA315*'Part 3 Portfolio Analysis'!$E$8+AH315*'Part 3 Portfolio Analysis'!$F$8)/100</f>
        <v>-2.9071647275416769E-3</v>
      </c>
      <c r="AK315" s="91">
        <f>'Part 3 Portfolio Analysis'!$B$107*F315+M315*'Part 3 Portfolio Analysis'!$C$107+T315*'Part 3 Portfolio Analysis'!$D$107+AA315*'Part 3 Portfolio Analysis'!$E$107+AH315*'Part 3 Portfolio Analysis'!$F$107</f>
        <v>-4.5707999999999999E-3</v>
      </c>
      <c r="AL315" s="91">
        <f>F315*'Part 3 Portfolio Analysis'!$B$121+M315*'Part 3 Portfolio Analysis'!$C$121+'Part 3 Portfolio Analysis'!$D$121*T315+AA315*'Part 3 Portfolio Analysis'!$E$121+'Part 3 Portfolio Analysis'!$F$121*AH315</f>
        <v>-1.8504799999999996E-3</v>
      </c>
      <c r="AM315" s="91"/>
      <c r="AN315" s="90">
        <v>45111</v>
      </c>
      <c r="AO315" s="91">
        <v>19406.599610000001</v>
      </c>
      <c r="AP315" s="91">
        <v>19389</v>
      </c>
      <c r="AQ315" s="91">
        <v>19389</v>
      </c>
      <c r="AR315" s="91">
        <v>226900</v>
      </c>
      <c r="AS315" s="91">
        <v>3.3999999999999998E-3</v>
      </c>
    </row>
    <row r="316" spans="1:45" x14ac:dyDescent="0.55000000000000004">
      <c r="A316" s="90">
        <v>45112</v>
      </c>
      <c r="B316" s="91">
        <v>7522.4501950000003</v>
      </c>
      <c r="C316" s="91">
        <v>7553.0498049999997</v>
      </c>
      <c r="D316" s="91">
        <v>7396.4604490000002</v>
      </c>
      <c r="E316" s="91">
        <v>75250</v>
      </c>
      <c r="F316" s="91">
        <v>5.1999999999999998E-3</v>
      </c>
      <c r="H316" s="90">
        <v>45112</v>
      </c>
      <c r="I316" s="91">
        <v>1204.053101</v>
      </c>
      <c r="J316" s="91">
        <v>1192.7463379999999</v>
      </c>
      <c r="K316" s="91">
        <v>1179.815552</v>
      </c>
      <c r="L316" s="91">
        <v>10248062</v>
      </c>
      <c r="M316" s="91">
        <v>-1.6000000000000001E-3</v>
      </c>
      <c r="O316" s="90">
        <v>45112</v>
      </c>
      <c r="P316" s="91">
        <v>858.125</v>
      </c>
      <c r="Q316" s="91">
        <v>836.65002440000001</v>
      </c>
      <c r="R316" s="91">
        <v>814.3712769</v>
      </c>
      <c r="S316" s="91">
        <v>37165754</v>
      </c>
      <c r="T316" s="91">
        <v>-3.1800000000000002E-2</v>
      </c>
      <c r="V316" s="90">
        <v>45112</v>
      </c>
      <c r="W316" s="91">
        <v>1357.849976</v>
      </c>
      <c r="X316" s="91">
        <v>1347.3000489999999</v>
      </c>
      <c r="Y316" s="91">
        <v>1252.2539059999999</v>
      </c>
      <c r="Z316" s="91">
        <v>5414936</v>
      </c>
      <c r="AA316" s="91">
        <v>1.6000000000000001E-3</v>
      </c>
      <c r="AB316" s="91"/>
      <c r="AC316" s="90">
        <v>45112</v>
      </c>
      <c r="AD316" s="91">
        <v>1745</v>
      </c>
      <c r="AE316" s="91">
        <v>1731.6999510000001</v>
      </c>
      <c r="AF316" s="91">
        <v>1729.0147710000001</v>
      </c>
      <c r="AG316" s="91">
        <v>502769</v>
      </c>
      <c r="AH316" s="91">
        <v>-2.7000000000000001E-3</v>
      </c>
      <c r="AI316" s="91"/>
      <c r="AJ316" s="91">
        <f>(F316*'Part 3 Portfolio Analysis'!$B$8+M316*'Part 3 Portfolio Analysis'!$C$8+T316*'Part 3 Portfolio Analysis'!$D$8+AA316*'Part 3 Portfolio Analysis'!$E$8+AH316*'Part 3 Portfolio Analysis'!$F$8)/100</f>
        <v>-4.0935070859070884E-3</v>
      </c>
      <c r="AK316" s="91">
        <f>'Part 3 Portfolio Analysis'!$B$107*F316+M316*'Part 3 Portfolio Analysis'!$C$107+T316*'Part 3 Portfolio Analysis'!$D$107+AA316*'Part 3 Portfolio Analysis'!$E$107+AH316*'Part 3 Portfolio Analysis'!$F$107</f>
        <v>-5.0141999999999999E-3</v>
      </c>
      <c r="AL316" s="91">
        <f>F316*'Part 3 Portfolio Analysis'!$B$121+M316*'Part 3 Portfolio Analysis'!$C$121+'Part 3 Portfolio Analysis'!$D$121*T316+AA316*'Part 3 Portfolio Analysis'!$E$121+'Part 3 Portfolio Analysis'!$F$121*AH316</f>
        <v>-8.6442599999999991E-3</v>
      </c>
      <c r="AM316" s="91"/>
      <c r="AN316" s="90">
        <v>45112</v>
      </c>
      <c r="AO316" s="91">
        <v>19405.949219999999</v>
      </c>
      <c r="AP316" s="91">
        <v>19398.5</v>
      </c>
      <c r="AQ316" s="91">
        <v>19398.5</v>
      </c>
      <c r="AR316" s="91">
        <v>224400</v>
      </c>
      <c r="AS316" s="91">
        <v>5.0000000000000001E-4</v>
      </c>
    </row>
    <row r="317" spans="1:45" x14ac:dyDescent="0.55000000000000004">
      <c r="A317" s="90">
        <v>45113</v>
      </c>
      <c r="B317" s="91">
        <v>7566.1499020000001</v>
      </c>
      <c r="C317" s="91">
        <v>7535.3500979999999</v>
      </c>
      <c r="D317" s="91">
        <v>7379.1279299999997</v>
      </c>
      <c r="E317" s="91">
        <v>78240</v>
      </c>
      <c r="F317" s="91">
        <v>-2.3E-3</v>
      </c>
      <c r="H317" s="90">
        <v>45113</v>
      </c>
      <c r="I317" s="91">
        <v>1188.8466800000001</v>
      </c>
      <c r="J317" s="91">
        <v>1217.7827150000001</v>
      </c>
      <c r="K317" s="91">
        <v>1204.5804439999999</v>
      </c>
      <c r="L317" s="91">
        <v>19117987</v>
      </c>
      <c r="M317" s="91">
        <v>2.1000000000000001E-2</v>
      </c>
      <c r="O317" s="90">
        <v>45113</v>
      </c>
      <c r="P317" s="91">
        <v>836.5</v>
      </c>
      <c r="Q317" s="91">
        <v>837.5</v>
      </c>
      <c r="R317" s="91">
        <v>815.19860840000001</v>
      </c>
      <c r="S317" s="91">
        <v>52156544</v>
      </c>
      <c r="T317" s="91">
        <v>1E-3</v>
      </c>
      <c r="V317" s="90">
        <v>45113</v>
      </c>
      <c r="W317" s="91">
        <v>1342.5500489999999</v>
      </c>
      <c r="X317" s="91">
        <v>1343.900024</v>
      </c>
      <c r="Y317" s="91">
        <v>1249.0936280000001</v>
      </c>
      <c r="Z317" s="91">
        <v>5963897</v>
      </c>
      <c r="AA317" s="91">
        <v>-2.5000000000000001E-3</v>
      </c>
      <c r="AB317" s="91"/>
      <c r="AC317" s="90">
        <v>45113</v>
      </c>
      <c r="AD317" s="91">
        <v>1731.6999510000001</v>
      </c>
      <c r="AE317" s="91">
        <v>1754.3000489999999</v>
      </c>
      <c r="AF317" s="91">
        <v>1751.5798339999999</v>
      </c>
      <c r="AG317" s="91">
        <v>240874</v>
      </c>
      <c r="AH317" s="91">
        <v>1.3100000000000001E-2</v>
      </c>
      <c r="AI317" s="91"/>
      <c r="AJ317" s="91">
        <f>(F317*'Part 3 Portfolio Analysis'!$B$8+M317*'Part 3 Portfolio Analysis'!$C$8+T317*'Part 3 Portfolio Analysis'!$D$8+AA317*'Part 3 Portfolio Analysis'!$E$8+AH317*'Part 3 Portfolio Analysis'!$F$8)/100</f>
        <v>6.8145956840846436E-3</v>
      </c>
      <c r="AK317" s="91">
        <f>'Part 3 Portfolio Analysis'!$B$107*F317+M317*'Part 3 Portfolio Analysis'!$C$107+T317*'Part 3 Portfolio Analysis'!$D$107+AA317*'Part 3 Portfolio Analysis'!$E$107+AH317*'Part 3 Portfolio Analysis'!$F$107</f>
        <v>9.3652000000000006E-3</v>
      </c>
      <c r="AL317" s="91">
        <f>F317*'Part 3 Portfolio Analysis'!$B$121+M317*'Part 3 Portfolio Analysis'!$C$121+'Part 3 Portfolio Analysis'!$D$121*T317+AA317*'Part 3 Portfolio Analysis'!$E$121+'Part 3 Portfolio Analysis'!$F$121*AH317</f>
        <v>8.7377599999999989E-3</v>
      </c>
      <c r="AM317" s="91"/>
      <c r="AN317" s="90">
        <v>45113</v>
      </c>
      <c r="AO317" s="91">
        <v>19385.699219999999</v>
      </c>
      <c r="AP317" s="91">
        <v>19497.300780000001</v>
      </c>
      <c r="AQ317" s="91">
        <v>19497.300780000001</v>
      </c>
      <c r="AR317" s="91">
        <v>268300</v>
      </c>
      <c r="AS317" s="91">
        <v>5.1000000000000004E-3</v>
      </c>
    </row>
    <row r="318" spans="1:45" x14ac:dyDescent="0.55000000000000004">
      <c r="A318" s="90">
        <v>45114</v>
      </c>
      <c r="B318" s="91">
        <v>7538.9501950000003</v>
      </c>
      <c r="C318" s="91">
        <v>7541.6499020000001</v>
      </c>
      <c r="D318" s="91">
        <v>7385.296875</v>
      </c>
      <c r="E318" s="91">
        <v>90023</v>
      </c>
      <c r="F318" s="91">
        <v>8.0000000000000004E-4</v>
      </c>
      <c r="H318" s="90">
        <v>45114</v>
      </c>
      <c r="I318" s="91">
        <v>1216.052124</v>
      </c>
      <c r="J318" s="91">
        <v>1215.4060059999999</v>
      </c>
      <c r="K318" s="91">
        <v>1202.2296140000001</v>
      </c>
      <c r="L318" s="91">
        <v>13375267</v>
      </c>
      <c r="M318" s="91">
        <v>-2E-3</v>
      </c>
      <c r="O318" s="90">
        <v>45114</v>
      </c>
      <c r="P318" s="91">
        <v>832.5</v>
      </c>
      <c r="Q318" s="91">
        <v>830.20001219999995</v>
      </c>
      <c r="R318" s="91">
        <v>808.09301760000005</v>
      </c>
      <c r="S318" s="91">
        <v>19926336</v>
      </c>
      <c r="T318" s="91">
        <v>-8.6999999999999994E-3</v>
      </c>
      <c r="V318" s="90">
        <v>45114</v>
      </c>
      <c r="W318" s="91">
        <v>1334</v>
      </c>
      <c r="X318" s="91">
        <v>1330.1999510000001</v>
      </c>
      <c r="Y318" s="91">
        <v>1236.360107</v>
      </c>
      <c r="Z318" s="91">
        <v>6295647</v>
      </c>
      <c r="AA318" s="91">
        <v>-1.0200000000000001E-2</v>
      </c>
      <c r="AB318" s="91"/>
      <c r="AC318" s="90">
        <v>45114</v>
      </c>
      <c r="AD318" s="91">
        <v>1749.3000489999999</v>
      </c>
      <c r="AE318" s="91">
        <v>1702.849976</v>
      </c>
      <c r="AF318" s="91">
        <v>1700.209595</v>
      </c>
      <c r="AG318" s="91">
        <v>248389</v>
      </c>
      <c r="AH318" s="91">
        <v>-2.93E-2</v>
      </c>
      <c r="AI318" s="91"/>
      <c r="AJ318" s="91">
        <f>(F318*'Part 3 Portfolio Analysis'!$B$8+M318*'Part 3 Portfolio Analysis'!$C$8+T318*'Part 3 Portfolio Analysis'!$D$8+AA318*'Part 3 Portfolio Analysis'!$E$8+AH318*'Part 3 Portfolio Analysis'!$F$8)/100</f>
        <v>-3.8641195587891257E-3</v>
      </c>
      <c r="AK318" s="91">
        <f>'Part 3 Portfolio Analysis'!$B$107*F318+M318*'Part 3 Portfolio Analysis'!$C$107+T318*'Part 3 Portfolio Analysis'!$D$107+AA318*'Part 3 Portfolio Analysis'!$E$107+AH318*'Part 3 Portfolio Analysis'!$F$107</f>
        <v>-1.0234099999999999E-2</v>
      </c>
      <c r="AL318" s="91">
        <f>F318*'Part 3 Portfolio Analysis'!$B$121+M318*'Part 3 Portfolio Analysis'!$C$121+'Part 3 Portfolio Analysis'!$D$121*T318+AA318*'Part 3 Portfolio Analysis'!$E$121+'Part 3 Portfolio Analysis'!$F$121*AH318</f>
        <v>-5.9474999999999997E-3</v>
      </c>
      <c r="AM318" s="91"/>
      <c r="AN318" s="90">
        <v>45114</v>
      </c>
      <c r="AO318" s="91">
        <v>19422.800780000001</v>
      </c>
      <c r="AP318" s="91">
        <v>19331.800780000001</v>
      </c>
      <c r="AQ318" s="91">
        <v>19331.800780000001</v>
      </c>
      <c r="AR318" s="91">
        <v>237100</v>
      </c>
      <c r="AS318" s="91">
        <v>-8.5000000000000006E-3</v>
      </c>
    </row>
    <row r="319" spans="1:45" x14ac:dyDescent="0.55000000000000004">
      <c r="A319" s="90">
        <v>45117</v>
      </c>
      <c r="B319" s="91">
        <v>7550</v>
      </c>
      <c r="C319" s="91">
        <v>7487.25</v>
      </c>
      <c r="D319" s="91">
        <v>7332.0249020000001</v>
      </c>
      <c r="E319" s="91">
        <v>84656</v>
      </c>
      <c r="F319" s="91">
        <v>-7.1999999999999998E-3</v>
      </c>
      <c r="H319" s="90">
        <v>45117</v>
      </c>
      <c r="I319" s="91">
        <v>1240.92688</v>
      </c>
      <c r="J319" s="91">
        <v>1262.2250979999999</v>
      </c>
      <c r="K319" s="91">
        <v>1248.541138</v>
      </c>
      <c r="L319" s="91">
        <v>33240016</v>
      </c>
      <c r="M319" s="91">
        <v>3.85E-2</v>
      </c>
      <c r="O319" s="90">
        <v>45117</v>
      </c>
      <c r="P319" s="91">
        <v>830.5</v>
      </c>
      <c r="Q319" s="91">
        <v>828.22497559999999</v>
      </c>
      <c r="R319" s="91">
        <v>806.17059329999995</v>
      </c>
      <c r="S319" s="91">
        <v>38398442</v>
      </c>
      <c r="T319" s="91">
        <v>-2.3999999999999998E-3</v>
      </c>
      <c r="V319" s="90">
        <v>45117</v>
      </c>
      <c r="W319" s="91">
        <v>1336.5500489999999</v>
      </c>
      <c r="X319" s="91">
        <v>1329.150024</v>
      </c>
      <c r="Y319" s="91">
        <v>1235.3842770000001</v>
      </c>
      <c r="Z319" s="91">
        <v>3940315</v>
      </c>
      <c r="AA319" s="91">
        <v>-8.0000000000000004E-4</v>
      </c>
      <c r="AB319" s="91"/>
      <c r="AC319" s="90">
        <v>45117</v>
      </c>
      <c r="AD319" s="91">
        <v>1714.9499510000001</v>
      </c>
      <c r="AE319" s="91">
        <v>1676.650024</v>
      </c>
      <c r="AF319" s="91">
        <v>1674.0501710000001</v>
      </c>
      <c r="AG319" s="91">
        <v>299305</v>
      </c>
      <c r="AH319" s="91">
        <v>-1.54E-2</v>
      </c>
      <c r="AI319" s="91"/>
      <c r="AJ319" s="91">
        <f>(F319*'Part 3 Portfolio Analysis'!$B$8+M319*'Part 3 Portfolio Analysis'!$C$8+T319*'Part 3 Portfolio Analysis'!$D$8+AA319*'Part 3 Portfolio Analysis'!$E$8+AH319*'Part 3 Portfolio Analysis'!$F$8)/100</f>
        <v>1.1115874387711657E-2</v>
      </c>
      <c r="AK319" s="91">
        <f>'Part 3 Portfolio Analysis'!$B$107*F319+M319*'Part 3 Portfolio Analysis'!$C$107+T319*'Part 3 Portfolio Analysis'!$D$107+AA319*'Part 3 Portfolio Analysis'!$E$107+AH319*'Part 3 Portfolio Analysis'!$F$107</f>
        <v>6.4216999999999989E-3</v>
      </c>
      <c r="AL319" s="91">
        <f>F319*'Part 3 Portfolio Analysis'!$B$121+M319*'Part 3 Portfolio Analysis'!$C$121+'Part 3 Portfolio Analysis'!$D$121*T319+AA319*'Part 3 Portfolio Analysis'!$E$121+'Part 3 Portfolio Analysis'!$F$121*AH319</f>
        <v>1.4346479999999998E-2</v>
      </c>
      <c r="AM319" s="91"/>
      <c r="AN319" s="90">
        <v>45117</v>
      </c>
      <c r="AO319" s="91">
        <v>19400.349610000001</v>
      </c>
      <c r="AP319" s="91">
        <v>19355.900389999999</v>
      </c>
      <c r="AQ319" s="91">
        <v>19355.900389999999</v>
      </c>
      <c r="AR319" s="91">
        <v>268200</v>
      </c>
      <c r="AS319" s="91">
        <v>1.1999999999999999E-3</v>
      </c>
    </row>
    <row r="320" spans="1:45" x14ac:dyDescent="0.55000000000000004">
      <c r="A320" s="90">
        <v>45118</v>
      </c>
      <c r="B320" s="91">
        <v>7410</v>
      </c>
      <c r="C320" s="91">
        <v>7453.1499020000001</v>
      </c>
      <c r="D320" s="91">
        <v>7298.6318359999996</v>
      </c>
      <c r="E320" s="91">
        <v>250639</v>
      </c>
      <c r="F320" s="91">
        <v>-4.5999999999999999E-3</v>
      </c>
      <c r="H320" s="90">
        <v>45118</v>
      </c>
      <c r="I320" s="91">
        <v>1270.4628909999999</v>
      </c>
      <c r="J320" s="91">
        <v>1275.9085689999999</v>
      </c>
      <c r="K320" s="91">
        <v>1262.076172</v>
      </c>
      <c r="L320" s="91">
        <v>20069348</v>
      </c>
      <c r="M320" s="91">
        <v>1.0800000000000001E-2</v>
      </c>
      <c r="O320" s="90">
        <v>45118</v>
      </c>
      <c r="P320" s="91">
        <v>831.5</v>
      </c>
      <c r="Q320" s="91">
        <v>824.20001219999995</v>
      </c>
      <c r="R320" s="91">
        <v>802.25274660000002</v>
      </c>
      <c r="S320" s="91">
        <v>50670426</v>
      </c>
      <c r="T320" s="91">
        <v>-4.8999999999999998E-3</v>
      </c>
      <c r="V320" s="90">
        <v>45118</v>
      </c>
      <c r="W320" s="91">
        <v>1333.4499510000001</v>
      </c>
      <c r="X320" s="91">
        <v>1348.599976</v>
      </c>
      <c r="Y320" s="91">
        <v>1253.462158</v>
      </c>
      <c r="Z320" s="91">
        <v>6126128</v>
      </c>
      <c r="AA320" s="91">
        <v>1.46E-2</v>
      </c>
      <c r="AB320" s="91"/>
      <c r="AC320" s="90">
        <v>45118</v>
      </c>
      <c r="AD320" s="91">
        <v>1676.650024</v>
      </c>
      <c r="AE320" s="91">
        <v>1693.0500489999999</v>
      </c>
      <c r="AF320" s="91">
        <v>1690.4248050000001</v>
      </c>
      <c r="AG320" s="91">
        <v>457955</v>
      </c>
      <c r="AH320" s="91">
        <v>9.7999999999999997E-3</v>
      </c>
      <c r="AI320" s="91"/>
      <c r="AJ320" s="91">
        <f>(F320*'Part 3 Portfolio Analysis'!$B$8+M320*'Part 3 Portfolio Analysis'!$C$8+T320*'Part 3 Portfolio Analysis'!$D$8+AA320*'Part 3 Portfolio Analysis'!$E$8+AH320*'Part 3 Portfolio Analysis'!$F$8)/100</f>
        <v>4.1628145719902875E-3</v>
      </c>
      <c r="AK320" s="91">
        <f>'Part 3 Portfolio Analysis'!$B$107*F320+M320*'Part 3 Portfolio Analysis'!$C$107+T320*'Part 3 Portfolio Analysis'!$D$107+AA320*'Part 3 Portfolio Analysis'!$E$107+AH320*'Part 3 Portfolio Analysis'!$F$107</f>
        <v>5.7225000000000002E-3</v>
      </c>
      <c r="AL320" s="91">
        <f>F320*'Part 3 Portfolio Analysis'!$B$121+M320*'Part 3 Portfolio Analysis'!$C$121+'Part 3 Portfolio Analysis'!$D$121*T320+AA320*'Part 3 Portfolio Analysis'!$E$121+'Part 3 Portfolio Analysis'!$F$121*AH320</f>
        <v>5.9975199999999992E-3</v>
      </c>
      <c r="AM320" s="91"/>
      <c r="AN320" s="90">
        <v>45118</v>
      </c>
      <c r="AO320" s="91">
        <v>19427.099610000001</v>
      </c>
      <c r="AP320" s="91">
        <v>19439.400389999999</v>
      </c>
      <c r="AQ320" s="91">
        <v>19439.400389999999</v>
      </c>
      <c r="AR320" s="91">
        <v>251300</v>
      </c>
      <c r="AS320" s="91">
        <v>4.3E-3</v>
      </c>
    </row>
    <row r="321" spans="1:45" x14ac:dyDescent="0.55000000000000004">
      <c r="A321" s="90">
        <v>45119</v>
      </c>
      <c r="B321" s="91">
        <v>7457.7998049999997</v>
      </c>
      <c r="C321" s="91">
        <v>7431.25</v>
      </c>
      <c r="D321" s="91">
        <v>7277.1860349999997</v>
      </c>
      <c r="E321" s="91">
        <v>86187</v>
      </c>
      <c r="F321" s="91">
        <v>-2.8999999999999998E-3</v>
      </c>
      <c r="H321" s="90">
        <v>45119</v>
      </c>
      <c r="I321" s="91">
        <v>1276.6469729999999</v>
      </c>
      <c r="J321" s="91">
        <v>1277.3161620000001</v>
      </c>
      <c r="K321" s="91">
        <v>1263.468384</v>
      </c>
      <c r="L321" s="91">
        <v>18733835</v>
      </c>
      <c r="M321" s="91">
        <v>1.1000000000000001E-3</v>
      </c>
      <c r="O321" s="90">
        <v>45119</v>
      </c>
      <c r="P321" s="91">
        <v>827.67498780000005</v>
      </c>
      <c r="Q321" s="91">
        <v>816.47497559999999</v>
      </c>
      <c r="R321" s="91">
        <v>794.73345949999998</v>
      </c>
      <c r="S321" s="91">
        <v>70958358</v>
      </c>
      <c r="T321" s="91">
        <v>-9.4000000000000004E-3</v>
      </c>
      <c r="V321" s="90">
        <v>45119</v>
      </c>
      <c r="W321" s="91">
        <v>1351</v>
      </c>
      <c r="X321" s="91">
        <v>1333.3000489999999</v>
      </c>
      <c r="Y321" s="91">
        <v>1239.241577</v>
      </c>
      <c r="Z321" s="91">
        <v>8102770</v>
      </c>
      <c r="AA321" s="91">
        <v>-1.1299999999999999E-2</v>
      </c>
      <c r="AB321" s="91"/>
      <c r="AC321" s="90">
        <v>45119</v>
      </c>
      <c r="AD321" s="91">
        <v>1697</v>
      </c>
      <c r="AE321" s="91">
        <v>1687.9499510000001</v>
      </c>
      <c r="AF321" s="91">
        <v>1685.3325199999999</v>
      </c>
      <c r="AG321" s="91">
        <v>502653</v>
      </c>
      <c r="AH321" s="91">
        <v>-3.0000000000000001E-3</v>
      </c>
      <c r="AI321" s="91"/>
      <c r="AJ321" s="91">
        <f>(F321*'Part 3 Portfolio Analysis'!$B$8+M321*'Part 3 Portfolio Analysis'!$C$8+T321*'Part 3 Portfolio Analysis'!$D$8+AA321*'Part 3 Portfolio Analysis'!$E$8+AH321*'Part 3 Portfolio Analysis'!$F$8)/100</f>
        <v>-3.8871813681256966E-3</v>
      </c>
      <c r="AK321" s="91">
        <f>'Part 3 Portfolio Analysis'!$B$107*F321+M321*'Part 3 Portfolio Analysis'!$C$107+T321*'Part 3 Portfolio Analysis'!$D$107+AA321*'Part 3 Portfolio Analysis'!$E$107+AH321*'Part 3 Portfolio Analysis'!$F$107</f>
        <v>-3.5206999999999999E-3</v>
      </c>
      <c r="AL321" s="91">
        <f>F321*'Part 3 Portfolio Analysis'!$B$121+M321*'Part 3 Portfolio Analysis'!$C$121+'Part 3 Portfolio Analysis'!$D$121*T321+AA321*'Part 3 Portfolio Analysis'!$E$121+'Part 3 Portfolio Analysis'!$F$121*AH321</f>
        <v>-4.6722199999999995E-3</v>
      </c>
      <c r="AM321" s="91"/>
      <c r="AN321" s="90">
        <v>45119</v>
      </c>
      <c r="AO321" s="91">
        <v>19497.449219999999</v>
      </c>
      <c r="AP321" s="91">
        <v>19384.300780000001</v>
      </c>
      <c r="AQ321" s="91">
        <v>19384.300780000001</v>
      </c>
      <c r="AR321" s="91">
        <v>327900</v>
      </c>
      <c r="AS321" s="91">
        <v>-2.8E-3</v>
      </c>
    </row>
    <row r="322" spans="1:45" x14ac:dyDescent="0.55000000000000004">
      <c r="A322" s="90">
        <v>45120</v>
      </c>
      <c r="B322" s="91">
        <v>7431.25</v>
      </c>
      <c r="C322" s="91">
        <v>7568.0498049999997</v>
      </c>
      <c r="D322" s="91">
        <v>7411.1494140000004</v>
      </c>
      <c r="E322" s="91">
        <v>192087</v>
      </c>
      <c r="F322" s="91">
        <v>1.84E-2</v>
      </c>
      <c r="H322" s="90">
        <v>45120</v>
      </c>
      <c r="I322" s="91">
        <v>1284.769409</v>
      </c>
      <c r="J322" s="91">
        <v>1265.894043</v>
      </c>
      <c r="K322" s="91">
        <v>1252.1701660000001</v>
      </c>
      <c r="L322" s="91">
        <v>14682934</v>
      </c>
      <c r="M322" s="91">
        <v>-8.8999999999999999E-3</v>
      </c>
      <c r="O322" s="90">
        <v>45120</v>
      </c>
      <c r="P322" s="91">
        <v>828.34997559999999</v>
      </c>
      <c r="Q322" s="91">
        <v>820.54998780000005</v>
      </c>
      <c r="R322" s="91">
        <v>798.69995119999999</v>
      </c>
      <c r="S322" s="91">
        <v>41913546</v>
      </c>
      <c r="T322" s="91">
        <v>5.0000000000000001E-3</v>
      </c>
      <c r="V322" s="90">
        <v>45120</v>
      </c>
      <c r="W322" s="91">
        <v>1334.900024</v>
      </c>
      <c r="X322" s="91">
        <v>1365.099976</v>
      </c>
      <c r="Y322" s="91">
        <v>1268.7982179999999</v>
      </c>
      <c r="Z322" s="91">
        <v>9977644</v>
      </c>
      <c r="AA322" s="91">
        <v>2.3900000000000001E-2</v>
      </c>
      <c r="AB322" s="91"/>
      <c r="AC322" s="90">
        <v>45120</v>
      </c>
      <c r="AD322" s="91">
        <v>1690.9499510000001</v>
      </c>
      <c r="AE322" s="91">
        <v>1666</v>
      </c>
      <c r="AF322" s="91">
        <v>1663.4167480000001</v>
      </c>
      <c r="AG322" s="91">
        <v>270100</v>
      </c>
      <c r="AH322" s="91">
        <v>-1.2999999999999999E-2</v>
      </c>
      <c r="AI322" s="91"/>
      <c r="AJ322" s="91">
        <f>(F322*'Part 3 Portfolio Analysis'!$B$8+M322*'Part 3 Portfolio Analysis'!$C$8+T322*'Part 3 Portfolio Analysis'!$D$8+AA322*'Part 3 Portfolio Analysis'!$E$8+AH322*'Part 3 Portfolio Analysis'!$F$8)/100</f>
        <v>6.8472458816298256E-3</v>
      </c>
      <c r="AK322" s="91">
        <f>'Part 3 Portfolio Analysis'!$B$107*F322+M322*'Part 3 Portfolio Analysis'!$C$107+T322*'Part 3 Portfolio Analysis'!$D$107+AA322*'Part 3 Portfolio Analysis'!$E$107+AH322*'Part 3 Portfolio Analysis'!$F$107</f>
        <v>4.1530000000000039E-4</v>
      </c>
      <c r="AL322" s="91">
        <f>F322*'Part 3 Portfolio Analysis'!$B$121+M322*'Part 3 Portfolio Analysis'!$C$121+'Part 3 Portfolio Analysis'!$D$121*T322+AA322*'Part 3 Portfolio Analysis'!$E$121+'Part 3 Portfolio Analysis'!$F$121*AH322</f>
        <v>3.5774400000000003E-3</v>
      </c>
      <c r="AM322" s="91"/>
      <c r="AN322" s="90">
        <v>45120</v>
      </c>
      <c r="AO322" s="91">
        <v>19495.199219999999</v>
      </c>
      <c r="AP322" s="91">
        <v>19413.75</v>
      </c>
      <c r="AQ322" s="91">
        <v>19413.75</v>
      </c>
      <c r="AR322" s="91">
        <v>310400</v>
      </c>
      <c r="AS322" s="91">
        <v>1.5E-3</v>
      </c>
    </row>
    <row r="323" spans="1:45" x14ac:dyDescent="0.55000000000000004">
      <c r="A323" s="90">
        <v>45121</v>
      </c>
      <c r="B323" s="91">
        <v>7607.2001950000003</v>
      </c>
      <c r="C323" s="91">
        <v>7730.75</v>
      </c>
      <c r="D323" s="91">
        <v>7570.4765630000002</v>
      </c>
      <c r="E323" s="91">
        <v>315095</v>
      </c>
      <c r="F323" s="91">
        <v>2.1499999999999998E-2</v>
      </c>
      <c r="H323" s="90">
        <v>45121</v>
      </c>
      <c r="I323" s="91">
        <v>1269.1245120000001</v>
      </c>
      <c r="J323" s="91">
        <v>1264.8326420000001</v>
      </c>
      <c r="K323" s="91">
        <v>1251.1202390000001</v>
      </c>
      <c r="L323" s="91">
        <v>15124144</v>
      </c>
      <c r="M323" s="91">
        <v>-8.0000000000000004E-4</v>
      </c>
      <c r="O323" s="90">
        <v>45121</v>
      </c>
      <c r="P323" s="91">
        <v>826.79998780000005</v>
      </c>
      <c r="Q323" s="91">
        <v>822.25</v>
      </c>
      <c r="R323" s="91">
        <v>800.35467530000005</v>
      </c>
      <c r="S323" s="91">
        <v>24727214</v>
      </c>
      <c r="T323" s="91">
        <v>2.0999999999999999E-3</v>
      </c>
      <c r="V323" s="90">
        <v>45121</v>
      </c>
      <c r="W323" s="91">
        <v>1380.650024</v>
      </c>
      <c r="X323" s="91">
        <v>1425.9499510000001</v>
      </c>
      <c r="Y323" s="91">
        <v>1325.3553469999999</v>
      </c>
      <c r="Z323" s="91">
        <v>12833381</v>
      </c>
      <c r="AA323" s="91">
        <v>4.4600000000000001E-2</v>
      </c>
      <c r="AB323" s="91"/>
      <c r="AC323" s="90">
        <v>45121</v>
      </c>
      <c r="AD323" s="91">
        <v>1672.1999510000001</v>
      </c>
      <c r="AE323" s="91">
        <v>1687.650024</v>
      </c>
      <c r="AF323" s="91">
        <v>1685.033081</v>
      </c>
      <c r="AG323" s="91">
        <v>268107</v>
      </c>
      <c r="AH323" s="91">
        <v>1.2999999999999999E-2</v>
      </c>
      <c r="AI323" s="91"/>
      <c r="AJ323" s="91">
        <f>(F323*'Part 3 Portfolio Analysis'!$B$8+M323*'Part 3 Portfolio Analysis'!$C$8+T323*'Part 3 Portfolio Analysis'!$D$8+AA323*'Part 3 Portfolio Analysis'!$E$8+AH323*'Part 3 Portfolio Analysis'!$F$8)/100</f>
        <v>1.381501654032203E-2</v>
      </c>
      <c r="AK323" s="91">
        <f>'Part 3 Portfolio Analysis'!$B$107*F323+M323*'Part 3 Portfolio Analysis'!$C$107+T323*'Part 3 Portfolio Analysis'!$D$107+AA323*'Part 3 Portfolio Analysis'!$E$107+AH323*'Part 3 Portfolio Analysis'!$F$107</f>
        <v>1.16811E-2</v>
      </c>
      <c r="AL323" s="91">
        <f>F323*'Part 3 Portfolio Analysis'!$B$121+M323*'Part 3 Portfolio Analysis'!$C$121+'Part 3 Portfolio Analysis'!$D$121*T323+AA323*'Part 3 Portfolio Analysis'!$E$121+'Part 3 Portfolio Analysis'!$F$121*AH323</f>
        <v>1.126342E-2</v>
      </c>
      <c r="AM323" s="91"/>
      <c r="AN323" s="90">
        <v>45121</v>
      </c>
      <c r="AO323" s="91">
        <v>19493.449219999999</v>
      </c>
      <c r="AP323" s="91">
        <v>19564.5</v>
      </c>
      <c r="AQ323" s="91">
        <v>19564.5</v>
      </c>
      <c r="AR323" s="91">
        <v>291200</v>
      </c>
      <c r="AS323" s="91">
        <v>7.7999999999999996E-3</v>
      </c>
    </row>
    <row r="324" spans="1:45" x14ac:dyDescent="0.55000000000000004">
      <c r="A324" s="90">
        <v>45124</v>
      </c>
      <c r="B324" s="91">
        <v>7766</v>
      </c>
      <c r="C324" s="91">
        <v>7719.5</v>
      </c>
      <c r="D324" s="91">
        <v>7559.4594729999999</v>
      </c>
      <c r="E324" s="91">
        <v>198416</v>
      </c>
      <c r="F324" s="91">
        <v>-1.5E-3</v>
      </c>
      <c r="H324" s="90">
        <v>45124</v>
      </c>
      <c r="I324" s="91">
        <v>1267.740112</v>
      </c>
      <c r="J324" s="91">
        <v>1290.6766359999999</v>
      </c>
      <c r="K324" s="91">
        <v>1276.6842039999999</v>
      </c>
      <c r="L324" s="91">
        <v>22220040</v>
      </c>
      <c r="M324" s="91">
        <v>2.0400000000000001E-2</v>
      </c>
      <c r="O324" s="90">
        <v>45124</v>
      </c>
      <c r="P324" s="91">
        <v>825</v>
      </c>
      <c r="Q324" s="91">
        <v>839.45001219999995</v>
      </c>
      <c r="R324" s="91">
        <v>817.09667969999998</v>
      </c>
      <c r="S324" s="91">
        <v>49252928</v>
      </c>
      <c r="T324" s="91">
        <v>2.0899999999999998E-2</v>
      </c>
      <c r="V324" s="90">
        <v>45124</v>
      </c>
      <c r="W324" s="91">
        <v>1425.9499510000001</v>
      </c>
      <c r="X324" s="91">
        <v>1422.9499510000001</v>
      </c>
      <c r="Y324" s="91">
        <v>1322.567139</v>
      </c>
      <c r="Z324" s="91">
        <v>11569884</v>
      </c>
      <c r="AA324" s="91">
        <v>-2.0999999999999999E-3</v>
      </c>
      <c r="AB324" s="91"/>
      <c r="AC324" s="90">
        <v>45124</v>
      </c>
      <c r="AD324" s="91">
        <v>1696.4499510000001</v>
      </c>
      <c r="AE324" s="91">
        <v>1694.3000489999999</v>
      </c>
      <c r="AF324" s="91">
        <v>1691.6728519999999</v>
      </c>
      <c r="AG324" s="91">
        <v>473571</v>
      </c>
      <c r="AH324" s="91">
        <v>3.8999999999999998E-3</v>
      </c>
      <c r="AI324" s="91"/>
      <c r="AJ324" s="91">
        <f>(F324*'Part 3 Portfolio Analysis'!$B$8+M324*'Part 3 Portfolio Analysis'!$C$8+T324*'Part 3 Portfolio Analysis'!$D$8+AA324*'Part 3 Portfolio Analysis'!$E$8+AH324*'Part 3 Portfolio Analysis'!$F$8)/100</f>
        <v>1.0131136680340077E-2</v>
      </c>
      <c r="AK324" s="91">
        <f>'Part 3 Portfolio Analysis'!$B$107*F324+M324*'Part 3 Portfolio Analysis'!$C$107+T324*'Part 3 Portfolio Analysis'!$D$107+AA324*'Part 3 Portfolio Analysis'!$E$107+AH324*'Part 3 Portfolio Analysis'!$F$107</f>
        <v>1.0127500000000001E-2</v>
      </c>
      <c r="AL324" s="91">
        <f>F324*'Part 3 Portfolio Analysis'!$B$121+M324*'Part 3 Portfolio Analysis'!$C$121+'Part 3 Portfolio Analysis'!$D$121*T324+AA324*'Part 3 Portfolio Analysis'!$E$121+'Part 3 Portfolio Analysis'!$F$121*AH324</f>
        <v>1.3803520000000001E-2</v>
      </c>
      <c r="AM324" s="91"/>
      <c r="AN324" s="90">
        <v>45124</v>
      </c>
      <c r="AO324" s="91">
        <v>19612.150389999999</v>
      </c>
      <c r="AP324" s="91">
        <v>19711.449219999999</v>
      </c>
      <c r="AQ324" s="91">
        <v>19711.449219999999</v>
      </c>
      <c r="AR324" s="91">
        <v>268700</v>
      </c>
      <c r="AS324" s="91">
        <v>7.4999999999999997E-3</v>
      </c>
    </row>
    <row r="325" spans="1:45" x14ac:dyDescent="0.55000000000000004">
      <c r="A325" s="90">
        <v>45125</v>
      </c>
      <c r="B325" s="91">
        <v>7345.0498049999997</v>
      </c>
      <c r="C325" s="91">
        <v>7542.75</v>
      </c>
      <c r="D325" s="91">
        <v>7386.3740230000003</v>
      </c>
      <c r="E325" s="91">
        <v>505141</v>
      </c>
      <c r="F325" s="91">
        <v>-2.29E-2</v>
      </c>
      <c r="H325" s="90">
        <v>45125</v>
      </c>
      <c r="I325" s="91">
        <v>1300.045044</v>
      </c>
      <c r="J325" s="91">
        <v>1301.637207</v>
      </c>
      <c r="K325" s="91">
        <v>1287.525879</v>
      </c>
      <c r="L325" s="91">
        <v>25867313</v>
      </c>
      <c r="M325" s="91">
        <v>8.5000000000000006E-3</v>
      </c>
      <c r="O325" s="90">
        <v>45125</v>
      </c>
      <c r="P325" s="91">
        <v>849</v>
      </c>
      <c r="Q325" s="91">
        <v>838.75</v>
      </c>
      <c r="R325" s="91">
        <v>816.41528319999998</v>
      </c>
      <c r="S325" s="91">
        <v>81076818</v>
      </c>
      <c r="T325" s="91">
        <v>-8.0000000000000004E-4</v>
      </c>
      <c r="V325" s="90">
        <v>45125</v>
      </c>
      <c r="W325" s="91">
        <v>1434</v>
      </c>
      <c r="X325" s="91">
        <v>1475.1999510000001</v>
      </c>
      <c r="Y325" s="91">
        <v>1371.130981</v>
      </c>
      <c r="Z325" s="91">
        <v>16743977</v>
      </c>
      <c r="AA325" s="91">
        <v>3.6700000000000003E-2</v>
      </c>
      <c r="AB325" s="91"/>
      <c r="AC325" s="90">
        <v>45125</v>
      </c>
      <c r="AD325" s="91">
        <v>1704.650024</v>
      </c>
      <c r="AE325" s="91">
        <v>1690.3000489999999</v>
      </c>
      <c r="AF325" s="91">
        <v>1687.679077</v>
      </c>
      <c r="AG325" s="91">
        <v>173675</v>
      </c>
      <c r="AH325" s="91">
        <v>-2.3999999999999998E-3</v>
      </c>
      <c r="AI325" s="91"/>
      <c r="AJ325" s="91">
        <f>(F325*'Part 3 Portfolio Analysis'!$B$8+M325*'Part 3 Portfolio Analysis'!$C$8+T325*'Part 3 Portfolio Analysis'!$D$8+AA325*'Part 3 Portfolio Analysis'!$E$8+AH325*'Part 3 Portfolio Analysis'!$F$8)/100</f>
        <v>1.9604363518004285E-3</v>
      </c>
      <c r="AK325" s="91">
        <f>'Part 3 Portfolio Analysis'!$B$107*F325+M325*'Part 3 Portfolio Analysis'!$C$107+T325*'Part 3 Portfolio Analysis'!$D$107+AA325*'Part 3 Portfolio Analysis'!$E$107+AH325*'Part 3 Portfolio Analysis'!$F$107</f>
        <v>1.4797000000000009E-3</v>
      </c>
      <c r="AL325" s="91">
        <f>F325*'Part 3 Portfolio Analysis'!$B$121+M325*'Part 3 Portfolio Analysis'!$C$121+'Part 3 Portfolio Analysis'!$D$121*T325+AA325*'Part 3 Portfolio Analysis'!$E$121+'Part 3 Portfolio Analysis'!$F$121*AH325</f>
        <v>8.7437400000000016E-3</v>
      </c>
      <c r="AM325" s="91"/>
      <c r="AN325" s="90">
        <v>45125</v>
      </c>
      <c r="AO325" s="91">
        <v>19787.5</v>
      </c>
      <c r="AP325" s="91">
        <v>19749.25</v>
      </c>
      <c r="AQ325" s="91">
        <v>19749.25</v>
      </c>
      <c r="AR325" s="91">
        <v>286400</v>
      </c>
      <c r="AS325" s="91">
        <v>1.9E-3</v>
      </c>
    </row>
    <row r="326" spans="1:45" x14ac:dyDescent="0.55000000000000004">
      <c r="A326" s="90">
        <v>45126</v>
      </c>
      <c r="B326" s="91">
        <v>7540</v>
      </c>
      <c r="C326" s="91">
        <v>7558.8999020000001</v>
      </c>
      <c r="D326" s="91">
        <v>7402.1889650000003</v>
      </c>
      <c r="E326" s="91">
        <v>132383</v>
      </c>
      <c r="F326" s="91">
        <v>2.0999999999999999E-3</v>
      </c>
      <c r="H326" s="90">
        <v>45126</v>
      </c>
      <c r="I326" s="91">
        <v>1306.0445560000001</v>
      </c>
      <c r="J326" s="91">
        <v>1311.5133060000001</v>
      </c>
      <c r="K326" s="91">
        <v>1297.294922</v>
      </c>
      <c r="L326" s="91">
        <v>39122156</v>
      </c>
      <c r="M326" s="91">
        <v>7.6E-3</v>
      </c>
      <c r="O326" s="90">
        <v>45126</v>
      </c>
      <c r="P326" s="91">
        <v>840.54998780000005</v>
      </c>
      <c r="Q326" s="91">
        <v>842.54998780000005</v>
      </c>
      <c r="R326" s="91">
        <v>820.11413570000002</v>
      </c>
      <c r="S326" s="91">
        <v>32935134</v>
      </c>
      <c r="T326" s="91">
        <v>4.4999999999999997E-3</v>
      </c>
      <c r="V326" s="90">
        <v>45126</v>
      </c>
      <c r="W326" s="91">
        <v>1486</v>
      </c>
      <c r="X326" s="91">
        <v>1474.9499510000001</v>
      </c>
      <c r="Y326" s="91">
        <v>1370.8988039999999</v>
      </c>
      <c r="Z326" s="91">
        <v>13687062</v>
      </c>
      <c r="AA326" s="91">
        <v>-2.0000000000000001E-4</v>
      </c>
      <c r="AB326" s="91"/>
      <c r="AC326" s="90">
        <v>45126</v>
      </c>
      <c r="AD326" s="91">
        <v>1699.75</v>
      </c>
      <c r="AE326" s="91">
        <v>1716.4499510000001</v>
      </c>
      <c r="AF326" s="91">
        <v>1713.7883300000001</v>
      </c>
      <c r="AG326" s="91">
        <v>383674</v>
      </c>
      <c r="AH326" s="91">
        <v>1.55E-2</v>
      </c>
      <c r="AI326" s="91"/>
      <c r="AJ326" s="91">
        <f>(F326*'Part 3 Portfolio Analysis'!$B$8+M326*'Part 3 Portfolio Analysis'!$C$8+T326*'Part 3 Portfolio Analysis'!$D$8+AA326*'Part 3 Portfolio Analysis'!$E$8+AH326*'Part 3 Portfolio Analysis'!$F$8)/100</f>
        <v>4.2548101982426544E-3</v>
      </c>
      <c r="AK326" s="91">
        <f>'Part 3 Portfolio Analysis'!$B$107*F326+M326*'Part 3 Portfolio Analysis'!$C$107+T326*'Part 3 Portfolio Analysis'!$D$107+AA326*'Part 3 Portfolio Analysis'!$E$107+AH326*'Part 3 Portfolio Analysis'!$F$107</f>
        <v>7.3402999999999993E-3</v>
      </c>
      <c r="AL326" s="91">
        <f>F326*'Part 3 Portfolio Analysis'!$B$121+M326*'Part 3 Portfolio Analysis'!$C$121+'Part 3 Portfolio Analysis'!$D$121*T326+AA326*'Part 3 Portfolio Analysis'!$E$121+'Part 3 Portfolio Analysis'!$F$121*AH326</f>
        <v>4.95168E-3</v>
      </c>
      <c r="AM326" s="91"/>
      <c r="AN326" s="90">
        <v>45126</v>
      </c>
      <c r="AO326" s="91">
        <v>19802.949219999999</v>
      </c>
      <c r="AP326" s="91">
        <v>19833.150389999999</v>
      </c>
      <c r="AQ326" s="91">
        <v>19833.150389999999</v>
      </c>
      <c r="AR326" s="91">
        <v>259700</v>
      </c>
      <c r="AS326" s="91">
        <v>4.1999999999999997E-3</v>
      </c>
    </row>
    <row r="327" spans="1:45" x14ac:dyDescent="0.55000000000000004">
      <c r="A327" s="90">
        <v>45127</v>
      </c>
      <c r="B327" s="91">
        <v>7575</v>
      </c>
      <c r="C327" s="91">
        <v>7494.2998049999997</v>
      </c>
      <c r="D327" s="91">
        <v>7338.9282229999999</v>
      </c>
      <c r="E327" s="91">
        <v>90406</v>
      </c>
      <c r="F327" s="91">
        <v>-8.5000000000000006E-3</v>
      </c>
      <c r="H327" s="90">
        <v>45127</v>
      </c>
      <c r="I327" s="91">
        <v>1290</v>
      </c>
      <c r="J327" s="91">
        <v>1309.9250489999999</v>
      </c>
      <c r="K327" s="91">
        <v>1295.7238769999999</v>
      </c>
      <c r="L327" s="91">
        <v>38717624</v>
      </c>
      <c r="M327" s="91">
        <v>-1.1999999999999999E-3</v>
      </c>
      <c r="O327" s="90">
        <v>45127</v>
      </c>
      <c r="P327" s="91">
        <v>840.57501219999995</v>
      </c>
      <c r="Q327" s="91">
        <v>844.375</v>
      </c>
      <c r="R327" s="91">
        <v>821.89056400000004</v>
      </c>
      <c r="S327" s="91">
        <v>56210948</v>
      </c>
      <c r="T327" s="91">
        <v>2.2000000000000001E-3</v>
      </c>
      <c r="V327" s="90">
        <v>45127</v>
      </c>
      <c r="W327" s="91">
        <v>1471</v>
      </c>
      <c r="X327" s="91">
        <v>1449.5</v>
      </c>
      <c r="Y327" s="91">
        <v>1347.2441409999999</v>
      </c>
      <c r="Z327" s="91">
        <v>8347221</v>
      </c>
      <c r="AA327" s="91">
        <v>-1.7299999999999999E-2</v>
      </c>
      <c r="AB327" s="91"/>
      <c r="AC327" s="90">
        <v>45127</v>
      </c>
      <c r="AD327" s="91">
        <v>1720.099976</v>
      </c>
      <c r="AE327" s="91">
        <v>1714.75</v>
      </c>
      <c r="AF327" s="91">
        <v>1712.091064</v>
      </c>
      <c r="AG327" s="91">
        <v>235107</v>
      </c>
      <c r="AH327" s="91">
        <v>-1E-3</v>
      </c>
      <c r="AI327" s="91"/>
      <c r="AJ327" s="91">
        <f>(F327*'Part 3 Portfolio Analysis'!$B$8+M327*'Part 3 Portfolio Analysis'!$C$8+T327*'Part 3 Portfolio Analysis'!$D$8+AA327*'Part 3 Portfolio Analysis'!$E$8+AH327*'Part 3 Portfolio Analysis'!$F$8)/100</f>
        <v>-5.4119125744517913E-3</v>
      </c>
      <c r="AK327" s="91">
        <f>'Part 3 Portfolio Analysis'!$B$107*F327+M327*'Part 3 Portfolio Analysis'!$C$107+T327*'Part 3 Portfolio Analysis'!$D$107+AA327*'Part 3 Portfolio Analysis'!$E$107+AH327*'Part 3 Portfolio Analysis'!$F$107</f>
        <v>-3.5466E-3</v>
      </c>
      <c r="AL327" s="91">
        <f>F327*'Part 3 Portfolio Analysis'!$B$121+M327*'Part 3 Portfolio Analysis'!$C$121+'Part 3 Portfolio Analysis'!$D$121*T327+AA327*'Part 3 Portfolio Analysis'!$E$121+'Part 3 Portfolio Analysis'!$F$121*AH327</f>
        <v>-4.0900199999999998E-3</v>
      </c>
      <c r="AM327" s="91"/>
      <c r="AN327" s="90">
        <v>45127</v>
      </c>
      <c r="AO327" s="91">
        <v>19831.699219999999</v>
      </c>
      <c r="AP327" s="91">
        <v>19979.150389999999</v>
      </c>
      <c r="AQ327" s="91">
        <v>19979.150389999999</v>
      </c>
      <c r="AR327" s="91">
        <v>274700</v>
      </c>
      <c r="AS327" s="91">
        <v>7.4000000000000003E-3</v>
      </c>
    </row>
    <row r="328" spans="1:45" x14ac:dyDescent="0.55000000000000004">
      <c r="A328" s="90">
        <v>45128</v>
      </c>
      <c r="B328" s="91">
        <v>7450</v>
      </c>
      <c r="C328" s="91">
        <v>7310.8500979999999</v>
      </c>
      <c r="D328" s="91">
        <v>7159.2822269999997</v>
      </c>
      <c r="E328" s="91">
        <v>190064</v>
      </c>
      <c r="F328" s="91">
        <v>-2.4500000000000001E-2</v>
      </c>
      <c r="H328" s="90">
        <v>45128</v>
      </c>
      <c r="I328" s="91">
        <v>1304.5</v>
      </c>
      <c r="J328" s="91">
        <v>1269.375</v>
      </c>
      <c r="K328" s="91">
        <v>1255.6134030000001</v>
      </c>
      <c r="L328" s="91">
        <v>30249238</v>
      </c>
      <c r="M328" s="91">
        <v>-3.1E-2</v>
      </c>
      <c r="O328" s="90">
        <v>45128</v>
      </c>
      <c r="P328" s="91">
        <v>840</v>
      </c>
      <c r="Q328" s="91">
        <v>837.875</v>
      </c>
      <c r="R328" s="91">
        <v>815.56359859999998</v>
      </c>
      <c r="S328" s="91">
        <v>42154248</v>
      </c>
      <c r="T328" s="91">
        <v>-7.7000000000000002E-3</v>
      </c>
      <c r="V328" s="90">
        <v>45128</v>
      </c>
      <c r="W328" s="91">
        <v>1320.1999510000001</v>
      </c>
      <c r="X328" s="91">
        <v>1331.599976</v>
      </c>
      <c r="Y328" s="91">
        <v>1237.6613769999999</v>
      </c>
      <c r="Z328" s="91">
        <v>45548305</v>
      </c>
      <c r="AA328" s="91">
        <v>-8.1299999999999997E-2</v>
      </c>
      <c r="AB328" s="91"/>
      <c r="AC328" s="90">
        <v>45128</v>
      </c>
      <c r="AD328" s="91">
        <v>1706</v>
      </c>
      <c r="AE328" s="91">
        <v>1713.900024</v>
      </c>
      <c r="AF328" s="91">
        <v>1711.242432</v>
      </c>
      <c r="AG328" s="91">
        <v>331260</v>
      </c>
      <c r="AH328" s="91">
        <v>-5.0000000000000001E-4</v>
      </c>
      <c r="AI328" s="91"/>
      <c r="AJ328" s="91">
        <f>(F328*'Part 3 Portfolio Analysis'!$B$8+M328*'Part 3 Portfolio Analysis'!$C$8+T328*'Part 3 Portfolio Analysis'!$D$8+AA328*'Part 3 Portfolio Analysis'!$E$8+AH328*'Part 3 Portfolio Analysis'!$F$8)/100</f>
        <v>-3.2960127943016317E-2</v>
      </c>
      <c r="AK328" s="91">
        <f>'Part 3 Portfolio Analysis'!$B$107*F328+M328*'Part 3 Portfolio Analysis'!$C$107+T328*'Part 3 Portfolio Analysis'!$D$107+AA328*'Part 3 Portfolio Analysis'!$E$107+AH328*'Part 3 Portfolio Analysis'!$F$107</f>
        <v>-2.35625E-2</v>
      </c>
      <c r="AL328" s="91">
        <f>F328*'Part 3 Portfolio Analysis'!$B$121+M328*'Part 3 Portfolio Analysis'!$C$121+'Part 3 Portfolio Analysis'!$D$121*T328+AA328*'Part 3 Portfolio Analysis'!$E$121+'Part 3 Portfolio Analysis'!$F$121*AH328</f>
        <v>-3.3389000000000002E-2</v>
      </c>
      <c r="AM328" s="91"/>
      <c r="AN328" s="90">
        <v>45128</v>
      </c>
      <c r="AO328" s="91">
        <v>19800.449219999999</v>
      </c>
      <c r="AP328" s="91">
        <v>19745</v>
      </c>
      <c r="AQ328" s="91">
        <v>19745</v>
      </c>
      <c r="AR328" s="91">
        <v>312500</v>
      </c>
      <c r="AS328" s="91">
        <v>-1.17E-2</v>
      </c>
    </row>
    <row r="329" spans="1:45" x14ac:dyDescent="0.55000000000000004">
      <c r="A329" s="90">
        <v>45131</v>
      </c>
      <c r="B329" s="91">
        <v>7379.0498049999997</v>
      </c>
      <c r="C329" s="91">
        <v>7256.7001950000003</v>
      </c>
      <c r="D329" s="91">
        <v>7106.2548829999996</v>
      </c>
      <c r="E329" s="91">
        <v>117088</v>
      </c>
      <c r="F329" s="91">
        <v>-7.4000000000000003E-3</v>
      </c>
      <c r="H329" s="90">
        <v>45131</v>
      </c>
      <c r="I329" s="91">
        <v>1240.5</v>
      </c>
      <c r="J329" s="91">
        <v>1243.6999510000001</v>
      </c>
      <c r="K329" s="91">
        <v>1230.216797</v>
      </c>
      <c r="L329" s="91">
        <v>23727866</v>
      </c>
      <c r="M329" s="91">
        <v>-2.0199999999999999E-2</v>
      </c>
      <c r="O329" s="90">
        <v>45131</v>
      </c>
      <c r="P329" s="91">
        <v>839.25</v>
      </c>
      <c r="Q329" s="91">
        <v>839.20001219999995</v>
      </c>
      <c r="R329" s="91">
        <v>816.85333249999996</v>
      </c>
      <c r="S329" s="91">
        <v>32179444</v>
      </c>
      <c r="T329" s="91">
        <v>1.6000000000000001E-3</v>
      </c>
      <c r="V329" s="90">
        <v>45131</v>
      </c>
      <c r="W329" s="91">
        <v>1341</v>
      </c>
      <c r="X329" s="91">
        <v>1336.599976</v>
      </c>
      <c r="Y329" s="91">
        <v>1242.308716</v>
      </c>
      <c r="Z329" s="91">
        <v>8859789</v>
      </c>
      <c r="AA329" s="91">
        <v>3.8E-3</v>
      </c>
      <c r="AB329" s="91"/>
      <c r="AC329" s="90">
        <v>45131</v>
      </c>
      <c r="AD329" s="91">
        <v>1725</v>
      </c>
      <c r="AE329" s="91">
        <v>1709.1999510000001</v>
      </c>
      <c r="AF329" s="91">
        <v>1706.549683</v>
      </c>
      <c r="AG329" s="91">
        <v>392933</v>
      </c>
      <c r="AH329" s="91">
        <v>-2.7000000000000001E-3</v>
      </c>
      <c r="AI329" s="91"/>
      <c r="AJ329" s="91">
        <f>(F329*'Part 3 Portfolio Analysis'!$B$8+M329*'Part 3 Portfolio Analysis'!$C$8+T329*'Part 3 Portfolio Analysis'!$D$8+AA329*'Part 3 Portfolio Analysis'!$E$8+AH329*'Part 3 Portfolio Analysis'!$F$8)/100</f>
        <v>-8.6900395090359298E-3</v>
      </c>
      <c r="AK329" s="91">
        <f>'Part 3 Portfolio Analysis'!$B$107*F329+M329*'Part 3 Portfolio Analysis'!$C$107+T329*'Part 3 Portfolio Analysis'!$D$107+AA329*'Part 3 Portfolio Analysis'!$E$107+AH329*'Part 3 Portfolio Analysis'!$F$107</f>
        <v>-7.7069999999999994E-3</v>
      </c>
      <c r="AL329" s="91">
        <f>F329*'Part 3 Portfolio Analysis'!$B$121+M329*'Part 3 Portfolio Analysis'!$C$121+'Part 3 Portfolio Analysis'!$D$121*T329+AA329*'Part 3 Portfolio Analysis'!$E$121+'Part 3 Portfolio Analysis'!$F$121*AH329</f>
        <v>-7.9597399999999981E-3</v>
      </c>
      <c r="AM329" s="91"/>
      <c r="AN329" s="90">
        <v>45131</v>
      </c>
      <c r="AO329" s="91">
        <v>19748.449219999999</v>
      </c>
      <c r="AP329" s="91">
        <v>19672.349610000001</v>
      </c>
      <c r="AQ329" s="91">
        <v>19672.349610000001</v>
      </c>
      <c r="AR329" s="91">
        <v>265600</v>
      </c>
      <c r="AS329" s="91">
        <v>-3.7000000000000002E-3</v>
      </c>
    </row>
    <row r="330" spans="1:45" x14ac:dyDescent="0.55000000000000004">
      <c r="A330" s="90">
        <v>45132</v>
      </c>
      <c r="B330" s="91">
        <v>7289.9501950000003</v>
      </c>
      <c r="C330" s="91">
        <v>7228.8500979999999</v>
      </c>
      <c r="D330" s="91">
        <v>7078.9819340000004</v>
      </c>
      <c r="E330" s="91">
        <v>113807</v>
      </c>
      <c r="F330" s="91">
        <v>-3.8E-3</v>
      </c>
      <c r="H330" s="90">
        <v>45132</v>
      </c>
      <c r="I330" s="91">
        <v>1247</v>
      </c>
      <c r="J330" s="91">
        <v>1242.900024</v>
      </c>
      <c r="K330" s="91">
        <v>1229.4255370000001</v>
      </c>
      <c r="L330" s="91">
        <v>12026020</v>
      </c>
      <c r="M330" s="91">
        <v>-5.9999999999999995E-4</v>
      </c>
      <c r="O330" s="90">
        <v>45132</v>
      </c>
      <c r="P330" s="91">
        <v>842.32501219999995</v>
      </c>
      <c r="Q330" s="91">
        <v>848.29998780000005</v>
      </c>
      <c r="R330" s="91">
        <v>825.71099849999996</v>
      </c>
      <c r="S330" s="91">
        <v>55992596</v>
      </c>
      <c r="T330" s="91">
        <v>1.0800000000000001E-2</v>
      </c>
      <c r="V330" s="90">
        <v>45132</v>
      </c>
      <c r="W330" s="91">
        <v>1337</v>
      </c>
      <c r="X330" s="91">
        <v>1334.599976</v>
      </c>
      <c r="Y330" s="91">
        <v>1240.449707</v>
      </c>
      <c r="Z330" s="91">
        <v>6801982</v>
      </c>
      <c r="AA330" s="91">
        <v>-1.5E-3</v>
      </c>
      <c r="AB330" s="91"/>
      <c r="AC330" s="90">
        <v>45132</v>
      </c>
      <c r="AD330" s="91">
        <v>1709</v>
      </c>
      <c r="AE330" s="91">
        <v>1709.4499510000001</v>
      </c>
      <c r="AF330" s="91">
        <v>1706.7993160000001</v>
      </c>
      <c r="AG330" s="91">
        <v>221128</v>
      </c>
      <c r="AH330" s="91">
        <v>1E-4</v>
      </c>
      <c r="AI330" s="91"/>
      <c r="AJ330" s="91">
        <f>(F330*'Part 3 Portfolio Analysis'!$B$8+M330*'Part 3 Portfolio Analysis'!$C$8+T330*'Part 3 Portfolio Analysis'!$D$8+AA330*'Part 3 Portfolio Analysis'!$E$8+AH330*'Part 3 Portfolio Analysis'!$F$8)/100</f>
        <v>2.0366608979696243E-4</v>
      </c>
      <c r="AK330" s="91">
        <f>'Part 3 Portfolio Analysis'!$B$107*F330+M330*'Part 3 Portfolio Analysis'!$C$107+T330*'Part 3 Portfolio Analysis'!$D$107+AA330*'Part 3 Portfolio Analysis'!$E$107+AH330*'Part 3 Portfolio Analysis'!$F$107</f>
        <v>6.7740000000000009E-4</v>
      </c>
      <c r="AL330" s="91">
        <f>F330*'Part 3 Portfolio Analysis'!$B$121+M330*'Part 3 Portfolio Analysis'!$C$121+'Part 3 Portfolio Analysis'!$D$121*T330+AA330*'Part 3 Portfolio Analysis'!$E$121+'Part 3 Portfolio Analysis'!$F$121*AH330</f>
        <v>2.0761000000000004E-3</v>
      </c>
      <c r="AM330" s="91"/>
      <c r="AN330" s="90">
        <v>45132</v>
      </c>
      <c r="AO330" s="91">
        <v>19729.349610000001</v>
      </c>
      <c r="AP330" s="91">
        <v>19680.599610000001</v>
      </c>
      <c r="AQ330" s="91">
        <v>19680.599610000001</v>
      </c>
      <c r="AR330" s="91">
        <v>369700</v>
      </c>
      <c r="AS330" s="91">
        <v>4.0000000000000002E-4</v>
      </c>
    </row>
    <row r="331" spans="1:45" x14ac:dyDescent="0.55000000000000004">
      <c r="A331" s="90">
        <v>45133</v>
      </c>
      <c r="B331" s="91">
        <v>7290</v>
      </c>
      <c r="C331" s="91">
        <v>7226.7001950000003</v>
      </c>
      <c r="D331" s="91">
        <v>7076.8764650000003</v>
      </c>
      <c r="E331" s="91">
        <v>93794</v>
      </c>
      <c r="F331" s="91">
        <v>-2.9999999999999997E-4</v>
      </c>
      <c r="H331" s="90">
        <v>45133</v>
      </c>
      <c r="I331" s="91">
        <v>1242.5</v>
      </c>
      <c r="J331" s="91">
        <v>1263.099976</v>
      </c>
      <c r="K331" s="91">
        <v>1249.4063719999999</v>
      </c>
      <c r="L331" s="91">
        <v>12911012</v>
      </c>
      <c r="M331" s="91">
        <v>1.6299999999999999E-2</v>
      </c>
      <c r="O331" s="90">
        <v>45133</v>
      </c>
      <c r="P331" s="91">
        <v>849.79998780000005</v>
      </c>
      <c r="Q331" s="91">
        <v>845.34997559999999</v>
      </c>
      <c r="R331" s="91">
        <v>822.83953859999997</v>
      </c>
      <c r="S331" s="91">
        <v>24794358</v>
      </c>
      <c r="T331" s="91">
        <v>-3.5000000000000001E-3</v>
      </c>
      <c r="V331" s="90">
        <v>45133</v>
      </c>
      <c r="W331" s="91">
        <v>1343</v>
      </c>
      <c r="X331" s="91">
        <v>1348.849976</v>
      </c>
      <c r="Y331" s="91">
        <v>1253.6945800000001</v>
      </c>
      <c r="Z331" s="91">
        <v>5528885</v>
      </c>
      <c r="AA331" s="91">
        <v>1.0699999999999999E-2</v>
      </c>
      <c r="AB331" s="91"/>
      <c r="AC331" s="90">
        <v>45133</v>
      </c>
      <c r="AD331" s="91">
        <v>1720</v>
      </c>
      <c r="AE331" s="91">
        <v>1706.599976</v>
      </c>
      <c r="AF331" s="91">
        <v>1703.9537350000001</v>
      </c>
      <c r="AG331" s="91">
        <v>273042</v>
      </c>
      <c r="AH331" s="91">
        <v>-1.6999999999999999E-3</v>
      </c>
      <c r="AI331" s="91"/>
      <c r="AJ331" s="91">
        <f>(F331*'Part 3 Portfolio Analysis'!$B$8+M331*'Part 3 Portfolio Analysis'!$C$8+T331*'Part 3 Portfolio Analysis'!$D$8+AA331*'Part 3 Portfolio Analysis'!$E$8+AH331*'Part 3 Portfolio Analysis'!$F$8)/100</f>
        <v>6.9399557975405287E-3</v>
      </c>
      <c r="AK331" s="91">
        <f>'Part 3 Portfolio Analysis'!$B$107*F331+M331*'Part 3 Portfolio Analysis'!$C$107+T331*'Part 3 Portfolio Analysis'!$D$107+AA331*'Part 3 Portfolio Analysis'!$E$107+AH331*'Part 3 Portfolio Analysis'!$F$107</f>
        <v>5.1469999999999997E-3</v>
      </c>
      <c r="AL331" s="91">
        <f>F331*'Part 3 Portfolio Analysis'!$B$121+M331*'Part 3 Portfolio Analysis'!$C$121+'Part 3 Portfolio Analysis'!$D$121*T331+AA331*'Part 3 Portfolio Analysis'!$E$121+'Part 3 Portfolio Analysis'!$F$121*AH331</f>
        <v>7.9582799999999999E-3</v>
      </c>
      <c r="AM331" s="91"/>
      <c r="AN331" s="90">
        <v>45133</v>
      </c>
      <c r="AO331" s="91">
        <v>19733.349610000001</v>
      </c>
      <c r="AP331" s="91">
        <v>19778.300780000001</v>
      </c>
      <c r="AQ331" s="91">
        <v>19778.300780000001</v>
      </c>
      <c r="AR331" s="91">
        <v>244700</v>
      </c>
      <c r="AS331" s="91">
        <v>5.0000000000000001E-3</v>
      </c>
    </row>
    <row r="332" spans="1:45" x14ac:dyDescent="0.55000000000000004">
      <c r="A332" s="90">
        <v>45134</v>
      </c>
      <c r="B332" s="91">
        <v>7254.0498049999997</v>
      </c>
      <c r="C332" s="91">
        <v>7231.0498049999997</v>
      </c>
      <c r="D332" s="91">
        <v>7081.1362300000001</v>
      </c>
      <c r="E332" s="91">
        <v>74652</v>
      </c>
      <c r="F332" s="91">
        <v>5.9999999999999995E-4</v>
      </c>
      <c r="H332" s="90">
        <v>45134</v>
      </c>
      <c r="I332" s="91">
        <v>1267.025024</v>
      </c>
      <c r="J332" s="91">
        <v>1251.349976</v>
      </c>
      <c r="K332" s="91">
        <v>1237.783813</v>
      </c>
      <c r="L332" s="91">
        <v>17226898</v>
      </c>
      <c r="M332" s="91">
        <v>-9.2999999999999992E-3</v>
      </c>
      <c r="O332" s="90">
        <v>45134</v>
      </c>
      <c r="P332" s="91">
        <v>849.95001219999995</v>
      </c>
      <c r="Q332" s="91">
        <v>836.57501219999995</v>
      </c>
      <c r="R332" s="91">
        <v>814.29821779999997</v>
      </c>
      <c r="S332" s="91">
        <v>59741302</v>
      </c>
      <c r="T332" s="91">
        <v>-1.04E-2</v>
      </c>
      <c r="V332" s="90">
        <v>45134</v>
      </c>
      <c r="W332" s="91">
        <v>1358.599976</v>
      </c>
      <c r="X332" s="91">
        <v>1353.150024</v>
      </c>
      <c r="Y332" s="91">
        <v>1257.691284</v>
      </c>
      <c r="Z332" s="91">
        <v>9191861</v>
      </c>
      <c r="AA332" s="91">
        <v>3.2000000000000002E-3</v>
      </c>
      <c r="AB332" s="91"/>
      <c r="AC332" s="90">
        <v>45134</v>
      </c>
      <c r="AD332" s="91">
        <v>1706.599976</v>
      </c>
      <c r="AE332" s="91">
        <v>1709.0500489999999</v>
      </c>
      <c r="AF332" s="91">
        <v>1706.400024</v>
      </c>
      <c r="AG332" s="91">
        <v>215362</v>
      </c>
      <c r="AH332" s="91">
        <v>1.4E-3</v>
      </c>
      <c r="AI332" s="91"/>
      <c r="AJ332" s="91">
        <f>(F332*'Part 3 Portfolio Analysis'!$B$8+M332*'Part 3 Portfolio Analysis'!$C$8+T332*'Part 3 Portfolio Analysis'!$D$8+AA332*'Part 3 Portfolio Analysis'!$E$8+AH332*'Part 3 Portfolio Analysis'!$F$8)/100</f>
        <v>-4.3972468610005552E-3</v>
      </c>
      <c r="AK332" s="91">
        <f>'Part 3 Portfolio Analysis'!$B$107*F332+M332*'Part 3 Portfolio Analysis'!$C$107+T332*'Part 3 Portfolio Analysis'!$D$107+AA332*'Part 3 Portfolio Analysis'!$E$107+AH332*'Part 3 Portfolio Analysis'!$F$107</f>
        <v>-3.7420999999999995E-3</v>
      </c>
      <c r="AL332" s="91">
        <f>F332*'Part 3 Portfolio Analysis'!$B$121+M332*'Part 3 Portfolio Analysis'!$C$121+'Part 3 Portfolio Analysis'!$D$121*T332+AA332*'Part 3 Portfolio Analysis'!$E$121+'Part 3 Portfolio Analysis'!$F$121*AH332</f>
        <v>-6.0050800000000003E-3</v>
      </c>
      <c r="AM332" s="91"/>
      <c r="AN332" s="90">
        <v>45134</v>
      </c>
      <c r="AO332" s="91">
        <v>19850.900389999999</v>
      </c>
      <c r="AP332" s="91">
        <v>19659.900389999999</v>
      </c>
      <c r="AQ332" s="91">
        <v>19659.900389999999</v>
      </c>
      <c r="AR332" s="91">
        <v>334900</v>
      </c>
      <c r="AS332" s="91">
        <v>-6.0000000000000001E-3</v>
      </c>
    </row>
    <row r="333" spans="1:45" x14ac:dyDescent="0.55000000000000004">
      <c r="A333" s="90">
        <v>45135</v>
      </c>
      <c r="B333" s="91">
        <v>7279.9501950000003</v>
      </c>
      <c r="C333" s="91">
        <v>7223.0498049999997</v>
      </c>
      <c r="D333" s="91">
        <v>7073.3017579999996</v>
      </c>
      <c r="E333" s="91">
        <v>53585</v>
      </c>
      <c r="F333" s="91">
        <v>-1.1000000000000001E-3</v>
      </c>
      <c r="H333" s="90">
        <v>45135</v>
      </c>
      <c r="I333" s="91">
        <v>1256.025024</v>
      </c>
      <c r="J333" s="91">
        <v>1263.9250489999999</v>
      </c>
      <c r="K333" s="91">
        <v>1250.222534</v>
      </c>
      <c r="L333" s="91">
        <v>20827852</v>
      </c>
      <c r="M333" s="91">
        <v>0.01</v>
      </c>
      <c r="O333" s="90">
        <v>45135</v>
      </c>
      <c r="P333" s="91">
        <v>830.75</v>
      </c>
      <c r="Q333" s="91">
        <v>821.75</v>
      </c>
      <c r="R333" s="91">
        <v>799.86804199999995</v>
      </c>
      <c r="S333" s="91">
        <v>41015684</v>
      </c>
      <c r="T333" s="91">
        <v>-1.77E-2</v>
      </c>
      <c r="V333" s="90">
        <v>45135</v>
      </c>
      <c r="W333" s="91">
        <v>1353.849976</v>
      </c>
      <c r="X333" s="91">
        <v>1340.5</v>
      </c>
      <c r="Y333" s="91">
        <v>1245.933716</v>
      </c>
      <c r="Z333" s="91">
        <v>6122735</v>
      </c>
      <c r="AA333" s="91">
        <v>-9.2999999999999992E-3</v>
      </c>
      <c r="AB333" s="91"/>
      <c r="AC333" s="90">
        <v>45135</v>
      </c>
      <c r="AD333" s="91">
        <v>1713.599976</v>
      </c>
      <c r="AE333" s="91">
        <v>1730.650024</v>
      </c>
      <c r="AF333" s="91">
        <v>1727.9664310000001</v>
      </c>
      <c r="AG333" s="91">
        <v>344569</v>
      </c>
      <c r="AH333" s="91">
        <v>1.26E-2</v>
      </c>
      <c r="AI333" s="91"/>
      <c r="AJ333" s="91">
        <f>(F333*'Part 3 Portfolio Analysis'!$B$8+M333*'Part 3 Portfolio Analysis'!$C$8+T333*'Part 3 Portfolio Analysis'!$D$8+AA333*'Part 3 Portfolio Analysis'!$E$8+AH333*'Part 3 Portfolio Analysis'!$F$8)/100</f>
        <v>-1.0313183492517406E-3</v>
      </c>
      <c r="AK333" s="91">
        <f>'Part 3 Portfolio Analysis'!$B$107*F333+M333*'Part 3 Portfolio Analysis'!$C$107+T333*'Part 3 Portfolio Analysis'!$D$107+AA333*'Part 3 Portfolio Analysis'!$E$107+AH333*'Part 3 Portfolio Analysis'!$F$107</f>
        <v>2.4337000000000004E-3</v>
      </c>
      <c r="AL333" s="91">
        <f>F333*'Part 3 Portfolio Analysis'!$B$121+M333*'Part 3 Portfolio Analysis'!$C$121+'Part 3 Portfolio Analysis'!$D$121*T333+AA333*'Part 3 Portfolio Analysis'!$E$121+'Part 3 Portfolio Analysis'!$F$121*AH333</f>
        <v>-2.2387000000000002E-3</v>
      </c>
      <c r="AM333" s="91"/>
      <c r="AN333" s="90">
        <v>45135</v>
      </c>
      <c r="AO333" s="91">
        <v>19659.75</v>
      </c>
      <c r="AP333" s="91">
        <v>19646.050780000001</v>
      </c>
      <c r="AQ333" s="91">
        <v>19646.050780000001</v>
      </c>
      <c r="AR333" s="91">
        <v>258700</v>
      </c>
      <c r="AS333" s="91">
        <v>-6.9999999999999999E-4</v>
      </c>
    </row>
    <row r="334" spans="1:45" x14ac:dyDescent="0.55000000000000004">
      <c r="A334" s="90">
        <v>45138</v>
      </c>
      <c r="B334" s="91">
        <v>7229.9501950000003</v>
      </c>
      <c r="C334" s="91">
        <v>7159.3999020000001</v>
      </c>
      <c r="D334" s="91">
        <v>7010.9716799999997</v>
      </c>
      <c r="E334" s="91">
        <v>141580</v>
      </c>
      <c r="F334" s="91">
        <v>-8.8000000000000005E-3</v>
      </c>
      <c r="H334" s="90">
        <v>45138</v>
      </c>
      <c r="I334" s="91">
        <v>1263.9250489999999</v>
      </c>
      <c r="J334" s="91">
        <v>1274.625</v>
      </c>
      <c r="K334" s="91">
        <v>1260.806519</v>
      </c>
      <c r="L334" s="91">
        <v>8551174</v>
      </c>
      <c r="M334" s="91">
        <v>8.5000000000000006E-3</v>
      </c>
      <c r="O334" s="90">
        <v>45138</v>
      </c>
      <c r="P334" s="91">
        <v>825.02502440000001</v>
      </c>
      <c r="Q334" s="91">
        <v>825.59997559999999</v>
      </c>
      <c r="R334" s="91">
        <v>803.61547849999999</v>
      </c>
      <c r="S334" s="91">
        <v>34565006</v>
      </c>
      <c r="T334" s="91">
        <v>4.7000000000000002E-3</v>
      </c>
      <c r="V334" s="90">
        <v>45138</v>
      </c>
      <c r="W334" s="91">
        <v>1348.75</v>
      </c>
      <c r="X334" s="91">
        <v>1355.6999510000001</v>
      </c>
      <c r="Y334" s="91">
        <v>1260.061279</v>
      </c>
      <c r="Z334" s="91">
        <v>7902180</v>
      </c>
      <c r="AA334" s="91">
        <v>1.1299999999999999E-2</v>
      </c>
      <c r="AB334" s="91"/>
      <c r="AC334" s="90">
        <v>45138</v>
      </c>
      <c r="AD334" s="91">
        <v>1739</v>
      </c>
      <c r="AE334" s="91">
        <v>1757.099976</v>
      </c>
      <c r="AF334" s="91">
        <v>1754.375366</v>
      </c>
      <c r="AG334" s="91">
        <v>346064</v>
      </c>
      <c r="AH334" s="91">
        <v>1.5299999999999999E-2</v>
      </c>
      <c r="AI334" s="91"/>
      <c r="AJ334" s="91">
        <f>(F334*'Part 3 Portfolio Analysis'!$B$8+M334*'Part 3 Portfolio Analysis'!$C$8+T334*'Part 3 Portfolio Analysis'!$D$8+AA334*'Part 3 Portfolio Analysis'!$E$8+AH334*'Part 3 Portfolio Analysis'!$F$8)/100</f>
        <v>3.1931861923257436E-3</v>
      </c>
      <c r="AK334" s="91">
        <f>'Part 3 Portfolio Analysis'!$B$107*F334+M334*'Part 3 Portfolio Analysis'!$C$107+T334*'Part 3 Portfolio Analysis'!$D$107+AA334*'Part 3 Portfolio Analysis'!$E$107+AH334*'Part 3 Portfolio Analysis'!$F$107</f>
        <v>6.7905999999999999E-3</v>
      </c>
      <c r="AL334" s="91">
        <f>F334*'Part 3 Portfolio Analysis'!$B$121+M334*'Part 3 Portfolio Analysis'!$C$121+'Part 3 Portfolio Analysis'!$D$121*T334+AA334*'Part 3 Portfolio Analysis'!$E$121+'Part 3 Portfolio Analysis'!$F$121*AH334</f>
        <v>6.7825000000000003E-3</v>
      </c>
      <c r="AM334" s="91"/>
      <c r="AN334" s="90">
        <v>45138</v>
      </c>
      <c r="AO334" s="91">
        <v>19666.349610000001</v>
      </c>
      <c r="AP334" s="91">
        <v>19753.800780000001</v>
      </c>
      <c r="AQ334" s="91">
        <v>19753.800780000001</v>
      </c>
      <c r="AR334" s="91">
        <v>295100</v>
      </c>
      <c r="AS334" s="91">
        <v>5.4999999999999997E-3</v>
      </c>
    </row>
    <row r="335" spans="1:45" x14ac:dyDescent="0.55000000000000004">
      <c r="A335" s="90">
        <v>45139</v>
      </c>
      <c r="B335" s="91">
        <v>7240</v>
      </c>
      <c r="C335" s="91">
        <v>7185.0498049999997</v>
      </c>
      <c r="D335" s="91">
        <v>7036.0898440000001</v>
      </c>
      <c r="E335" s="91">
        <v>105750</v>
      </c>
      <c r="F335" s="91">
        <v>3.5999999999999999E-3</v>
      </c>
      <c r="H335" s="90">
        <v>45139</v>
      </c>
      <c r="I335" s="91">
        <v>1277.5</v>
      </c>
      <c r="J335" s="91">
        <v>1256.599976</v>
      </c>
      <c r="K335" s="91">
        <v>1242.9769289999999</v>
      </c>
      <c r="L335" s="91">
        <v>9536632</v>
      </c>
      <c r="M335" s="91">
        <v>-1.41E-2</v>
      </c>
      <c r="O335" s="90">
        <v>45139</v>
      </c>
      <c r="P335" s="91">
        <v>827.22497559999999</v>
      </c>
      <c r="Q335" s="91">
        <v>831.125</v>
      </c>
      <c r="R335" s="91">
        <v>808.99340819999998</v>
      </c>
      <c r="S335" s="91">
        <v>35394188</v>
      </c>
      <c r="T335" s="91">
        <v>6.7000000000000002E-3</v>
      </c>
      <c r="V335" s="90">
        <v>45139</v>
      </c>
      <c r="W335" s="91">
        <v>1362</v>
      </c>
      <c r="X335" s="91">
        <v>1365.1999510000001</v>
      </c>
      <c r="Y335" s="91">
        <v>1268.890991</v>
      </c>
      <c r="Z335" s="91">
        <v>6064652</v>
      </c>
      <c r="AA335" s="91">
        <v>7.0000000000000001E-3</v>
      </c>
      <c r="AB335" s="91"/>
      <c r="AC335" s="90">
        <v>45139</v>
      </c>
      <c r="AD335" s="91">
        <v>1760</v>
      </c>
      <c r="AE335" s="91">
        <v>1707.599976</v>
      </c>
      <c r="AF335" s="91">
        <v>1704.9521480000001</v>
      </c>
      <c r="AG335" s="91">
        <v>260609</v>
      </c>
      <c r="AH335" s="91">
        <v>-2.8199999999999999E-2</v>
      </c>
      <c r="AI335" s="91"/>
      <c r="AJ335" s="91">
        <f>(F335*'Part 3 Portfolio Analysis'!$B$8+M335*'Part 3 Portfolio Analysis'!$C$8+T335*'Part 3 Portfolio Analysis'!$D$8+AA335*'Part 3 Portfolio Analysis'!$E$8+AH335*'Part 3 Portfolio Analysis'!$F$8)/100</f>
        <v>-2.062405221179401E-3</v>
      </c>
      <c r="AK335" s="91">
        <f>'Part 3 Portfolio Analysis'!$B$107*F335+M335*'Part 3 Portfolio Analysis'!$C$107+T335*'Part 3 Portfolio Analysis'!$D$107+AA335*'Part 3 Portfolio Analysis'!$E$107+AH335*'Part 3 Portfolio Analysis'!$F$107</f>
        <v>-9.1331999999999993E-3</v>
      </c>
      <c r="AL335" s="91">
        <f>F335*'Part 3 Portfolio Analysis'!$B$121+M335*'Part 3 Portfolio Analysis'!$C$121+'Part 3 Portfolio Analysis'!$D$121*T335+AA335*'Part 3 Portfolio Analysis'!$E$121+'Part 3 Portfolio Analysis'!$F$121*AH335</f>
        <v>-3.1368799999999999E-3</v>
      </c>
      <c r="AM335" s="91"/>
      <c r="AN335" s="90">
        <v>45139</v>
      </c>
      <c r="AO335" s="91">
        <v>19784</v>
      </c>
      <c r="AP335" s="91">
        <v>19733.550780000001</v>
      </c>
      <c r="AQ335" s="91">
        <v>19733.550780000001</v>
      </c>
      <c r="AR335" s="91">
        <v>298000</v>
      </c>
      <c r="AS335" s="91">
        <v>-1E-3</v>
      </c>
    </row>
    <row r="336" spans="1:45" x14ac:dyDescent="0.55000000000000004">
      <c r="A336" s="90">
        <v>45140</v>
      </c>
      <c r="B336" s="91">
        <v>7199</v>
      </c>
      <c r="C336" s="91">
        <v>7187.2001950000003</v>
      </c>
      <c r="D336" s="91">
        <v>7038.1953130000002</v>
      </c>
      <c r="E336" s="91">
        <v>81993</v>
      </c>
      <c r="F336" s="91">
        <v>2.9999999999999997E-4</v>
      </c>
      <c r="H336" s="90">
        <v>45140</v>
      </c>
      <c r="I336" s="91">
        <v>1254.599976</v>
      </c>
      <c r="J336" s="91">
        <v>1243.1750489999999</v>
      </c>
      <c r="K336" s="91">
        <v>1229.69751</v>
      </c>
      <c r="L336" s="91">
        <v>12748214</v>
      </c>
      <c r="M336" s="91">
        <v>-1.0699999999999999E-2</v>
      </c>
      <c r="O336" s="90">
        <v>45140</v>
      </c>
      <c r="P336" s="91">
        <v>821</v>
      </c>
      <c r="Q336" s="91">
        <v>820.25</v>
      </c>
      <c r="R336" s="91">
        <v>798.40795900000001</v>
      </c>
      <c r="S336" s="91">
        <v>28116322</v>
      </c>
      <c r="T336" s="91">
        <v>-1.3100000000000001E-2</v>
      </c>
      <c r="V336" s="90">
        <v>45140</v>
      </c>
      <c r="W336" s="91">
        <v>1369.3000489999999</v>
      </c>
      <c r="X336" s="91">
        <v>1356.849976</v>
      </c>
      <c r="Y336" s="91">
        <v>1261.130249</v>
      </c>
      <c r="Z336" s="91">
        <v>7419145</v>
      </c>
      <c r="AA336" s="91">
        <v>-6.1000000000000004E-3</v>
      </c>
      <c r="AB336" s="91"/>
      <c r="AC336" s="90">
        <v>45140</v>
      </c>
      <c r="AD336" s="91">
        <v>1707.599976</v>
      </c>
      <c r="AE336" s="91">
        <v>1690.900024</v>
      </c>
      <c r="AF336" s="91">
        <v>1688.2780760000001</v>
      </c>
      <c r="AG336" s="91">
        <v>752736</v>
      </c>
      <c r="AH336" s="91">
        <v>-9.7999999999999997E-3</v>
      </c>
      <c r="AI336" s="91"/>
      <c r="AJ336" s="91">
        <f>(F336*'Part 3 Portfolio Analysis'!$B$8+M336*'Part 3 Portfolio Analysis'!$C$8+T336*'Part 3 Portfolio Analysis'!$D$8+AA336*'Part 3 Portfolio Analysis'!$E$8+AH336*'Part 3 Portfolio Analysis'!$F$8)/100</f>
        <v>-7.0512598224055038E-3</v>
      </c>
      <c r="AK336" s="91">
        <f>'Part 3 Portfolio Analysis'!$B$107*F336+M336*'Part 3 Portfolio Analysis'!$C$107+T336*'Part 3 Portfolio Analysis'!$D$107+AA336*'Part 3 Portfolio Analysis'!$E$107+AH336*'Part 3 Portfolio Analysis'!$F$107</f>
        <v>-8.4051999999999998E-3</v>
      </c>
      <c r="AL336" s="91">
        <f>F336*'Part 3 Portfolio Analysis'!$B$121+M336*'Part 3 Portfolio Analysis'!$C$121+'Part 3 Portfolio Analysis'!$D$121*T336+AA336*'Part 3 Portfolio Analysis'!$E$121+'Part 3 Portfolio Analysis'!$F$121*AH336</f>
        <v>-9.5050199999999994E-3</v>
      </c>
      <c r="AM336" s="91"/>
      <c r="AN336" s="90">
        <v>45140</v>
      </c>
      <c r="AO336" s="91">
        <v>19655.400389999999</v>
      </c>
      <c r="AP336" s="91">
        <v>19526.550780000001</v>
      </c>
      <c r="AQ336" s="91">
        <v>19526.550780000001</v>
      </c>
      <c r="AR336" s="91">
        <v>290700</v>
      </c>
      <c r="AS336" s="91">
        <v>-1.0500000000000001E-2</v>
      </c>
    </row>
    <row r="337" spans="1:45" x14ac:dyDescent="0.55000000000000004">
      <c r="A337" s="90">
        <v>45141</v>
      </c>
      <c r="B337" s="91">
        <v>7187.2001950000003</v>
      </c>
      <c r="C337" s="91">
        <v>7168.8500979999999</v>
      </c>
      <c r="D337" s="91">
        <v>7020.2260740000002</v>
      </c>
      <c r="E337" s="91">
        <v>56859</v>
      </c>
      <c r="F337" s="91">
        <v>-2.5999999999999999E-3</v>
      </c>
      <c r="H337" s="90">
        <v>45141</v>
      </c>
      <c r="I337" s="91">
        <v>1237.650024</v>
      </c>
      <c r="J337" s="91">
        <v>1237.9499510000001</v>
      </c>
      <c r="K337" s="91">
        <v>1224.5291749999999</v>
      </c>
      <c r="L337" s="91">
        <v>10168350</v>
      </c>
      <c r="M337" s="91">
        <v>-4.1999999999999997E-3</v>
      </c>
      <c r="O337" s="90">
        <v>45141</v>
      </c>
      <c r="P337" s="91">
        <v>820</v>
      </c>
      <c r="Q337" s="91">
        <v>814.32501219999995</v>
      </c>
      <c r="R337" s="91">
        <v>792.6407471</v>
      </c>
      <c r="S337" s="91">
        <v>57673946</v>
      </c>
      <c r="T337" s="91">
        <v>-7.1999999999999998E-3</v>
      </c>
      <c r="V337" s="90">
        <v>45141</v>
      </c>
      <c r="W337" s="91">
        <v>1350</v>
      </c>
      <c r="X337" s="91">
        <v>1364.3000489999999</v>
      </c>
      <c r="Y337" s="91">
        <v>1268.0545649999999</v>
      </c>
      <c r="Z337" s="91">
        <v>6503741</v>
      </c>
      <c r="AA337" s="91">
        <v>5.4999999999999997E-3</v>
      </c>
      <c r="AB337" s="91"/>
      <c r="AC337" s="90">
        <v>45141</v>
      </c>
      <c r="AD337" s="91">
        <v>1689.5</v>
      </c>
      <c r="AE337" s="91">
        <v>1687.4499510000001</v>
      </c>
      <c r="AF337" s="91">
        <v>1684.833374</v>
      </c>
      <c r="AG337" s="91">
        <v>269065</v>
      </c>
      <c r="AH337" s="91">
        <v>-2E-3</v>
      </c>
      <c r="AI337" s="91"/>
      <c r="AJ337" s="91">
        <f>(F337*'Part 3 Portfolio Analysis'!$B$8+M337*'Part 3 Portfolio Analysis'!$C$8+T337*'Part 3 Portfolio Analysis'!$D$8+AA337*'Part 3 Portfolio Analysis'!$E$8+AH337*'Part 3 Portfolio Analysis'!$F$8)/100</f>
        <v>-2.637880560362803E-3</v>
      </c>
      <c r="AK337" s="91">
        <f>'Part 3 Portfolio Analysis'!$B$107*F337+M337*'Part 3 Portfolio Analysis'!$C$107+T337*'Part 3 Portfolio Analysis'!$D$107+AA337*'Part 3 Portfolio Analysis'!$E$107+AH337*'Part 3 Portfolio Analysis'!$F$107</f>
        <v>-2.8525999999999998E-3</v>
      </c>
      <c r="AL337" s="91">
        <f>F337*'Part 3 Portfolio Analysis'!$B$121+M337*'Part 3 Portfolio Analysis'!$C$121+'Part 3 Portfolio Analysis'!$D$121*T337+AA337*'Part 3 Portfolio Analysis'!$E$121+'Part 3 Portfolio Analysis'!$F$121*AH337</f>
        <v>-2.886839999999999E-3</v>
      </c>
      <c r="AM337" s="91"/>
      <c r="AN337" s="90">
        <v>45141</v>
      </c>
      <c r="AO337" s="91">
        <v>19463.75</v>
      </c>
      <c r="AP337" s="91">
        <v>19381.650389999999</v>
      </c>
      <c r="AQ337" s="91">
        <v>19381.650389999999</v>
      </c>
      <c r="AR337" s="91">
        <v>315700</v>
      </c>
      <c r="AS337" s="91">
        <v>-7.4000000000000003E-3</v>
      </c>
    </row>
    <row r="338" spans="1:45" x14ac:dyDescent="0.55000000000000004">
      <c r="A338" s="90">
        <v>45142</v>
      </c>
      <c r="B338" s="91">
        <v>7200</v>
      </c>
      <c r="C338" s="91">
        <v>7182.4501950000003</v>
      </c>
      <c r="D338" s="91">
        <v>7033.5439450000003</v>
      </c>
      <c r="E338" s="91">
        <v>76182</v>
      </c>
      <c r="F338" s="91">
        <v>1.9E-3</v>
      </c>
      <c r="H338" s="90">
        <v>45142</v>
      </c>
      <c r="I338" s="91">
        <v>1249.400024</v>
      </c>
      <c r="J338" s="91">
        <v>1254.775024</v>
      </c>
      <c r="K338" s="91">
        <v>1241.1716309999999</v>
      </c>
      <c r="L338" s="91">
        <v>22885610</v>
      </c>
      <c r="M338" s="91">
        <v>1.3599999999999999E-2</v>
      </c>
      <c r="O338" s="90">
        <v>45142</v>
      </c>
      <c r="P338" s="91">
        <v>817.57501219999995</v>
      </c>
      <c r="Q338" s="91">
        <v>826.09997559999999</v>
      </c>
      <c r="R338" s="91">
        <v>804.10217290000003</v>
      </c>
      <c r="S338" s="91">
        <v>37388304</v>
      </c>
      <c r="T338" s="91">
        <v>1.4500000000000001E-2</v>
      </c>
      <c r="V338" s="90">
        <v>45142</v>
      </c>
      <c r="W338" s="91">
        <v>1368.900024</v>
      </c>
      <c r="X338" s="91">
        <v>1378.349976</v>
      </c>
      <c r="Y338" s="91">
        <v>1281.1134030000001</v>
      </c>
      <c r="Z338" s="91">
        <v>5712345</v>
      </c>
      <c r="AA338" s="91">
        <v>1.03E-2</v>
      </c>
      <c r="AB338" s="91"/>
      <c r="AC338" s="90">
        <v>45142</v>
      </c>
      <c r="AD338" s="91">
        <v>1699</v>
      </c>
      <c r="AE338" s="91">
        <v>1700.9499510000001</v>
      </c>
      <c r="AF338" s="91">
        <v>1698.3123780000001</v>
      </c>
      <c r="AG338" s="91">
        <v>396908</v>
      </c>
      <c r="AH338" s="91">
        <v>8.0000000000000002E-3</v>
      </c>
      <c r="AI338" s="91"/>
      <c r="AJ338" s="91">
        <f>(F338*'Part 3 Portfolio Analysis'!$B$8+M338*'Part 3 Portfolio Analysis'!$C$8+T338*'Part 3 Portfolio Analysis'!$D$8+AA338*'Part 3 Portfolio Analysis'!$E$8+AH338*'Part 3 Portfolio Analysis'!$F$8)/100</f>
        <v>9.6543185076366205E-3</v>
      </c>
      <c r="AK338" s="91">
        <f>'Part 3 Portfolio Analysis'!$B$107*F338+M338*'Part 3 Portfolio Analysis'!$C$107+T338*'Part 3 Portfolio Analysis'!$D$107+AA338*'Part 3 Portfolio Analysis'!$E$107+AH338*'Part 3 Portfolio Analysis'!$F$107</f>
        <v>9.8922999999999997E-3</v>
      </c>
      <c r="AL338" s="91">
        <f>F338*'Part 3 Portfolio Analysis'!$B$121+M338*'Part 3 Portfolio Analysis'!$C$121+'Part 3 Portfolio Analysis'!$D$121*T338+AA338*'Part 3 Portfolio Analysis'!$E$121+'Part 3 Portfolio Analysis'!$F$121*AH338</f>
        <v>1.2076340000000001E-2</v>
      </c>
      <c r="AM338" s="91"/>
      <c r="AN338" s="90">
        <v>45142</v>
      </c>
      <c r="AO338" s="91">
        <v>19462.800780000001</v>
      </c>
      <c r="AP338" s="91">
        <v>19517</v>
      </c>
      <c r="AQ338" s="91">
        <v>19517</v>
      </c>
      <c r="AR338" s="91">
        <v>280800</v>
      </c>
      <c r="AS338" s="91">
        <v>7.0000000000000001E-3</v>
      </c>
    </row>
    <row r="339" spans="1:45" x14ac:dyDescent="0.55000000000000004">
      <c r="A339" s="90">
        <v>45145</v>
      </c>
      <c r="B339" s="91">
        <v>7221.7001950000003</v>
      </c>
      <c r="C339" s="91">
        <v>7177.8999020000001</v>
      </c>
      <c r="D339" s="91">
        <v>7029.0878910000001</v>
      </c>
      <c r="E339" s="91">
        <v>59673</v>
      </c>
      <c r="F339" s="91">
        <v>-5.9999999999999995E-4</v>
      </c>
      <c r="H339" s="90">
        <v>45145</v>
      </c>
      <c r="I339" s="91">
        <v>1260.5</v>
      </c>
      <c r="J339" s="91">
        <v>1261.9250489999999</v>
      </c>
      <c r="K339" s="91">
        <v>1248.2441409999999</v>
      </c>
      <c r="L339" s="91">
        <v>5982870</v>
      </c>
      <c r="M339" s="91">
        <v>5.7000000000000002E-3</v>
      </c>
      <c r="O339" s="90">
        <v>45145</v>
      </c>
      <c r="P339" s="91">
        <v>831.54998780000005</v>
      </c>
      <c r="Q339" s="91">
        <v>825.625</v>
      </c>
      <c r="R339" s="91">
        <v>803.63983150000001</v>
      </c>
      <c r="S339" s="91">
        <v>28300918</v>
      </c>
      <c r="T339" s="91">
        <v>-5.9999999999999995E-4</v>
      </c>
      <c r="V339" s="90">
        <v>45145</v>
      </c>
      <c r="W339" s="91">
        <v>1387.900024</v>
      </c>
      <c r="X339" s="91">
        <v>1393</v>
      </c>
      <c r="Y339" s="91">
        <v>1294.7298579999999</v>
      </c>
      <c r="Z339" s="91">
        <v>3729093</v>
      </c>
      <c r="AA339" s="91">
        <v>1.06E-2</v>
      </c>
      <c r="AB339" s="91"/>
      <c r="AC339" s="90">
        <v>45145</v>
      </c>
      <c r="AD339" s="91">
        <v>1710</v>
      </c>
      <c r="AE339" s="91">
        <v>1689.8000489999999</v>
      </c>
      <c r="AF339" s="91">
        <v>1687.1798100000001</v>
      </c>
      <c r="AG339" s="91">
        <v>395041</v>
      </c>
      <c r="AH339" s="91">
        <v>-6.6E-3</v>
      </c>
      <c r="AI339" s="91"/>
      <c r="AJ339" s="91">
        <f>(F339*'Part 3 Portfolio Analysis'!$B$8+M339*'Part 3 Portfolio Analysis'!$C$8+T339*'Part 3 Portfolio Analysis'!$D$8+AA339*'Part 3 Portfolio Analysis'!$E$8+AH339*'Part 3 Portfolio Analysis'!$F$8)/100</f>
        <v>3.427439239055096E-3</v>
      </c>
      <c r="AK339" s="91">
        <f>'Part 3 Portfolio Analysis'!$B$107*F339+M339*'Part 3 Portfolio Analysis'!$C$107+T339*'Part 3 Portfolio Analysis'!$D$107+AA339*'Part 3 Portfolio Analysis'!$E$107+AH339*'Part 3 Portfolio Analysis'!$F$107</f>
        <v>9.7989999999999969E-4</v>
      </c>
      <c r="AL339" s="91">
        <f>F339*'Part 3 Portfolio Analysis'!$B$121+M339*'Part 3 Portfolio Analysis'!$C$121+'Part 3 Portfolio Analysis'!$D$121*T339+AA339*'Part 3 Portfolio Analysis'!$E$121+'Part 3 Portfolio Analysis'!$F$121*AH339</f>
        <v>4.1262799999999995E-3</v>
      </c>
      <c r="AM339" s="91"/>
      <c r="AN339" s="90">
        <v>45145</v>
      </c>
      <c r="AO339" s="91">
        <v>19576.849610000001</v>
      </c>
      <c r="AP339" s="91">
        <v>19597.300780000001</v>
      </c>
      <c r="AQ339" s="91">
        <v>19597.300780000001</v>
      </c>
      <c r="AR339" s="91">
        <v>216600</v>
      </c>
      <c r="AS339" s="91">
        <v>4.1000000000000003E-3</v>
      </c>
    </row>
    <row r="340" spans="1:45" x14ac:dyDescent="0.55000000000000004">
      <c r="A340" s="90">
        <v>45146</v>
      </c>
      <c r="B340" s="91">
        <v>7177.8999020000001</v>
      </c>
      <c r="C340" s="91">
        <v>7162</v>
      </c>
      <c r="D340" s="91">
        <v>7013.5180659999996</v>
      </c>
      <c r="E340" s="91">
        <v>56597</v>
      </c>
      <c r="F340" s="91">
        <v>-2.2000000000000001E-3</v>
      </c>
      <c r="H340" s="90">
        <v>45146</v>
      </c>
      <c r="I340" s="91">
        <v>1264</v>
      </c>
      <c r="J340" s="91">
        <v>1254.3249510000001</v>
      </c>
      <c r="K340" s="91">
        <v>1240.7264399999999</v>
      </c>
      <c r="L340" s="91">
        <v>9844072</v>
      </c>
      <c r="M340" s="91">
        <v>-6.0000000000000001E-3</v>
      </c>
      <c r="O340" s="90">
        <v>45146</v>
      </c>
      <c r="P340" s="91">
        <v>825.84997559999999</v>
      </c>
      <c r="Q340" s="91">
        <v>824.95001219999995</v>
      </c>
      <c r="R340" s="91">
        <v>802.98284909999995</v>
      </c>
      <c r="S340" s="91">
        <v>43773828</v>
      </c>
      <c r="T340" s="91">
        <v>-8.0000000000000004E-4</v>
      </c>
      <c r="V340" s="90">
        <v>45146</v>
      </c>
      <c r="W340" s="91">
        <v>1392.849976</v>
      </c>
      <c r="X340" s="91">
        <v>1390.1999510000001</v>
      </c>
      <c r="Y340" s="91">
        <v>1292.127563</v>
      </c>
      <c r="Z340" s="91">
        <v>4161877</v>
      </c>
      <c r="AA340" s="91">
        <v>-2E-3</v>
      </c>
      <c r="AB340" s="91"/>
      <c r="AC340" s="90">
        <v>45146</v>
      </c>
      <c r="AD340" s="91">
        <v>1680</v>
      </c>
      <c r="AE340" s="91">
        <v>1713.6999510000001</v>
      </c>
      <c r="AF340" s="91">
        <v>1711.042725</v>
      </c>
      <c r="AG340" s="91">
        <v>322580</v>
      </c>
      <c r="AH340" s="91">
        <v>1.41E-2</v>
      </c>
      <c r="AI340" s="91"/>
      <c r="AJ340" s="91">
        <f>(F340*'Part 3 Portfolio Analysis'!$B$8+M340*'Part 3 Portfolio Analysis'!$C$8+T340*'Part 3 Portfolio Analysis'!$D$8+AA340*'Part 3 Portfolio Analysis'!$E$8+AH340*'Part 3 Portfolio Analysis'!$F$8)/100</f>
        <v>-3.1523903824050379E-3</v>
      </c>
      <c r="AK340" s="91">
        <f>'Part 3 Portfolio Analysis'!$B$107*F340+M340*'Part 3 Portfolio Analysis'!$C$107+T340*'Part 3 Portfolio Analysis'!$D$107+AA340*'Part 3 Portfolio Analysis'!$E$107+AH340*'Part 3 Portfolio Analysis'!$F$107</f>
        <v>9.551999999999998E-4</v>
      </c>
      <c r="AL340" s="91">
        <f>F340*'Part 3 Portfolio Analysis'!$B$121+M340*'Part 3 Portfolio Analysis'!$C$121+'Part 3 Portfolio Analysis'!$D$121*T340+AA340*'Part 3 Portfolio Analysis'!$E$121+'Part 3 Portfolio Analysis'!$F$121*AH340</f>
        <v>-2.9466200000000001E-3</v>
      </c>
      <c r="AM340" s="91"/>
      <c r="AN340" s="90">
        <v>45146</v>
      </c>
      <c r="AO340" s="91">
        <v>19627.199219999999</v>
      </c>
      <c r="AP340" s="91">
        <v>19570.849610000001</v>
      </c>
      <c r="AQ340" s="91">
        <v>19570.849610000001</v>
      </c>
      <c r="AR340" s="91">
        <v>260300</v>
      </c>
      <c r="AS340" s="91">
        <v>-1.2999999999999999E-3</v>
      </c>
    </row>
    <row r="341" spans="1:45" x14ac:dyDescent="0.55000000000000004">
      <c r="A341" s="90">
        <v>45147</v>
      </c>
      <c r="B341" s="91">
        <v>7187</v>
      </c>
      <c r="C341" s="91">
        <v>7159.9501950000003</v>
      </c>
      <c r="D341" s="91">
        <v>7011.5107420000004</v>
      </c>
      <c r="E341" s="91">
        <v>80609</v>
      </c>
      <c r="F341" s="91">
        <v>-2.9999999999999997E-4</v>
      </c>
      <c r="H341" s="90">
        <v>45147</v>
      </c>
      <c r="I341" s="91">
        <v>1252.4250489999999</v>
      </c>
      <c r="J341" s="91">
        <v>1262.599976</v>
      </c>
      <c r="K341" s="91">
        <v>1248.911865</v>
      </c>
      <c r="L341" s="91">
        <v>11486586</v>
      </c>
      <c r="M341" s="91">
        <v>6.6E-3</v>
      </c>
      <c r="O341" s="90">
        <v>45147</v>
      </c>
      <c r="P341" s="91">
        <v>826.5</v>
      </c>
      <c r="Q341" s="91">
        <v>825.25</v>
      </c>
      <c r="R341" s="91">
        <v>803.27478029999997</v>
      </c>
      <c r="S341" s="91">
        <v>33361236</v>
      </c>
      <c r="T341" s="91">
        <v>4.0000000000000002E-4</v>
      </c>
      <c r="V341" s="90">
        <v>45147</v>
      </c>
      <c r="W341" s="91">
        <v>1384</v>
      </c>
      <c r="X341" s="91">
        <v>1394.400024</v>
      </c>
      <c r="Y341" s="91">
        <v>1296.03125</v>
      </c>
      <c r="Z341" s="91">
        <v>4090828</v>
      </c>
      <c r="AA341" s="91">
        <v>3.0000000000000001E-3</v>
      </c>
      <c r="AB341" s="91"/>
      <c r="AC341" s="90">
        <v>45147</v>
      </c>
      <c r="AD341" s="91">
        <v>1721.849976</v>
      </c>
      <c r="AE341" s="91">
        <v>1787.900024</v>
      </c>
      <c r="AF341" s="91">
        <v>1785.127686</v>
      </c>
      <c r="AG341" s="91">
        <v>2491542</v>
      </c>
      <c r="AH341" s="91">
        <v>4.3299999999999998E-2</v>
      </c>
      <c r="AI341" s="91"/>
      <c r="AJ341" s="91">
        <f>(F341*'Part 3 Portfolio Analysis'!$B$8+M341*'Part 3 Portfolio Analysis'!$C$8+T341*'Part 3 Portfolio Analysis'!$D$8+AA341*'Part 3 Portfolio Analysis'!$E$8+AH341*'Part 3 Portfolio Analysis'!$F$8)/100</f>
        <v>3.2750914084193916E-3</v>
      </c>
      <c r="AK341" s="91">
        <f>'Part 3 Portfolio Analysis'!$B$107*F341+M341*'Part 3 Portfolio Analysis'!$C$107+T341*'Part 3 Portfolio Analysis'!$D$107+AA341*'Part 3 Portfolio Analysis'!$E$107+AH341*'Part 3 Portfolio Analysis'!$F$107</f>
        <v>1.3285400000000001E-2</v>
      </c>
      <c r="AL341" s="91">
        <f>F341*'Part 3 Portfolio Analysis'!$B$121+M341*'Part 3 Portfolio Analysis'!$C$121+'Part 3 Portfolio Analysis'!$D$121*T341+AA341*'Part 3 Portfolio Analysis'!$E$121+'Part 3 Portfolio Analysis'!$F$121*AH341</f>
        <v>4.5879600000000003E-3</v>
      </c>
      <c r="AM341" s="91"/>
      <c r="AN341" s="90">
        <v>45147</v>
      </c>
      <c r="AO341" s="91">
        <v>19578.800780000001</v>
      </c>
      <c r="AP341" s="91">
        <v>19632.550780000001</v>
      </c>
      <c r="AQ341" s="91">
        <v>19632.550780000001</v>
      </c>
      <c r="AR341" s="91">
        <v>266500</v>
      </c>
      <c r="AS341" s="91">
        <v>3.2000000000000002E-3</v>
      </c>
    </row>
    <row r="342" spans="1:45" x14ac:dyDescent="0.55000000000000004">
      <c r="A342" s="90">
        <v>45148</v>
      </c>
      <c r="B342" s="91">
        <v>7159.5</v>
      </c>
      <c r="C342" s="91">
        <v>7084.7998049999997</v>
      </c>
      <c r="D342" s="91">
        <v>6937.9179690000001</v>
      </c>
      <c r="E342" s="91">
        <v>104273</v>
      </c>
      <c r="F342" s="91">
        <v>-1.0500000000000001E-2</v>
      </c>
      <c r="H342" s="90">
        <v>45148</v>
      </c>
      <c r="I342" s="91">
        <v>1262.474976</v>
      </c>
      <c r="J342" s="91">
        <v>1268.224976</v>
      </c>
      <c r="K342" s="91">
        <v>1254.475952</v>
      </c>
      <c r="L342" s="91">
        <v>15470598</v>
      </c>
      <c r="M342" s="91">
        <v>4.4999999999999997E-3</v>
      </c>
      <c r="O342" s="90">
        <v>45148</v>
      </c>
      <c r="P342" s="91">
        <v>823.52502440000001</v>
      </c>
      <c r="Q342" s="91">
        <v>817.92498780000005</v>
      </c>
      <c r="R342" s="91">
        <v>796.14483640000003</v>
      </c>
      <c r="S342" s="91">
        <v>50781118</v>
      </c>
      <c r="T342" s="91">
        <v>-8.8999999999999999E-3</v>
      </c>
      <c r="V342" s="90">
        <v>45148</v>
      </c>
      <c r="W342" s="91">
        <v>1391.599976</v>
      </c>
      <c r="X342" s="91">
        <v>1389.099976</v>
      </c>
      <c r="Y342" s="91">
        <v>1291.105225</v>
      </c>
      <c r="Z342" s="91">
        <v>3873025</v>
      </c>
      <c r="AA342" s="91">
        <v>-3.8E-3</v>
      </c>
      <c r="AB342" s="91"/>
      <c r="AC342" s="90">
        <v>45148</v>
      </c>
      <c r="AD342" s="91">
        <v>1810</v>
      </c>
      <c r="AE342" s="91">
        <v>1895.4499510000001</v>
      </c>
      <c r="AF342" s="91">
        <v>1892.5108640000001</v>
      </c>
      <c r="AG342" s="91">
        <v>4043720</v>
      </c>
      <c r="AH342" s="91">
        <v>6.0199999999999997E-2</v>
      </c>
      <c r="AI342" s="91"/>
      <c r="AJ342" s="91">
        <f>(F342*'Part 3 Portfolio Analysis'!$B$8+M342*'Part 3 Portfolio Analysis'!$C$8+T342*'Part 3 Portfolio Analysis'!$D$8+AA342*'Part 3 Portfolio Analysis'!$E$8+AH342*'Part 3 Portfolio Analysis'!$F$8)/100</f>
        <v>-3.0266494739151729E-3</v>
      </c>
      <c r="AK342" s="91">
        <f>'Part 3 Portfolio Analysis'!$B$107*F342+M342*'Part 3 Portfolio Analysis'!$C$107+T342*'Part 3 Portfolio Analysis'!$D$107+AA342*'Part 3 Portfolio Analysis'!$E$107+AH342*'Part 3 Portfolio Analysis'!$F$107</f>
        <v>1.2929399999999999E-2</v>
      </c>
      <c r="AL342" s="91">
        <f>F342*'Part 3 Portfolio Analysis'!$B$121+M342*'Part 3 Portfolio Analysis'!$C$121+'Part 3 Portfolio Analysis'!$D$121*T342+AA342*'Part 3 Portfolio Analysis'!$E$121+'Part 3 Portfolio Analysis'!$F$121*AH342</f>
        <v>-5.7846000000000091E-4</v>
      </c>
      <c r="AM342" s="91"/>
      <c r="AN342" s="90">
        <v>45148</v>
      </c>
      <c r="AO342" s="91">
        <v>19605.550780000001</v>
      </c>
      <c r="AP342" s="91">
        <v>19543.099610000001</v>
      </c>
      <c r="AQ342" s="91">
        <v>19543.099610000001</v>
      </c>
      <c r="AR342" s="91">
        <v>312200</v>
      </c>
      <c r="AS342" s="91">
        <v>-4.5999999999999999E-3</v>
      </c>
    </row>
    <row r="343" spans="1:45" x14ac:dyDescent="0.55000000000000004">
      <c r="A343" s="90">
        <v>45149</v>
      </c>
      <c r="B343" s="91">
        <v>7094.7998049999997</v>
      </c>
      <c r="C343" s="91">
        <v>7113.75</v>
      </c>
      <c r="D343" s="91">
        <v>6966.2680659999996</v>
      </c>
      <c r="E343" s="91">
        <v>111517</v>
      </c>
      <c r="F343" s="91">
        <v>4.1000000000000003E-3</v>
      </c>
      <c r="H343" s="90">
        <v>45149</v>
      </c>
      <c r="I343" s="91">
        <v>1266.224976</v>
      </c>
      <c r="J343" s="91">
        <v>1273.5749510000001</v>
      </c>
      <c r="K343" s="91">
        <v>1259.767822</v>
      </c>
      <c r="L343" s="91">
        <v>22179330</v>
      </c>
      <c r="M343" s="91">
        <v>4.1999999999999997E-3</v>
      </c>
      <c r="O343" s="90">
        <v>45149</v>
      </c>
      <c r="P343" s="91">
        <v>819.20001219999995</v>
      </c>
      <c r="Q343" s="91">
        <v>809.40002440000001</v>
      </c>
      <c r="R343" s="91">
        <v>787.84692380000001</v>
      </c>
      <c r="S343" s="91">
        <v>28225822</v>
      </c>
      <c r="T343" s="91">
        <v>-1.04E-2</v>
      </c>
      <c r="V343" s="90">
        <v>45149</v>
      </c>
      <c r="W343" s="91">
        <v>1392</v>
      </c>
      <c r="X343" s="91">
        <v>1371.849976</v>
      </c>
      <c r="Y343" s="91">
        <v>1275.071899</v>
      </c>
      <c r="Z343" s="91">
        <v>5783517</v>
      </c>
      <c r="AA343" s="91">
        <v>-1.24E-2</v>
      </c>
      <c r="AB343" s="91"/>
      <c r="AC343" s="90">
        <v>45149</v>
      </c>
      <c r="AD343" s="91">
        <v>1893.8000489999999</v>
      </c>
      <c r="AE343" s="91">
        <v>1885.8000489999999</v>
      </c>
      <c r="AF343" s="91">
        <v>1882.8758539999999</v>
      </c>
      <c r="AG343" s="91">
        <v>697959</v>
      </c>
      <c r="AH343" s="91">
        <v>-5.1000000000000004E-3</v>
      </c>
      <c r="AI343" s="91"/>
      <c r="AJ343" s="91">
        <f>(F343*'Part 3 Portfolio Analysis'!$B$8+M343*'Part 3 Portfolio Analysis'!$C$8+T343*'Part 3 Portfolio Analysis'!$D$8+AA343*'Part 3 Portfolio Analysis'!$E$8+AH343*'Part 3 Portfolio Analysis'!$F$8)/100</f>
        <v>-1.0278571368372718E-3</v>
      </c>
      <c r="AK343" s="91">
        <f>'Part 3 Portfolio Analysis'!$B$107*F343+M343*'Part 3 Portfolio Analysis'!$C$107+T343*'Part 3 Portfolio Analysis'!$D$107+AA343*'Part 3 Portfolio Analysis'!$E$107+AH343*'Part 3 Portfolio Analysis'!$F$107</f>
        <v>-2.0845999999999998E-3</v>
      </c>
      <c r="AL343" s="91">
        <f>F343*'Part 3 Portfolio Analysis'!$B$121+M343*'Part 3 Portfolio Analysis'!$C$121+'Part 3 Portfolio Analysis'!$D$121*T343+AA343*'Part 3 Portfolio Analysis'!$E$121+'Part 3 Portfolio Analysis'!$F$121*AH343</f>
        <v>-3.3430800000000004E-3</v>
      </c>
      <c r="AM343" s="91"/>
      <c r="AN343" s="90">
        <v>45149</v>
      </c>
      <c r="AO343" s="91">
        <v>19554.25</v>
      </c>
      <c r="AP343" s="91">
        <v>19428.300780000001</v>
      </c>
      <c r="AQ343" s="91">
        <v>19428.300780000001</v>
      </c>
      <c r="AR343" s="91">
        <v>235500</v>
      </c>
      <c r="AS343" s="91">
        <v>-5.8999999999999999E-3</v>
      </c>
    </row>
    <row r="344" spans="1:45" x14ac:dyDescent="0.55000000000000004">
      <c r="A344" s="90">
        <v>45152</v>
      </c>
      <c r="B344" s="91">
        <v>7113</v>
      </c>
      <c r="C344" s="91">
        <v>7073.4501950000003</v>
      </c>
      <c r="D344" s="91">
        <v>6926.8037109999996</v>
      </c>
      <c r="E344" s="91">
        <v>101383</v>
      </c>
      <c r="F344" s="91">
        <v>-5.7000000000000002E-3</v>
      </c>
      <c r="H344" s="90">
        <v>45152</v>
      </c>
      <c r="I344" s="91">
        <v>1269.5</v>
      </c>
      <c r="J344" s="91">
        <v>1288.625</v>
      </c>
      <c r="K344" s="91">
        <v>1274.654663</v>
      </c>
      <c r="L344" s="91">
        <v>9575812</v>
      </c>
      <c r="M344" s="91">
        <v>1.18E-2</v>
      </c>
      <c r="O344" s="90">
        <v>45152</v>
      </c>
      <c r="P344" s="91">
        <v>805.5</v>
      </c>
      <c r="Q344" s="91">
        <v>805.45001219999995</v>
      </c>
      <c r="R344" s="91">
        <v>784.00207520000004</v>
      </c>
      <c r="S344" s="91">
        <v>31304410</v>
      </c>
      <c r="T344" s="91">
        <v>-4.8999999999999998E-3</v>
      </c>
      <c r="V344" s="90">
        <v>45152</v>
      </c>
      <c r="W344" s="91">
        <v>1371.849976</v>
      </c>
      <c r="X344" s="91">
        <v>1393.5500489999999</v>
      </c>
      <c r="Y344" s="91">
        <v>1295.241211</v>
      </c>
      <c r="Z344" s="91">
        <v>4304135</v>
      </c>
      <c r="AA344" s="91">
        <v>1.5800000000000002E-2</v>
      </c>
      <c r="AB344" s="91"/>
      <c r="AC344" s="90">
        <v>45152</v>
      </c>
      <c r="AD344" s="91">
        <v>1885</v>
      </c>
      <c r="AE344" s="91">
        <v>1929.599976</v>
      </c>
      <c r="AF344" s="91">
        <v>1926.6079099999999</v>
      </c>
      <c r="AG344" s="91">
        <v>1480009</v>
      </c>
      <c r="AH344" s="91">
        <v>2.3199999999999998E-2</v>
      </c>
      <c r="AI344" s="91"/>
      <c r="AJ344" s="91">
        <f>(F344*'Part 3 Portfolio Analysis'!$B$8+M344*'Part 3 Portfolio Analysis'!$C$8+T344*'Part 3 Portfolio Analysis'!$D$8+AA344*'Part 3 Portfolio Analysis'!$E$8+AH344*'Part 3 Portfolio Analysis'!$F$8)/100</f>
        <v>4.5193811859104297E-3</v>
      </c>
      <c r="AK344" s="91">
        <f>'Part 3 Portfolio Analysis'!$B$107*F344+M344*'Part 3 Portfolio Analysis'!$C$107+T344*'Part 3 Portfolio Analysis'!$D$107+AA344*'Part 3 Portfolio Analysis'!$E$107+AH344*'Part 3 Portfolio Analysis'!$F$107</f>
        <v>9.3343000000000002E-3</v>
      </c>
      <c r="AL344" s="91">
        <f>F344*'Part 3 Portfolio Analysis'!$B$121+M344*'Part 3 Portfolio Analysis'!$C$121+'Part 3 Portfolio Analysis'!$D$121*T344+AA344*'Part 3 Portfolio Analysis'!$E$121+'Part 3 Portfolio Analysis'!$F$121*AH344</f>
        <v>6.9177800000000001E-3</v>
      </c>
      <c r="AM344" s="91"/>
      <c r="AN344" s="90">
        <v>45152</v>
      </c>
      <c r="AO344" s="91">
        <v>19383.949219999999</v>
      </c>
      <c r="AP344" s="91">
        <v>19434.550780000001</v>
      </c>
      <c r="AQ344" s="91">
        <v>19434.550780000001</v>
      </c>
      <c r="AR344" s="91">
        <v>243900</v>
      </c>
      <c r="AS344" s="91">
        <v>2.9999999999999997E-4</v>
      </c>
    </row>
    <row r="345" spans="1:45" x14ac:dyDescent="0.55000000000000004">
      <c r="A345" s="90">
        <v>45154</v>
      </c>
      <c r="B345" s="91">
        <v>7070</v>
      </c>
      <c r="C345" s="91">
        <v>7065.6000979999999</v>
      </c>
      <c r="D345" s="91">
        <v>6919.1166990000002</v>
      </c>
      <c r="E345" s="91">
        <v>84469</v>
      </c>
      <c r="F345" s="91">
        <v>-1.1000000000000001E-3</v>
      </c>
      <c r="H345" s="90">
        <v>45154</v>
      </c>
      <c r="I345" s="91">
        <v>1275.5</v>
      </c>
      <c r="J345" s="91">
        <v>1287.5749510000001</v>
      </c>
      <c r="K345" s="91">
        <v>1273.6160890000001</v>
      </c>
      <c r="L345" s="91">
        <v>10203112</v>
      </c>
      <c r="M345" s="91">
        <v>-8.0000000000000004E-4</v>
      </c>
      <c r="O345" s="90">
        <v>45154</v>
      </c>
      <c r="P345" s="91">
        <v>791.54998780000005</v>
      </c>
      <c r="Q345" s="91">
        <v>803.09997559999999</v>
      </c>
      <c r="R345" s="91">
        <v>781.71459960000004</v>
      </c>
      <c r="S345" s="91">
        <v>34137542</v>
      </c>
      <c r="T345" s="91">
        <v>-2.8999999999999998E-3</v>
      </c>
      <c r="V345" s="90">
        <v>45154</v>
      </c>
      <c r="W345" s="91">
        <v>1410.8000489999999</v>
      </c>
      <c r="X345" s="91">
        <v>1418.5</v>
      </c>
      <c r="Y345" s="91">
        <v>1318.4311520000001</v>
      </c>
      <c r="Z345" s="91">
        <v>7735313</v>
      </c>
      <c r="AA345" s="91">
        <v>1.7899999999999999E-2</v>
      </c>
      <c r="AB345" s="91"/>
      <c r="AC345" s="90">
        <v>45154</v>
      </c>
      <c r="AD345" s="91">
        <v>1929</v>
      </c>
      <c r="AE345" s="91">
        <v>1956.5500489999999</v>
      </c>
      <c r="AF345" s="91">
        <v>1953.5162350000001</v>
      </c>
      <c r="AG345" s="91">
        <v>1232266</v>
      </c>
      <c r="AH345" s="91">
        <v>1.4E-2</v>
      </c>
      <c r="AI345" s="91"/>
      <c r="AJ345" s="91">
        <f>(F345*'Part 3 Portfolio Analysis'!$B$8+M345*'Part 3 Portfolio Analysis'!$C$8+T345*'Part 3 Portfolio Analysis'!$D$8+AA345*'Part 3 Portfolio Analysis'!$E$8+AH345*'Part 3 Portfolio Analysis'!$F$8)/100</f>
        <v>1.9138003188040628E-3</v>
      </c>
      <c r="AK345" s="91">
        <f>'Part 3 Portfolio Analysis'!$B$107*F345+M345*'Part 3 Portfolio Analysis'!$C$107+T345*'Part 3 Portfolio Analysis'!$D$107+AA345*'Part 3 Portfolio Analysis'!$E$107+AH345*'Part 3 Portfolio Analysis'!$F$107</f>
        <v>4.4200999999999997E-3</v>
      </c>
      <c r="AL345" s="91">
        <f>F345*'Part 3 Portfolio Analysis'!$B$121+M345*'Part 3 Portfolio Analysis'!$C$121+'Part 3 Portfolio Analysis'!$D$121*T345+AA345*'Part 3 Portfolio Analysis'!$E$121+'Part 3 Portfolio Analysis'!$F$121*AH345</f>
        <v>2.7318999999999998E-3</v>
      </c>
      <c r="AM345" s="91"/>
      <c r="AN345" s="90">
        <v>45154</v>
      </c>
      <c r="AO345" s="91">
        <v>19369</v>
      </c>
      <c r="AP345" s="91">
        <v>19465</v>
      </c>
      <c r="AQ345" s="91">
        <v>19465</v>
      </c>
      <c r="AR345" s="91">
        <v>0</v>
      </c>
      <c r="AS345" s="91">
        <v>1.6000000000000001E-3</v>
      </c>
    </row>
    <row r="346" spans="1:45" x14ac:dyDescent="0.55000000000000004">
      <c r="A346" s="90">
        <v>45155</v>
      </c>
      <c r="B346" s="91">
        <v>7075.1499020000001</v>
      </c>
      <c r="C346" s="91">
        <v>7080.2001950000003</v>
      </c>
      <c r="D346" s="91">
        <v>6933.4135740000002</v>
      </c>
      <c r="E346" s="91">
        <v>59336</v>
      </c>
      <c r="F346" s="91">
        <v>2.0999999999999999E-3</v>
      </c>
      <c r="H346" s="90">
        <v>45155</v>
      </c>
      <c r="I346" s="91">
        <v>1283.5500489999999</v>
      </c>
      <c r="J346" s="91">
        <v>1269</v>
      </c>
      <c r="K346" s="91">
        <v>1255.2425539999999</v>
      </c>
      <c r="L346" s="91">
        <v>13673744</v>
      </c>
      <c r="M346" s="91">
        <v>-1.44E-2</v>
      </c>
      <c r="O346" s="90">
        <v>45155</v>
      </c>
      <c r="P346" s="91">
        <v>798.79998780000005</v>
      </c>
      <c r="Q346" s="91">
        <v>798.65002440000001</v>
      </c>
      <c r="R346" s="91">
        <v>777.38311769999996</v>
      </c>
      <c r="S346" s="91">
        <v>52884040</v>
      </c>
      <c r="T346" s="91">
        <v>-5.4999999999999997E-3</v>
      </c>
      <c r="V346" s="90">
        <v>45155</v>
      </c>
      <c r="W346" s="91">
        <v>1420</v>
      </c>
      <c r="X346" s="91">
        <v>1411.5500489999999</v>
      </c>
      <c r="Y346" s="91">
        <v>1311.971436</v>
      </c>
      <c r="Z346" s="91">
        <v>5618346</v>
      </c>
      <c r="AA346" s="91">
        <v>-4.8999999999999998E-3</v>
      </c>
      <c r="AB346" s="91"/>
      <c r="AC346" s="90">
        <v>45155</v>
      </c>
      <c r="AD346" s="91">
        <v>1965</v>
      </c>
      <c r="AE346" s="91">
        <v>1974.8000489999999</v>
      </c>
      <c r="AF346" s="91">
        <v>1971.7379149999999</v>
      </c>
      <c r="AG346" s="91">
        <v>969098</v>
      </c>
      <c r="AH346" s="91">
        <v>9.2999999999999992E-3</v>
      </c>
      <c r="AI346" s="91"/>
      <c r="AJ346" s="91">
        <f>(F346*'Part 3 Portfolio Analysis'!$B$8+M346*'Part 3 Portfolio Analysis'!$C$8+T346*'Part 3 Portfolio Analysis'!$D$8+AA346*'Part 3 Portfolio Analysis'!$E$8+AH346*'Part 3 Portfolio Analysis'!$F$8)/100</f>
        <v>-6.2048638078922172E-3</v>
      </c>
      <c r="AK346" s="91">
        <f>'Part 3 Portfolio Analysis'!$B$107*F346+M346*'Part 3 Portfolio Analysis'!$C$107+T346*'Part 3 Portfolio Analysis'!$D$107+AA346*'Part 3 Portfolio Analysis'!$E$107+AH346*'Part 3 Portfolio Analysis'!$F$107</f>
        <v>-3.1281000000000004E-3</v>
      </c>
      <c r="AL346" s="91">
        <f>F346*'Part 3 Portfolio Analysis'!$B$121+M346*'Part 3 Portfolio Analysis'!$C$121+'Part 3 Portfolio Analysis'!$D$121*T346+AA346*'Part 3 Portfolio Analysis'!$E$121+'Part 3 Portfolio Analysis'!$F$121*AH346</f>
        <v>-8.1019599999999983E-3</v>
      </c>
      <c r="AM346" s="91"/>
      <c r="AN346" s="90">
        <v>45155</v>
      </c>
      <c r="AO346" s="91">
        <v>19450.550780000001</v>
      </c>
      <c r="AP346" s="91">
        <v>19365.25</v>
      </c>
      <c r="AQ346" s="91">
        <v>19365.25</v>
      </c>
      <c r="AR346" s="91">
        <v>268700</v>
      </c>
      <c r="AS346" s="91">
        <v>-5.1000000000000004E-3</v>
      </c>
    </row>
    <row r="347" spans="1:45" x14ac:dyDescent="0.55000000000000004">
      <c r="A347" s="90">
        <v>45156</v>
      </c>
      <c r="B347" s="91">
        <v>7080</v>
      </c>
      <c r="C347" s="91">
        <v>7008.1499020000001</v>
      </c>
      <c r="D347" s="91">
        <v>6862.857422</v>
      </c>
      <c r="E347" s="91">
        <v>87087</v>
      </c>
      <c r="F347" s="91">
        <v>-1.0200000000000001E-2</v>
      </c>
      <c r="H347" s="90">
        <v>45156</v>
      </c>
      <c r="I347" s="91">
        <v>1265.625</v>
      </c>
      <c r="J347" s="91">
        <v>1278.400024</v>
      </c>
      <c r="K347" s="91">
        <v>1264.5405270000001</v>
      </c>
      <c r="L347" s="91">
        <v>18639978</v>
      </c>
      <c r="M347" s="91">
        <v>7.4000000000000003E-3</v>
      </c>
      <c r="O347" s="90">
        <v>45156</v>
      </c>
      <c r="P347" s="91">
        <v>793.77502440000001</v>
      </c>
      <c r="Q347" s="91">
        <v>795.375</v>
      </c>
      <c r="R347" s="91">
        <v>774.1953125</v>
      </c>
      <c r="S347" s="91">
        <v>25633366</v>
      </c>
      <c r="T347" s="91">
        <v>-4.1000000000000003E-3</v>
      </c>
      <c r="V347" s="90">
        <v>45156</v>
      </c>
      <c r="W347" s="91">
        <v>1403.6999510000001</v>
      </c>
      <c r="X347" s="91">
        <v>1388.8000489999999</v>
      </c>
      <c r="Y347" s="91">
        <v>1290.826294</v>
      </c>
      <c r="Z347" s="91">
        <v>5134103</v>
      </c>
      <c r="AA347" s="91">
        <v>-1.61E-2</v>
      </c>
      <c r="AB347" s="91"/>
      <c r="AC347" s="90">
        <v>45156</v>
      </c>
      <c r="AD347" s="91">
        <v>1979.1999510000001</v>
      </c>
      <c r="AE347" s="91">
        <v>1974</v>
      </c>
      <c r="AF347" s="91">
        <v>1970.939087</v>
      </c>
      <c r="AG347" s="91">
        <v>1571201</v>
      </c>
      <c r="AH347" s="91">
        <v>-4.0000000000000002E-4</v>
      </c>
      <c r="AI347" s="91"/>
      <c r="AJ347" s="91">
        <f>(F347*'Part 3 Portfolio Analysis'!$B$8+M347*'Part 3 Portfolio Analysis'!$C$8+T347*'Part 3 Portfolio Analysis'!$D$8+AA347*'Part 3 Portfolio Analysis'!$E$8+AH347*'Part 3 Portfolio Analysis'!$F$8)/100</f>
        <v>-3.6565190025530485E-3</v>
      </c>
      <c r="AK347" s="91">
        <f>'Part 3 Portfolio Analysis'!$B$107*F347+M347*'Part 3 Portfolio Analysis'!$C$107+T347*'Part 3 Portfolio Analysis'!$D$107+AA347*'Part 3 Portfolio Analysis'!$E$107+AH347*'Part 3 Portfolio Analysis'!$F$107</f>
        <v>-1.8661000000000001E-3</v>
      </c>
      <c r="AL347" s="91">
        <f>F347*'Part 3 Portfolio Analysis'!$B$121+M347*'Part 3 Portfolio Analysis'!$C$121+'Part 3 Portfolio Analysis'!$D$121*T347+AA347*'Part 3 Portfolio Analysis'!$E$121+'Part 3 Portfolio Analysis'!$F$121*AH347</f>
        <v>-2.0790800000000009E-3</v>
      </c>
      <c r="AM347" s="91"/>
      <c r="AN347" s="90">
        <v>45156</v>
      </c>
      <c r="AO347" s="91">
        <v>19301.75</v>
      </c>
      <c r="AP347" s="91">
        <v>19310.150389999999</v>
      </c>
      <c r="AQ347" s="91">
        <v>19310.150389999999</v>
      </c>
      <c r="AR347" s="91">
        <v>256100</v>
      </c>
      <c r="AS347" s="91">
        <v>-2.8E-3</v>
      </c>
    </row>
    <row r="348" spans="1:45" x14ac:dyDescent="0.55000000000000004">
      <c r="A348" s="90">
        <v>45159</v>
      </c>
      <c r="B348" s="91">
        <v>7010</v>
      </c>
      <c r="C348" s="91">
        <v>7016.7998049999997</v>
      </c>
      <c r="D348" s="91">
        <v>6871.328125</v>
      </c>
      <c r="E348" s="91">
        <v>54283</v>
      </c>
      <c r="F348" s="91">
        <v>1.1999999999999999E-3</v>
      </c>
      <c r="H348" s="90">
        <v>45159</v>
      </c>
      <c r="I348" s="91">
        <v>1269.974976</v>
      </c>
      <c r="J348" s="91">
        <v>1260</v>
      </c>
      <c r="K348" s="91">
        <v>1250.7426760000001</v>
      </c>
      <c r="L348" s="91">
        <v>9221746</v>
      </c>
      <c r="M348" s="91">
        <v>-1.09E-2</v>
      </c>
      <c r="O348" s="90">
        <v>45159</v>
      </c>
      <c r="P348" s="91">
        <v>800.25</v>
      </c>
      <c r="Q348" s="91">
        <v>794.75</v>
      </c>
      <c r="R348" s="91">
        <v>773.58697510000002</v>
      </c>
      <c r="S348" s="91">
        <v>21837270</v>
      </c>
      <c r="T348" s="91">
        <v>-8.0000000000000004E-4</v>
      </c>
      <c r="V348" s="90">
        <v>45159</v>
      </c>
      <c r="W348" s="91">
        <v>1389.75</v>
      </c>
      <c r="X348" s="91">
        <v>1405.400024</v>
      </c>
      <c r="Y348" s="91">
        <v>1306.255371</v>
      </c>
      <c r="Z348" s="91">
        <v>3032722</v>
      </c>
      <c r="AA348" s="91">
        <v>1.2E-2</v>
      </c>
      <c r="AB348" s="91"/>
      <c r="AC348" s="90">
        <v>45159</v>
      </c>
      <c r="AD348" s="91">
        <v>1973.9499510000001</v>
      </c>
      <c r="AE348" s="91">
        <v>1999.9499510000001</v>
      </c>
      <c r="AF348" s="91">
        <v>1996.848755</v>
      </c>
      <c r="AG348" s="91">
        <v>1066063</v>
      </c>
      <c r="AH348" s="91">
        <v>1.3100000000000001E-2</v>
      </c>
      <c r="AI348" s="91"/>
      <c r="AJ348" s="91">
        <f>(F348*'Part 3 Portfolio Analysis'!$B$8+M348*'Part 3 Portfolio Analysis'!$C$8+T348*'Part 3 Portfolio Analysis'!$D$8+AA348*'Part 3 Portfolio Analysis'!$E$8+AH348*'Part 3 Portfolio Analysis'!$F$8)/100</f>
        <v>-1.6652466517581449E-3</v>
      </c>
      <c r="AK348" s="91">
        <f>'Part 3 Portfolio Analysis'!$B$107*F348+M348*'Part 3 Portfolio Analysis'!$C$107+T348*'Part 3 Portfolio Analysis'!$D$107+AA348*'Part 3 Portfolio Analysis'!$E$107+AH348*'Part 3 Portfolio Analysis'!$F$107</f>
        <v>1.1815000000000003E-3</v>
      </c>
      <c r="AL348" s="91">
        <f>F348*'Part 3 Portfolio Analysis'!$B$121+M348*'Part 3 Portfolio Analysis'!$C$121+'Part 3 Portfolio Analysis'!$D$121*T348+AA348*'Part 3 Portfolio Analysis'!$E$121+'Part 3 Portfolio Analysis'!$F$121*AH348</f>
        <v>-1.9493799999999997E-3</v>
      </c>
      <c r="AM348" s="91"/>
      <c r="AN348" s="90">
        <v>45159</v>
      </c>
      <c r="AO348" s="91">
        <v>19320.650389999999</v>
      </c>
      <c r="AP348" s="91">
        <v>19393.599610000001</v>
      </c>
      <c r="AQ348" s="91">
        <v>19393.599610000001</v>
      </c>
      <c r="AR348" s="91">
        <v>262600</v>
      </c>
      <c r="AS348" s="91">
        <v>4.3E-3</v>
      </c>
    </row>
    <row r="349" spans="1:45" x14ac:dyDescent="0.55000000000000004">
      <c r="A349" s="90">
        <v>45160</v>
      </c>
      <c r="B349" s="91">
        <v>7016.7998049999997</v>
      </c>
      <c r="C349" s="91">
        <v>7024.0498049999997</v>
      </c>
      <c r="D349" s="91">
        <v>6878.4277339999999</v>
      </c>
      <c r="E349" s="91">
        <v>48289</v>
      </c>
      <c r="F349" s="91">
        <v>1E-3</v>
      </c>
      <c r="H349" s="90">
        <v>45160</v>
      </c>
      <c r="I349" s="91">
        <v>1258.4499510000001</v>
      </c>
      <c r="J349" s="91">
        <v>1259.6999510000001</v>
      </c>
      <c r="K349" s="91">
        <v>1250.4448239999999</v>
      </c>
      <c r="L349" s="91">
        <v>7713044</v>
      </c>
      <c r="M349" s="91">
        <v>-2.0000000000000001E-4</v>
      </c>
      <c r="O349" s="90">
        <v>45160</v>
      </c>
      <c r="P349" s="91">
        <v>798.17498780000005</v>
      </c>
      <c r="Q349" s="91">
        <v>791.34997559999999</v>
      </c>
      <c r="R349" s="91">
        <v>770.27746579999996</v>
      </c>
      <c r="S349" s="91">
        <v>32273570</v>
      </c>
      <c r="T349" s="91">
        <v>-4.3E-3</v>
      </c>
      <c r="V349" s="90">
        <v>45160</v>
      </c>
      <c r="W349" s="91">
        <v>1404.6999510000001</v>
      </c>
      <c r="X349" s="91">
        <v>1403.75</v>
      </c>
      <c r="Y349" s="91">
        <v>1304.721558</v>
      </c>
      <c r="Z349" s="91">
        <v>2890714</v>
      </c>
      <c r="AA349" s="91">
        <v>-1.1999999999999999E-3</v>
      </c>
      <c r="AB349" s="91"/>
      <c r="AC349" s="90">
        <v>45160</v>
      </c>
      <c r="AD349" s="91">
        <v>1999.9499510000001</v>
      </c>
      <c r="AE349" s="91">
        <v>2027.849976</v>
      </c>
      <c r="AF349" s="91">
        <v>2024.7055660000001</v>
      </c>
      <c r="AG349" s="91">
        <v>647887</v>
      </c>
      <c r="AH349" s="91">
        <v>1.4E-2</v>
      </c>
      <c r="AI349" s="91"/>
      <c r="AJ349" s="91">
        <f>(F349*'Part 3 Portfolio Analysis'!$B$8+M349*'Part 3 Portfolio Analysis'!$C$8+T349*'Part 3 Portfolio Analysis'!$D$8+AA349*'Part 3 Portfolio Analysis'!$E$8+AH349*'Part 3 Portfolio Analysis'!$F$8)/100</f>
        <v>-5.4608056704693567E-4</v>
      </c>
      <c r="AK349" s="91">
        <f>'Part 3 Portfolio Analysis'!$B$107*F349+M349*'Part 3 Portfolio Analysis'!$C$107+T349*'Part 3 Portfolio Analysis'!$D$107+AA349*'Part 3 Portfolio Analysis'!$E$107+AH349*'Part 3 Portfolio Analysis'!$F$107</f>
        <v>2.8588999999999997E-3</v>
      </c>
      <c r="AL349" s="91">
        <f>F349*'Part 3 Portfolio Analysis'!$B$121+M349*'Part 3 Portfolio Analysis'!$C$121+'Part 3 Portfolio Analysis'!$D$121*T349+AA349*'Part 3 Portfolio Analysis'!$E$121+'Part 3 Portfolio Analysis'!$F$121*AH349</f>
        <v>-1.04452E-3</v>
      </c>
      <c r="AM349" s="91"/>
      <c r="AN349" s="90">
        <v>45160</v>
      </c>
      <c r="AO349" s="91">
        <v>19417.099610000001</v>
      </c>
      <c r="AP349" s="91">
        <v>19396.449219999999</v>
      </c>
      <c r="AQ349" s="91">
        <v>19396.449219999999</v>
      </c>
      <c r="AR349" s="91">
        <v>208700</v>
      </c>
      <c r="AS349" s="91">
        <v>1E-4</v>
      </c>
    </row>
    <row r="350" spans="1:45" x14ac:dyDescent="0.55000000000000004">
      <c r="A350" s="90">
        <v>45161</v>
      </c>
      <c r="B350" s="91">
        <v>7024.0498049999997</v>
      </c>
      <c r="C350" s="91">
        <v>7106.75</v>
      </c>
      <c r="D350" s="91">
        <v>6959.4130859999996</v>
      </c>
      <c r="E350" s="91">
        <v>149840</v>
      </c>
      <c r="F350" s="91">
        <v>1.18E-2</v>
      </c>
      <c r="H350" s="90">
        <v>45161</v>
      </c>
      <c r="I350" s="91">
        <v>1262.099976</v>
      </c>
      <c r="J350" s="91">
        <v>1261.099976</v>
      </c>
      <c r="K350" s="91">
        <v>1251.834595</v>
      </c>
      <c r="L350" s="91">
        <v>9517952</v>
      </c>
      <c r="M350" s="91">
        <v>1.1000000000000001E-3</v>
      </c>
      <c r="O350" s="90">
        <v>45161</v>
      </c>
      <c r="P350" s="91">
        <v>790</v>
      </c>
      <c r="Q350" s="91">
        <v>793.29998780000005</v>
      </c>
      <c r="R350" s="91">
        <v>772.1755981</v>
      </c>
      <c r="S350" s="91">
        <v>36498588</v>
      </c>
      <c r="T350" s="91">
        <v>2.5000000000000001E-3</v>
      </c>
      <c r="V350" s="90">
        <v>45161</v>
      </c>
      <c r="W350" s="91">
        <v>1416</v>
      </c>
      <c r="X350" s="91">
        <v>1407.9499510000001</v>
      </c>
      <c r="Y350" s="91">
        <v>1308.6251219999999</v>
      </c>
      <c r="Z350" s="91">
        <v>2559125</v>
      </c>
      <c r="AA350" s="91">
        <v>3.0000000000000001E-3</v>
      </c>
      <c r="AB350" s="91"/>
      <c r="AC350" s="90">
        <v>45161</v>
      </c>
      <c r="AD350" s="91">
        <v>2035.8000489999999</v>
      </c>
      <c r="AE350" s="91">
        <v>2050.9499510000001</v>
      </c>
      <c r="AF350" s="91">
        <v>2047.7696530000001</v>
      </c>
      <c r="AG350" s="91">
        <v>707284</v>
      </c>
      <c r="AH350" s="91">
        <v>1.14E-2</v>
      </c>
      <c r="AI350" s="91"/>
      <c r="AJ350" s="91">
        <f>(F350*'Part 3 Portfolio Analysis'!$B$8+M350*'Part 3 Portfolio Analysis'!$C$8+T350*'Part 3 Portfolio Analysis'!$D$8+AA350*'Part 3 Portfolio Analysis'!$E$8+AH350*'Part 3 Portfolio Analysis'!$F$8)/100</f>
        <v>4.9499796104894387E-3</v>
      </c>
      <c r="AK350" s="91">
        <f>'Part 3 Portfolio Analysis'!$B$107*F350+M350*'Part 3 Portfolio Analysis'!$C$107+T350*'Part 3 Portfolio Analysis'!$D$107+AA350*'Part 3 Portfolio Analysis'!$E$107+AH350*'Part 3 Portfolio Analysis'!$F$107</f>
        <v>6.0286000000000003E-3</v>
      </c>
      <c r="AL350" s="91">
        <f>F350*'Part 3 Portfolio Analysis'!$B$121+M350*'Part 3 Portfolio Analysis'!$C$121+'Part 3 Portfolio Analysis'!$D$121*T350+AA350*'Part 3 Portfolio Analysis'!$E$121+'Part 3 Portfolio Analysis'!$F$121*AH350</f>
        <v>3.0102000000000002E-3</v>
      </c>
      <c r="AM350" s="91"/>
      <c r="AN350" s="90">
        <v>45161</v>
      </c>
      <c r="AO350" s="91">
        <v>19439.199219999999</v>
      </c>
      <c r="AP350" s="91">
        <v>19444</v>
      </c>
      <c r="AQ350" s="91">
        <v>19444</v>
      </c>
      <c r="AR350" s="91">
        <v>225200</v>
      </c>
      <c r="AS350" s="91">
        <v>2.5000000000000001E-3</v>
      </c>
    </row>
    <row r="351" spans="1:45" x14ac:dyDescent="0.55000000000000004">
      <c r="A351" s="90">
        <v>45162</v>
      </c>
      <c r="B351" s="91">
        <v>7230</v>
      </c>
      <c r="C351" s="91">
        <v>7278.6499020000001</v>
      </c>
      <c r="D351" s="91">
        <v>7127.7490230000003</v>
      </c>
      <c r="E351" s="91">
        <v>219977</v>
      </c>
      <c r="F351" s="91">
        <v>2.4199999999999999E-2</v>
      </c>
      <c r="H351" s="90">
        <v>45162</v>
      </c>
      <c r="I351" s="91">
        <v>1269.9499510000001</v>
      </c>
      <c r="J351" s="91">
        <v>1239.900024</v>
      </c>
      <c r="K351" s="91">
        <v>1230.790405</v>
      </c>
      <c r="L351" s="91">
        <v>14140020</v>
      </c>
      <c r="M351" s="91">
        <v>-1.6799999999999999E-2</v>
      </c>
      <c r="O351" s="90">
        <v>45162</v>
      </c>
      <c r="P351" s="91">
        <v>796.65002440000001</v>
      </c>
      <c r="Q351" s="91">
        <v>789.65002440000001</v>
      </c>
      <c r="R351" s="91">
        <v>768.62280269999997</v>
      </c>
      <c r="S351" s="91">
        <v>43145792</v>
      </c>
      <c r="T351" s="91">
        <v>-4.5999999999999999E-3</v>
      </c>
      <c r="V351" s="90">
        <v>45162</v>
      </c>
      <c r="W351" s="91">
        <v>1421.5</v>
      </c>
      <c r="X351" s="91">
        <v>1423.599976</v>
      </c>
      <c r="Y351" s="91">
        <v>1323.1712649999999</v>
      </c>
      <c r="Z351" s="91">
        <v>5171963</v>
      </c>
      <c r="AA351" s="91">
        <v>1.11E-2</v>
      </c>
      <c r="AB351" s="91"/>
      <c r="AC351" s="90">
        <v>45162</v>
      </c>
      <c r="AD351" s="91">
        <v>2067.8000489999999</v>
      </c>
      <c r="AE351" s="91">
        <v>2069.0500489999999</v>
      </c>
      <c r="AF351" s="91">
        <v>2065.8415530000002</v>
      </c>
      <c r="AG351" s="91">
        <v>462418</v>
      </c>
      <c r="AH351" s="91">
        <v>8.8000000000000005E-3</v>
      </c>
      <c r="AI351" s="91"/>
      <c r="AJ351" s="91">
        <f>(F351*'Part 3 Portfolio Analysis'!$B$8+M351*'Part 3 Portfolio Analysis'!$C$8+T351*'Part 3 Portfolio Analysis'!$D$8+AA351*'Part 3 Portfolio Analysis'!$E$8+AH351*'Part 3 Portfolio Analysis'!$F$8)/100</f>
        <v>2.2753656235060598E-3</v>
      </c>
      <c r="AK351" s="91">
        <f>'Part 3 Portfolio Analysis'!$B$107*F351+M351*'Part 3 Portfolio Analysis'!$C$107+T351*'Part 3 Portfolio Analysis'!$D$107+AA351*'Part 3 Portfolio Analysis'!$E$107+AH351*'Part 3 Portfolio Analysis'!$F$107</f>
        <v>1.7121999999999999E-3</v>
      </c>
      <c r="AL351" s="91">
        <f>F351*'Part 3 Portfolio Analysis'!$B$121+M351*'Part 3 Portfolio Analysis'!$C$121+'Part 3 Portfolio Analysis'!$D$121*T351+AA351*'Part 3 Portfolio Analysis'!$E$121+'Part 3 Portfolio Analysis'!$F$121*AH351</f>
        <v>-3.8606799999999996E-3</v>
      </c>
      <c r="AM351" s="91"/>
      <c r="AN351" s="90">
        <v>45162</v>
      </c>
      <c r="AO351" s="91">
        <v>19535.150389999999</v>
      </c>
      <c r="AP351" s="91">
        <v>19386.699219999999</v>
      </c>
      <c r="AQ351" s="91">
        <v>19386.699219999999</v>
      </c>
      <c r="AR351" s="91">
        <v>268300</v>
      </c>
      <c r="AS351" s="91">
        <v>-2.8999999999999998E-3</v>
      </c>
    </row>
    <row r="352" spans="1:45" x14ac:dyDescent="0.55000000000000004">
      <c r="A352" s="90">
        <v>45163</v>
      </c>
      <c r="B352" s="91">
        <v>7279</v>
      </c>
      <c r="C352" s="91">
        <v>7301.4501950000003</v>
      </c>
      <c r="D352" s="91">
        <v>7150.0771480000003</v>
      </c>
      <c r="E352" s="91">
        <v>131217</v>
      </c>
      <c r="F352" s="91">
        <v>3.0999999999999999E-3</v>
      </c>
      <c r="H352" s="90">
        <v>45163</v>
      </c>
      <c r="I352" s="91">
        <v>1228</v>
      </c>
      <c r="J352" s="91">
        <v>1234.1750489999999</v>
      </c>
      <c r="K352" s="91">
        <v>1225.107544</v>
      </c>
      <c r="L352" s="91">
        <v>22222400</v>
      </c>
      <c r="M352" s="91">
        <v>-4.5999999999999999E-3</v>
      </c>
      <c r="O352" s="90">
        <v>45163</v>
      </c>
      <c r="P352" s="91">
        <v>787.27502440000001</v>
      </c>
      <c r="Q352" s="91">
        <v>780.75</v>
      </c>
      <c r="R352" s="91">
        <v>759.95977779999998</v>
      </c>
      <c r="S352" s="91">
        <v>30069756</v>
      </c>
      <c r="T352" s="91">
        <v>-1.1299999999999999E-2</v>
      </c>
      <c r="V352" s="90">
        <v>45163</v>
      </c>
      <c r="W352" s="91">
        <v>1413</v>
      </c>
      <c r="X352" s="91">
        <v>1420.099976</v>
      </c>
      <c r="Y352" s="91">
        <v>1319.918091</v>
      </c>
      <c r="Z352" s="91">
        <v>4307172</v>
      </c>
      <c r="AA352" s="91">
        <v>-2.5000000000000001E-3</v>
      </c>
      <c r="AB352" s="91"/>
      <c r="AC352" s="90">
        <v>45163</v>
      </c>
      <c r="AD352" s="91">
        <v>2062.0500489999999</v>
      </c>
      <c r="AE352" s="91">
        <v>2014</v>
      </c>
      <c r="AF352" s="91">
        <v>2010.8770750000001</v>
      </c>
      <c r="AG352" s="91">
        <v>766297</v>
      </c>
      <c r="AH352" s="91">
        <v>-2.6599999999999999E-2</v>
      </c>
      <c r="AI352" s="91"/>
      <c r="AJ352" s="91">
        <f>(F352*'Part 3 Portfolio Analysis'!$B$8+M352*'Part 3 Portfolio Analysis'!$C$8+T352*'Part 3 Portfolio Analysis'!$D$8+AA352*'Part 3 Portfolio Analysis'!$E$8+AH352*'Part 3 Portfolio Analysis'!$F$8)/100</f>
        <v>-3.2847037258226935E-3</v>
      </c>
      <c r="AK352" s="91">
        <f>'Part 3 Portfolio Analysis'!$B$107*F352+M352*'Part 3 Portfolio Analysis'!$C$107+T352*'Part 3 Portfolio Analysis'!$D$107+AA352*'Part 3 Portfolio Analysis'!$E$107+AH352*'Part 3 Portfolio Analysis'!$F$107</f>
        <v>-9.5864999999999995E-3</v>
      </c>
      <c r="AL352" s="91">
        <f>F352*'Part 3 Portfolio Analysis'!$B$121+M352*'Part 3 Portfolio Analysis'!$C$121+'Part 3 Portfolio Analysis'!$D$121*T352+AA352*'Part 3 Portfolio Analysis'!$E$121+'Part 3 Portfolio Analysis'!$F$121*AH352</f>
        <v>-5.9458600000000007E-3</v>
      </c>
      <c r="AM352" s="91"/>
      <c r="AN352" s="90">
        <v>45163</v>
      </c>
      <c r="AO352" s="91">
        <v>19297.400389999999</v>
      </c>
      <c r="AP352" s="91">
        <v>19265.800780000001</v>
      </c>
      <c r="AQ352" s="91">
        <v>19265.800780000001</v>
      </c>
      <c r="AR352" s="91">
        <v>466500</v>
      </c>
      <c r="AS352" s="91">
        <v>-6.1999999999999998E-3</v>
      </c>
    </row>
    <row r="353" spans="1:45" x14ac:dyDescent="0.55000000000000004">
      <c r="A353" s="90">
        <v>45166</v>
      </c>
      <c r="B353" s="91">
        <v>7330</v>
      </c>
      <c r="C353" s="91">
        <v>7374.1499020000001</v>
      </c>
      <c r="D353" s="91">
        <v>7221.2695309999999</v>
      </c>
      <c r="E353" s="91">
        <v>101737</v>
      </c>
      <c r="F353" s="91">
        <v>0.01</v>
      </c>
      <c r="H353" s="90">
        <v>45166</v>
      </c>
      <c r="I353" s="91">
        <v>1236</v>
      </c>
      <c r="J353" s="91">
        <v>1221.875</v>
      </c>
      <c r="K353" s="91">
        <v>1212.897827</v>
      </c>
      <c r="L353" s="91">
        <v>12580826</v>
      </c>
      <c r="M353" s="91">
        <v>-0.01</v>
      </c>
      <c r="O353" s="90">
        <v>45166</v>
      </c>
      <c r="P353" s="91">
        <v>780.75</v>
      </c>
      <c r="Q353" s="91">
        <v>788.875</v>
      </c>
      <c r="R353" s="91">
        <v>767.86840819999998</v>
      </c>
      <c r="S353" s="91">
        <v>28867238</v>
      </c>
      <c r="T353" s="91">
        <v>1.04E-2</v>
      </c>
      <c r="V353" s="90">
        <v>45166</v>
      </c>
      <c r="W353" s="91">
        <v>1420.099976</v>
      </c>
      <c r="X353" s="91">
        <v>1415.650024</v>
      </c>
      <c r="Y353" s="91">
        <v>1315.7822269999999</v>
      </c>
      <c r="Z353" s="91">
        <v>3133464</v>
      </c>
      <c r="AA353" s="91">
        <v>-3.0999999999999999E-3</v>
      </c>
      <c r="AB353" s="91"/>
      <c r="AC353" s="90">
        <v>45166</v>
      </c>
      <c r="AD353" s="91">
        <v>2027.0500489999999</v>
      </c>
      <c r="AE353" s="91">
        <v>2005.75</v>
      </c>
      <c r="AF353" s="91">
        <v>2002.6397710000001</v>
      </c>
      <c r="AG353" s="91">
        <v>696730</v>
      </c>
      <c r="AH353" s="91">
        <v>-4.1000000000000003E-3</v>
      </c>
      <c r="AI353" s="91"/>
      <c r="AJ353" s="91">
        <f>(F353*'Part 3 Portfolio Analysis'!$B$8+M353*'Part 3 Portfolio Analysis'!$C$8+T353*'Part 3 Portfolio Analysis'!$D$8+AA353*'Part 3 Portfolio Analysis'!$E$8+AH353*'Part 3 Portfolio Analysis'!$F$8)/100</f>
        <v>5.7108494224764115E-4</v>
      </c>
      <c r="AK353" s="91">
        <f>'Part 3 Portfolio Analysis'!$B$107*F353+M353*'Part 3 Portfolio Analysis'!$C$107+T353*'Part 3 Portfolio Analysis'!$D$107+AA353*'Part 3 Portfolio Analysis'!$E$107+AH353*'Part 3 Portfolio Analysis'!$F$107</f>
        <v>-1.0612000000000002E-3</v>
      </c>
      <c r="AL353" s="91">
        <f>F353*'Part 3 Portfolio Analysis'!$B$121+M353*'Part 3 Portfolio Analysis'!$C$121+'Part 3 Portfolio Analysis'!$D$121*T353+AA353*'Part 3 Portfolio Analysis'!$E$121+'Part 3 Portfolio Analysis'!$F$121*AH353</f>
        <v>-1.2726199999999999E-3</v>
      </c>
      <c r="AM353" s="91"/>
      <c r="AN353" s="90">
        <v>45166</v>
      </c>
      <c r="AO353" s="91">
        <v>19298.349610000001</v>
      </c>
      <c r="AP353" s="91">
        <v>19306.050780000001</v>
      </c>
      <c r="AQ353" s="91">
        <v>19306.050780000001</v>
      </c>
      <c r="AR353" s="91">
        <v>248200</v>
      </c>
      <c r="AS353" s="91">
        <v>2.0999999999999999E-3</v>
      </c>
    </row>
    <row r="354" spans="1:45" x14ac:dyDescent="0.55000000000000004">
      <c r="A354" s="90">
        <v>45167</v>
      </c>
      <c r="B354" s="91">
        <v>7389</v>
      </c>
      <c r="C354" s="91">
        <v>7383.3500979999999</v>
      </c>
      <c r="D354" s="91">
        <v>7230.2788090000004</v>
      </c>
      <c r="E354" s="91">
        <v>110039</v>
      </c>
      <c r="F354" s="91">
        <v>1.1999999999999999E-3</v>
      </c>
      <c r="H354" s="90">
        <v>45167</v>
      </c>
      <c r="I354" s="91">
        <v>1226.025024</v>
      </c>
      <c r="J354" s="91">
        <v>1210.1750489999999</v>
      </c>
      <c r="K354" s="91">
        <v>1201.283813</v>
      </c>
      <c r="L354" s="91">
        <v>16876644</v>
      </c>
      <c r="M354" s="91">
        <v>-9.5999999999999992E-3</v>
      </c>
      <c r="O354" s="90">
        <v>45167</v>
      </c>
      <c r="P354" s="91">
        <v>794.84997559999999</v>
      </c>
      <c r="Q354" s="91">
        <v>795.15002440000001</v>
      </c>
      <c r="R354" s="91">
        <v>773.97631839999997</v>
      </c>
      <c r="S354" s="91">
        <v>35538932</v>
      </c>
      <c r="T354" s="91">
        <v>8.0000000000000002E-3</v>
      </c>
      <c r="V354" s="90">
        <v>45167</v>
      </c>
      <c r="W354" s="91">
        <v>1424</v>
      </c>
      <c r="X354" s="91">
        <v>1417.650024</v>
      </c>
      <c r="Y354" s="91">
        <v>1317.6411129999999</v>
      </c>
      <c r="Z354" s="91">
        <v>3074444</v>
      </c>
      <c r="AA354" s="91">
        <v>1.4E-3</v>
      </c>
      <c r="AB354" s="91"/>
      <c r="AC354" s="90">
        <v>45167</v>
      </c>
      <c r="AD354" s="91">
        <v>2010</v>
      </c>
      <c r="AE354" s="91">
        <v>2049.3000489999999</v>
      </c>
      <c r="AF354" s="91">
        <v>2046.122437</v>
      </c>
      <c r="AG354" s="91">
        <v>352814</v>
      </c>
      <c r="AH354" s="91">
        <v>2.1700000000000001E-2</v>
      </c>
      <c r="AI354" s="91"/>
      <c r="AJ354" s="91">
        <f>(F354*'Part 3 Portfolio Analysis'!$B$8+M354*'Part 3 Portfolio Analysis'!$C$8+T354*'Part 3 Portfolio Analysis'!$D$8+AA354*'Part 3 Portfolio Analysis'!$E$8+AH354*'Part 3 Portfolio Analysis'!$F$8)/100</f>
        <v>-1.3479136235699947E-3</v>
      </c>
      <c r="AK354" s="91">
        <f>'Part 3 Portfolio Analysis'!$B$107*F354+M354*'Part 3 Portfolio Analysis'!$C$107+T354*'Part 3 Portfolio Analysis'!$D$107+AA354*'Part 3 Portfolio Analysis'!$E$107+AH354*'Part 3 Portfolio Analysis'!$F$107</f>
        <v>4.0596E-3</v>
      </c>
      <c r="AL354" s="91">
        <f>F354*'Part 3 Portfolio Analysis'!$B$121+M354*'Part 3 Portfolio Analysis'!$C$121+'Part 3 Portfolio Analysis'!$D$121*T354+AA354*'Part 3 Portfolio Analysis'!$E$121+'Part 3 Portfolio Analysis'!$F$121*AH354</f>
        <v>-9.0497999999999913E-4</v>
      </c>
      <c r="AM354" s="91"/>
      <c r="AN354" s="90">
        <v>45167</v>
      </c>
      <c r="AO354" s="91">
        <v>19374.849610000001</v>
      </c>
      <c r="AP354" s="91">
        <v>19342.650389999999</v>
      </c>
      <c r="AQ354" s="91">
        <v>19342.650389999999</v>
      </c>
      <c r="AR354" s="91">
        <v>307400</v>
      </c>
      <c r="AS354" s="91">
        <v>1.9E-3</v>
      </c>
    </row>
    <row r="355" spans="1:45" x14ac:dyDescent="0.55000000000000004">
      <c r="A355" s="90">
        <v>45168</v>
      </c>
      <c r="B355" s="91">
        <v>7412</v>
      </c>
      <c r="C355" s="91">
        <v>7402.0498049999997</v>
      </c>
      <c r="D355" s="91">
        <v>7248.5908200000003</v>
      </c>
      <c r="E355" s="91">
        <v>82450</v>
      </c>
      <c r="F355" s="91">
        <v>2.5000000000000001E-3</v>
      </c>
      <c r="H355" s="90">
        <v>45168</v>
      </c>
      <c r="I355" s="91">
        <v>1216</v>
      </c>
      <c r="J355" s="91">
        <v>1209.025024</v>
      </c>
      <c r="K355" s="91">
        <v>1200.142212</v>
      </c>
      <c r="L355" s="91">
        <v>12168946</v>
      </c>
      <c r="M355" s="91">
        <v>-1E-3</v>
      </c>
      <c r="O355" s="90">
        <v>45168</v>
      </c>
      <c r="P355" s="91">
        <v>801.97497559999999</v>
      </c>
      <c r="Q355" s="91">
        <v>789.34997559999999</v>
      </c>
      <c r="R355" s="91">
        <v>768.33074950000002</v>
      </c>
      <c r="S355" s="91">
        <v>28084204</v>
      </c>
      <c r="T355" s="91">
        <v>-7.3000000000000001E-3</v>
      </c>
      <c r="V355" s="90">
        <v>45168</v>
      </c>
      <c r="W355" s="91">
        <v>1427</v>
      </c>
      <c r="X355" s="91">
        <v>1435.150024</v>
      </c>
      <c r="Y355" s="91">
        <v>1333.9064940000001</v>
      </c>
      <c r="Z355" s="91">
        <v>3070887</v>
      </c>
      <c r="AA355" s="91">
        <v>1.23E-2</v>
      </c>
      <c r="AB355" s="91"/>
      <c r="AC355" s="90">
        <v>45168</v>
      </c>
      <c r="AD355" s="91">
        <v>2068.6000979999999</v>
      </c>
      <c r="AE355" s="91">
        <v>2062.5500489999999</v>
      </c>
      <c r="AF355" s="91">
        <v>2059.351807</v>
      </c>
      <c r="AG355" s="91">
        <v>844098</v>
      </c>
      <c r="AH355" s="91">
        <v>6.4999999999999997E-3</v>
      </c>
      <c r="AI355" s="91"/>
      <c r="AJ355" s="91">
        <f>(F355*'Part 3 Portfolio Analysis'!$B$8+M355*'Part 3 Portfolio Analysis'!$C$8+T355*'Part 3 Portfolio Analysis'!$D$8+AA355*'Part 3 Portfolio Analysis'!$E$8+AH355*'Part 3 Portfolio Analysis'!$F$8)/100</f>
        <v>1.2127984428877193E-3</v>
      </c>
      <c r="AK355" s="91">
        <f>'Part 3 Portfolio Analysis'!$B$107*F355+M355*'Part 3 Portfolio Analysis'!$C$107+T355*'Part 3 Portfolio Analysis'!$D$107+AA355*'Part 3 Portfolio Analysis'!$E$107+AH355*'Part 3 Portfolio Analysis'!$F$107</f>
        <v>1.8735000000000002E-3</v>
      </c>
      <c r="AL355" s="91">
        <f>F355*'Part 3 Portfolio Analysis'!$B$121+M355*'Part 3 Portfolio Analysis'!$C$121+'Part 3 Portfolio Analysis'!$D$121*T355+AA355*'Part 3 Portfolio Analysis'!$E$121+'Part 3 Portfolio Analysis'!$F$121*AH355</f>
        <v>4.3060000000000017E-4</v>
      </c>
      <c r="AM355" s="91"/>
      <c r="AN355" s="90">
        <v>45168</v>
      </c>
      <c r="AO355" s="91">
        <v>19433.449219999999</v>
      </c>
      <c r="AP355" s="91">
        <v>19347.449219999999</v>
      </c>
      <c r="AQ355" s="91">
        <v>19347.449219999999</v>
      </c>
      <c r="AR355" s="91">
        <v>233000</v>
      </c>
      <c r="AS355" s="91">
        <v>2.0000000000000001E-4</v>
      </c>
    </row>
    <row r="356" spans="1:45" x14ac:dyDescent="0.55000000000000004">
      <c r="A356" s="90">
        <v>45169</v>
      </c>
      <c r="B356" s="91">
        <v>7419.9501950000003</v>
      </c>
      <c r="C356" s="91">
        <v>7247.1000979999999</v>
      </c>
      <c r="D356" s="91">
        <v>7096.8535160000001</v>
      </c>
      <c r="E356" s="91">
        <v>225869</v>
      </c>
      <c r="F356" s="91">
        <v>-2.0899999999999998E-2</v>
      </c>
      <c r="H356" s="90">
        <v>45169</v>
      </c>
      <c r="I356" s="91">
        <v>1211.5</v>
      </c>
      <c r="J356" s="91">
        <v>1203.5</v>
      </c>
      <c r="K356" s="91">
        <v>1194.6577150000001</v>
      </c>
      <c r="L356" s="91">
        <v>21638600</v>
      </c>
      <c r="M356" s="91">
        <v>-4.5999999999999999E-3</v>
      </c>
      <c r="O356" s="90">
        <v>45169</v>
      </c>
      <c r="P356" s="91">
        <v>789.5</v>
      </c>
      <c r="Q356" s="91">
        <v>785.72497559999999</v>
      </c>
      <c r="R356" s="91">
        <v>764.80224610000005</v>
      </c>
      <c r="S356" s="91">
        <v>100075772</v>
      </c>
      <c r="T356" s="91">
        <v>-4.5999999999999999E-3</v>
      </c>
      <c r="V356" s="90">
        <v>45169</v>
      </c>
      <c r="W356" s="91">
        <v>1435.150024</v>
      </c>
      <c r="X356" s="91">
        <v>1435.4499510000001</v>
      </c>
      <c r="Y356" s="91">
        <v>1334.1851810000001</v>
      </c>
      <c r="Z356" s="91">
        <v>9792735</v>
      </c>
      <c r="AA356" s="91">
        <v>2.0000000000000001E-4</v>
      </c>
      <c r="AB356" s="91"/>
      <c r="AC356" s="90">
        <v>45169</v>
      </c>
      <c r="AD356" s="91">
        <v>2064</v>
      </c>
      <c r="AE356" s="91">
        <v>2048.6000979999999</v>
      </c>
      <c r="AF356" s="91">
        <v>2045.4235839999999</v>
      </c>
      <c r="AG356" s="91">
        <v>682000</v>
      </c>
      <c r="AH356" s="91">
        <v>-6.7999999999999996E-3</v>
      </c>
      <c r="AI356" s="91"/>
      <c r="AJ356" s="91">
        <f>(F356*'Part 3 Portfolio Analysis'!$B$8+M356*'Part 3 Portfolio Analysis'!$C$8+T356*'Part 3 Portfolio Analysis'!$D$8+AA356*'Part 3 Portfolio Analysis'!$E$8+AH356*'Part 3 Portfolio Analysis'!$F$8)/100</f>
        <v>-8.7390207774808663E-3</v>
      </c>
      <c r="AK356" s="91">
        <f>'Part 3 Portfolio Analysis'!$B$107*F356+M356*'Part 3 Portfolio Analysis'!$C$107+T356*'Part 3 Portfolio Analysis'!$D$107+AA356*'Part 3 Portfolio Analysis'!$E$107+AH356*'Part 3 Portfolio Analysis'!$F$107</f>
        <v>-7.6083999999999995E-3</v>
      </c>
      <c r="AL356" s="91">
        <f>F356*'Part 3 Portfolio Analysis'!$B$121+M356*'Part 3 Portfolio Analysis'!$C$121+'Part 3 Portfolio Analysis'!$D$121*T356+AA356*'Part 3 Portfolio Analysis'!$E$121+'Part 3 Portfolio Analysis'!$F$121*AH356</f>
        <v>-5.0374999999999994E-3</v>
      </c>
      <c r="AM356" s="91"/>
      <c r="AN356" s="90">
        <v>45169</v>
      </c>
      <c r="AO356" s="91">
        <v>19375.550780000001</v>
      </c>
      <c r="AP356" s="91">
        <v>19253.800780000001</v>
      </c>
      <c r="AQ356" s="91">
        <v>19253.800780000001</v>
      </c>
      <c r="AR356" s="91">
        <v>562600</v>
      </c>
      <c r="AS356" s="91">
        <v>-4.7999999999999996E-3</v>
      </c>
    </row>
    <row r="357" spans="1:45" x14ac:dyDescent="0.55000000000000004">
      <c r="A357" s="90">
        <v>45170</v>
      </c>
      <c r="B357" s="91">
        <v>7300</v>
      </c>
      <c r="C357" s="91">
        <v>7284.1000979999999</v>
      </c>
      <c r="D357" s="91">
        <v>7133.0864259999998</v>
      </c>
      <c r="E357" s="91">
        <v>98424</v>
      </c>
      <c r="F357" s="91">
        <v>5.1000000000000004E-3</v>
      </c>
      <c r="H357" s="90">
        <v>45170</v>
      </c>
      <c r="I357" s="91">
        <v>1203.275024</v>
      </c>
      <c r="J357" s="91">
        <v>1206.3249510000001</v>
      </c>
      <c r="K357" s="91">
        <v>1197.461914</v>
      </c>
      <c r="L357" s="91">
        <v>18112842</v>
      </c>
      <c r="M357" s="91">
        <v>2.3E-3</v>
      </c>
      <c r="O357" s="90">
        <v>45170</v>
      </c>
      <c r="P357" s="91">
        <v>785.5</v>
      </c>
      <c r="Q357" s="91">
        <v>787.34997559999999</v>
      </c>
      <c r="R357" s="91">
        <v>766.38403319999998</v>
      </c>
      <c r="S357" s="91">
        <v>43226776</v>
      </c>
      <c r="T357" s="91">
        <v>2.0999999999999999E-3</v>
      </c>
      <c r="V357" s="90">
        <v>45170</v>
      </c>
      <c r="W357" s="91">
        <v>1430.9499510000001</v>
      </c>
      <c r="X357" s="91">
        <v>1443.849976</v>
      </c>
      <c r="Y357" s="91">
        <v>1341.9926760000001</v>
      </c>
      <c r="Z357" s="91">
        <v>3582133</v>
      </c>
      <c r="AA357" s="91">
        <v>5.8999999999999999E-3</v>
      </c>
      <c r="AB357" s="91"/>
      <c r="AC357" s="90">
        <v>45170</v>
      </c>
      <c r="AD357" s="91">
        <v>2059.6999510000001</v>
      </c>
      <c r="AE357" s="91">
        <v>2063.1000979999999</v>
      </c>
      <c r="AF357" s="91">
        <v>2059.9008789999998</v>
      </c>
      <c r="AG357" s="91">
        <v>785674</v>
      </c>
      <c r="AH357" s="91">
        <v>7.1000000000000004E-3</v>
      </c>
      <c r="AI357" s="91"/>
      <c r="AJ357" s="91">
        <f>(F357*'Part 3 Portfolio Analysis'!$B$8+M357*'Part 3 Portfolio Analysis'!$C$8+T357*'Part 3 Portfolio Analysis'!$D$8+AA357*'Part 3 Portfolio Analysis'!$E$8+AH357*'Part 3 Portfolio Analysis'!$F$8)/100</f>
        <v>3.7329115761911198E-3</v>
      </c>
      <c r="AK357" s="91">
        <f>'Part 3 Portfolio Analysis'!$B$107*F357+M357*'Part 3 Portfolio Analysis'!$C$107+T357*'Part 3 Portfolio Analysis'!$D$107+AA357*'Part 3 Portfolio Analysis'!$E$107+AH357*'Part 3 Portfolio Analysis'!$F$107</f>
        <v>4.3426000000000003E-3</v>
      </c>
      <c r="AL357" s="91">
        <f>F357*'Part 3 Portfolio Analysis'!$B$121+M357*'Part 3 Portfolio Analysis'!$C$121+'Part 3 Portfolio Analysis'!$D$121*T357+AA357*'Part 3 Portfolio Analysis'!$E$121+'Part 3 Portfolio Analysis'!$F$121*AH357</f>
        <v>3.3215199999999997E-3</v>
      </c>
      <c r="AM357" s="91"/>
      <c r="AN357" s="90">
        <v>45170</v>
      </c>
      <c r="AO357" s="91">
        <v>19258.150389999999</v>
      </c>
      <c r="AP357" s="91">
        <v>19435.300780000001</v>
      </c>
      <c r="AQ357" s="91">
        <v>19435.300780000001</v>
      </c>
      <c r="AR357" s="91">
        <v>333000</v>
      </c>
      <c r="AS357" s="91">
        <v>9.4000000000000004E-3</v>
      </c>
    </row>
    <row r="358" spans="1:45" x14ac:dyDescent="0.55000000000000004">
      <c r="A358" s="90">
        <v>45173</v>
      </c>
      <c r="B358" s="91">
        <v>7310</v>
      </c>
      <c r="C358" s="91">
        <v>7319.7998049999997</v>
      </c>
      <c r="D358" s="91">
        <v>7168.0463870000003</v>
      </c>
      <c r="E358" s="91">
        <v>100661</v>
      </c>
      <c r="F358" s="91">
        <v>4.8999999999999998E-3</v>
      </c>
      <c r="H358" s="90">
        <v>45173</v>
      </c>
      <c r="I358" s="91">
        <v>1206.3249510000001</v>
      </c>
      <c r="J358" s="91">
        <v>1205.349976</v>
      </c>
      <c r="K358" s="91">
        <v>1196.4941409999999</v>
      </c>
      <c r="L358" s="91">
        <v>9347626</v>
      </c>
      <c r="M358" s="91">
        <v>-8.0000000000000004E-4</v>
      </c>
      <c r="O358" s="90">
        <v>45173</v>
      </c>
      <c r="P358" s="91">
        <v>795</v>
      </c>
      <c r="Q358" s="91">
        <v>792.27502440000001</v>
      </c>
      <c r="R358" s="91">
        <v>771.1778564</v>
      </c>
      <c r="S358" s="91">
        <v>25073638</v>
      </c>
      <c r="T358" s="91">
        <v>6.3E-3</v>
      </c>
      <c r="V358" s="90">
        <v>45173</v>
      </c>
      <c r="W358" s="91">
        <v>1443</v>
      </c>
      <c r="X358" s="91">
        <v>1465.099976</v>
      </c>
      <c r="Y358" s="91">
        <v>1361.7436520000001</v>
      </c>
      <c r="Z358" s="91">
        <v>4609014</v>
      </c>
      <c r="AA358" s="91">
        <v>1.47E-2</v>
      </c>
      <c r="AB358" s="91"/>
      <c r="AC358" s="90">
        <v>45173</v>
      </c>
      <c r="AD358" s="91">
        <v>2074</v>
      </c>
      <c r="AE358" s="91">
        <v>2031.400024</v>
      </c>
      <c r="AF358" s="91">
        <v>2028.2501219999999</v>
      </c>
      <c r="AG358" s="91">
        <v>744599</v>
      </c>
      <c r="AH358" s="91">
        <v>-1.54E-2</v>
      </c>
      <c r="AI358" s="91"/>
      <c r="AJ358" s="91">
        <f>(F358*'Part 3 Portfolio Analysis'!$B$8+M358*'Part 3 Portfolio Analysis'!$C$8+T358*'Part 3 Portfolio Analysis'!$D$8+AA358*'Part 3 Portfolio Analysis'!$E$8+AH358*'Part 3 Portfolio Analysis'!$F$8)/100</f>
        <v>4.4461459930804689E-3</v>
      </c>
      <c r="AK358" s="91">
        <f>'Part 3 Portfolio Analysis'!$B$107*F358+M358*'Part 3 Portfolio Analysis'!$C$107+T358*'Part 3 Portfolio Analysis'!$D$107+AA358*'Part 3 Portfolio Analysis'!$E$107+AH358*'Part 3 Portfolio Analysis'!$F$107</f>
        <v>-8.0270000000000038E-4</v>
      </c>
      <c r="AL358" s="91">
        <f>F358*'Part 3 Portfolio Analysis'!$B$121+M358*'Part 3 Portfolio Analysis'!$C$121+'Part 3 Portfolio Analysis'!$D$121*T358+AA358*'Part 3 Portfolio Analysis'!$E$121+'Part 3 Portfolio Analysis'!$F$121*AH358</f>
        <v>4.3172200000000001E-3</v>
      </c>
      <c r="AM358" s="91"/>
      <c r="AN358" s="90">
        <v>45173</v>
      </c>
      <c r="AO358" s="91">
        <v>19525.050780000001</v>
      </c>
      <c r="AP358" s="91">
        <v>19528.800780000001</v>
      </c>
      <c r="AQ358" s="91">
        <v>19528.800780000001</v>
      </c>
      <c r="AR358" s="91">
        <v>296800</v>
      </c>
      <c r="AS358" s="91">
        <v>4.7999999999999996E-3</v>
      </c>
    </row>
    <row r="359" spans="1:45" x14ac:dyDescent="0.55000000000000004">
      <c r="A359" s="90">
        <v>45174</v>
      </c>
      <c r="B359" s="91">
        <v>7280</v>
      </c>
      <c r="C359" s="91">
        <v>7405.2998049999997</v>
      </c>
      <c r="D359" s="91">
        <v>7251.7734380000002</v>
      </c>
      <c r="E359" s="91">
        <v>211914</v>
      </c>
      <c r="F359" s="91">
        <v>1.17E-2</v>
      </c>
      <c r="H359" s="90">
        <v>45174</v>
      </c>
      <c r="I359" s="91">
        <v>1210</v>
      </c>
      <c r="J359" s="91">
        <v>1211.8000489999999</v>
      </c>
      <c r="K359" s="91">
        <v>1202.896851</v>
      </c>
      <c r="L359" s="91">
        <v>8675876</v>
      </c>
      <c r="M359" s="91">
        <v>5.4000000000000003E-3</v>
      </c>
      <c r="O359" s="90">
        <v>45174</v>
      </c>
      <c r="P359" s="91">
        <v>794.20001219999995</v>
      </c>
      <c r="Q359" s="91">
        <v>787.45001219999995</v>
      </c>
      <c r="R359" s="91">
        <v>766.48138429999995</v>
      </c>
      <c r="S359" s="91">
        <v>38712082</v>
      </c>
      <c r="T359" s="91">
        <v>-6.1000000000000004E-3</v>
      </c>
      <c r="V359" s="90">
        <v>45174</v>
      </c>
      <c r="W359" s="91">
        <v>1465</v>
      </c>
      <c r="X359" s="91">
        <v>1478.900024</v>
      </c>
      <c r="Y359" s="91">
        <v>1374.5701899999999</v>
      </c>
      <c r="Z359" s="91">
        <v>5496840</v>
      </c>
      <c r="AA359" s="91">
        <v>9.4000000000000004E-3</v>
      </c>
      <c r="AB359" s="91"/>
      <c r="AC359" s="90">
        <v>45174</v>
      </c>
      <c r="AD359" s="91">
        <v>2034.9499510000001</v>
      </c>
      <c r="AE359" s="91">
        <v>2063.6999510000001</v>
      </c>
      <c r="AF359" s="91">
        <v>2060.4997560000002</v>
      </c>
      <c r="AG359" s="91">
        <v>536090</v>
      </c>
      <c r="AH359" s="91">
        <v>1.5900000000000001E-2</v>
      </c>
      <c r="AI359" s="91"/>
      <c r="AJ359" s="91">
        <f>(F359*'Part 3 Portfolio Analysis'!$B$8+M359*'Part 3 Portfolio Analysis'!$C$8+T359*'Part 3 Portfolio Analysis'!$D$8+AA359*'Part 3 Portfolio Analysis'!$E$8+AH359*'Part 3 Portfolio Analysis'!$F$8)/100</f>
        <v>6.1180109910389021E-3</v>
      </c>
      <c r="AK359" s="91">
        <f>'Part 3 Portfolio Analysis'!$B$107*F359+M359*'Part 3 Portfolio Analysis'!$C$107+T359*'Part 3 Portfolio Analysis'!$D$107+AA359*'Part 3 Portfolio Analysis'!$E$107+AH359*'Part 3 Portfolio Analysis'!$F$107</f>
        <v>7.7974999999999997E-3</v>
      </c>
      <c r="AL359" s="91">
        <f>F359*'Part 3 Portfolio Analysis'!$B$121+M359*'Part 3 Portfolio Analysis'!$C$121+'Part 3 Portfolio Analysis'!$D$121*T359+AA359*'Part 3 Portfolio Analysis'!$E$121+'Part 3 Portfolio Analysis'!$F$121*AH359</f>
        <v>3.8649600000000002E-3</v>
      </c>
      <c r="AM359" s="91"/>
      <c r="AN359" s="90">
        <v>45174</v>
      </c>
      <c r="AO359" s="91">
        <v>19564.650389999999</v>
      </c>
      <c r="AP359" s="91">
        <v>19574.900389999999</v>
      </c>
      <c r="AQ359" s="91">
        <v>19574.900389999999</v>
      </c>
      <c r="AR359" s="91">
        <v>256800</v>
      </c>
      <c r="AS359" s="91">
        <v>2.3999999999999998E-3</v>
      </c>
    </row>
    <row r="360" spans="1:45" x14ac:dyDescent="0.55000000000000004">
      <c r="A360" s="90">
        <v>45175</v>
      </c>
      <c r="B360" s="91">
        <v>7442.25</v>
      </c>
      <c r="C360" s="91">
        <v>7356.2001950000003</v>
      </c>
      <c r="D360" s="91">
        <v>7203.6918949999999</v>
      </c>
      <c r="E360" s="91">
        <v>72454</v>
      </c>
      <c r="F360" s="91">
        <v>-6.6E-3</v>
      </c>
      <c r="H360" s="90">
        <v>45175</v>
      </c>
      <c r="I360" s="91">
        <v>1210.5500489999999</v>
      </c>
      <c r="J360" s="91">
        <v>1214.349976</v>
      </c>
      <c r="K360" s="91">
        <v>1205.428101</v>
      </c>
      <c r="L360" s="91">
        <v>8200370</v>
      </c>
      <c r="M360" s="91">
        <v>2.0999999999999999E-3</v>
      </c>
      <c r="O360" s="90">
        <v>45175</v>
      </c>
      <c r="P360" s="91">
        <v>788.40002440000001</v>
      </c>
      <c r="Q360" s="91">
        <v>797.75</v>
      </c>
      <c r="R360" s="91">
        <v>776.50708010000005</v>
      </c>
      <c r="S360" s="91">
        <v>56320910</v>
      </c>
      <c r="T360" s="91">
        <v>1.3100000000000001E-2</v>
      </c>
      <c r="V360" s="90">
        <v>45175</v>
      </c>
      <c r="W360" s="91">
        <v>1481.900024</v>
      </c>
      <c r="X360" s="91">
        <v>1477.4499510000001</v>
      </c>
      <c r="Y360" s="91">
        <v>1373.2222899999999</v>
      </c>
      <c r="Z360" s="91">
        <v>5075786</v>
      </c>
      <c r="AA360" s="91">
        <v>-1E-3</v>
      </c>
      <c r="AB360" s="91"/>
      <c r="AC360" s="90">
        <v>45175</v>
      </c>
      <c r="AD360" s="91">
        <v>2072.1999510000001</v>
      </c>
      <c r="AE360" s="91">
        <v>2067.5</v>
      </c>
      <c r="AF360" s="91">
        <v>2064.2941890000002</v>
      </c>
      <c r="AG360" s="91">
        <v>331114</v>
      </c>
      <c r="AH360" s="91">
        <v>1.8E-3</v>
      </c>
      <c r="AI360" s="91"/>
      <c r="AJ360" s="91">
        <f>(F360*'Part 3 Portfolio Analysis'!$B$8+M360*'Part 3 Portfolio Analysis'!$C$8+T360*'Part 3 Portfolio Analysis'!$D$8+AA360*'Part 3 Portfolio Analysis'!$E$8+AH360*'Part 3 Portfolio Analysis'!$F$8)/100</f>
        <v>8.2311355905358488E-4</v>
      </c>
      <c r="AK360" s="91">
        <f>'Part 3 Portfolio Analysis'!$B$107*F360+M360*'Part 3 Portfolio Analysis'!$C$107+T360*'Part 3 Portfolio Analysis'!$D$107+AA360*'Part 3 Portfolio Analysis'!$E$107+AH360*'Part 3 Portfolio Analysis'!$F$107</f>
        <v>1.8534000000000001E-3</v>
      </c>
      <c r="AL360" s="91">
        <f>F360*'Part 3 Portfolio Analysis'!$B$121+M360*'Part 3 Portfolio Analysis'!$C$121+'Part 3 Portfolio Analysis'!$D$121*T360+AA360*'Part 3 Portfolio Analysis'!$E$121+'Part 3 Portfolio Analysis'!$F$121*AH360</f>
        <v>3.7490000000000002E-3</v>
      </c>
      <c r="AM360" s="91"/>
      <c r="AN360" s="90">
        <v>45175</v>
      </c>
      <c r="AO360" s="91">
        <v>19581.199219999999</v>
      </c>
      <c r="AP360" s="91">
        <v>19611.050780000001</v>
      </c>
      <c r="AQ360" s="91">
        <v>19611.050780000001</v>
      </c>
      <c r="AR360" s="91">
        <v>287600</v>
      </c>
      <c r="AS360" s="91">
        <v>1.8E-3</v>
      </c>
    </row>
    <row r="361" spans="1:45" x14ac:dyDescent="0.55000000000000004">
      <c r="A361" s="90">
        <v>45176</v>
      </c>
      <c r="B361" s="91">
        <v>7354</v>
      </c>
      <c r="C361" s="91">
        <v>7399.0498049999997</v>
      </c>
      <c r="D361" s="91">
        <v>7245.6528319999998</v>
      </c>
      <c r="E361" s="91">
        <v>137742</v>
      </c>
      <c r="F361" s="91">
        <v>5.7999999999999996E-3</v>
      </c>
      <c r="H361" s="90">
        <v>45176</v>
      </c>
      <c r="I361" s="91">
        <v>1210.849976</v>
      </c>
      <c r="J361" s="91">
        <v>1216</v>
      </c>
      <c r="K361" s="91">
        <v>1207.065918</v>
      </c>
      <c r="L361" s="91">
        <v>13652572</v>
      </c>
      <c r="M361" s="91">
        <v>1.4E-3</v>
      </c>
      <c r="O361" s="90">
        <v>45176</v>
      </c>
      <c r="P361" s="91">
        <v>797.75</v>
      </c>
      <c r="Q361" s="91">
        <v>805.42498780000005</v>
      </c>
      <c r="R361" s="91">
        <v>783.97778319999998</v>
      </c>
      <c r="S361" s="91">
        <v>34208342</v>
      </c>
      <c r="T361" s="91">
        <v>9.5999999999999992E-3</v>
      </c>
      <c r="V361" s="90">
        <v>45176</v>
      </c>
      <c r="W361" s="91">
        <v>1470.599976</v>
      </c>
      <c r="X361" s="91">
        <v>1466.1999510000001</v>
      </c>
      <c r="Y361" s="91">
        <v>1362.7661129999999</v>
      </c>
      <c r="Z361" s="91">
        <v>4411743</v>
      </c>
      <c r="AA361" s="91">
        <v>-7.6E-3</v>
      </c>
      <c r="AB361" s="91"/>
      <c r="AC361" s="90">
        <v>45176</v>
      </c>
      <c r="AD361" s="91">
        <v>2073</v>
      </c>
      <c r="AE361" s="91">
        <v>2087.75</v>
      </c>
      <c r="AF361" s="91">
        <v>2084.5126949999999</v>
      </c>
      <c r="AG361" s="91">
        <v>303430</v>
      </c>
      <c r="AH361" s="91">
        <v>9.7999999999999997E-3</v>
      </c>
      <c r="AI361" s="91"/>
      <c r="AJ361" s="91">
        <f>(F361*'Part 3 Portfolio Analysis'!$B$8+M361*'Part 3 Portfolio Analysis'!$C$8+T361*'Part 3 Portfolio Analysis'!$D$8+AA361*'Part 3 Portfolio Analysis'!$E$8+AH361*'Part 3 Portfolio Analysis'!$F$8)/100</f>
        <v>2.7215602276673685E-3</v>
      </c>
      <c r="AK361" s="91">
        <f>'Part 3 Portfolio Analysis'!$B$107*F361+M361*'Part 3 Portfolio Analysis'!$C$107+T361*'Part 3 Portfolio Analysis'!$D$107+AA361*'Part 3 Portfolio Analysis'!$E$107+AH361*'Part 3 Portfolio Analysis'!$F$107</f>
        <v>4.6797999999999996E-3</v>
      </c>
      <c r="AL361" s="91">
        <f>F361*'Part 3 Portfolio Analysis'!$B$121+M361*'Part 3 Portfolio Analysis'!$C$121+'Part 3 Portfolio Analysis'!$D$121*T361+AA361*'Part 3 Portfolio Analysis'!$E$121+'Part 3 Portfolio Analysis'!$F$121*AH361</f>
        <v>2.41216E-3</v>
      </c>
      <c r="AM361" s="91"/>
      <c r="AN361" s="90">
        <v>45176</v>
      </c>
      <c r="AO361" s="91">
        <v>19598.650389999999</v>
      </c>
      <c r="AP361" s="91">
        <v>19727.050780000001</v>
      </c>
      <c r="AQ361" s="91">
        <v>19727.050780000001</v>
      </c>
      <c r="AR361" s="91">
        <v>304900</v>
      </c>
      <c r="AS361" s="91">
        <v>5.8999999999999999E-3</v>
      </c>
    </row>
    <row r="362" spans="1:45" x14ac:dyDescent="0.55000000000000004">
      <c r="A362" s="90">
        <v>45177</v>
      </c>
      <c r="B362" s="91">
        <v>7409.8999020000001</v>
      </c>
      <c r="C362" s="91">
        <v>7366.2001950000003</v>
      </c>
      <c r="D362" s="91">
        <v>7213.4848629999997</v>
      </c>
      <c r="E362" s="91">
        <v>60782</v>
      </c>
      <c r="F362" s="91">
        <v>-4.4000000000000003E-3</v>
      </c>
      <c r="H362" s="90">
        <v>45177</v>
      </c>
      <c r="I362" s="91">
        <v>1220</v>
      </c>
      <c r="J362" s="91">
        <v>1224.099976</v>
      </c>
      <c r="K362" s="91">
        <v>1215.1064449999999</v>
      </c>
      <c r="L362" s="91">
        <v>23109288</v>
      </c>
      <c r="M362" s="91">
        <v>6.7000000000000002E-3</v>
      </c>
      <c r="O362" s="90">
        <v>45177</v>
      </c>
      <c r="P362" s="91">
        <v>804.15002440000001</v>
      </c>
      <c r="Q362" s="91">
        <v>811.70001219999995</v>
      </c>
      <c r="R362" s="91">
        <v>790.08569339999997</v>
      </c>
      <c r="S362" s="91">
        <v>34502210</v>
      </c>
      <c r="T362" s="91">
        <v>7.7999999999999996E-3</v>
      </c>
      <c r="V362" s="90">
        <v>45177</v>
      </c>
      <c r="W362" s="91">
        <v>1463.5</v>
      </c>
      <c r="X362" s="91">
        <v>1469.599976</v>
      </c>
      <c r="Y362" s="91">
        <v>1365.9262699999999</v>
      </c>
      <c r="Z362" s="91">
        <v>3125838</v>
      </c>
      <c r="AA362" s="91">
        <v>2.3E-3</v>
      </c>
      <c r="AB362" s="91"/>
      <c r="AC362" s="90">
        <v>45177</v>
      </c>
      <c r="AD362" s="91">
        <v>2100</v>
      </c>
      <c r="AE362" s="91">
        <v>2086.5500489999999</v>
      </c>
      <c r="AF362" s="91">
        <v>2083.314453</v>
      </c>
      <c r="AG362" s="91">
        <v>548262</v>
      </c>
      <c r="AH362" s="91">
        <v>-5.9999999999999995E-4</v>
      </c>
      <c r="AI362" s="91"/>
      <c r="AJ362" s="91">
        <f>(F362*'Part 3 Portfolio Analysis'!$B$8+M362*'Part 3 Portfolio Analysis'!$C$8+T362*'Part 3 Portfolio Analysis'!$D$8+AA362*'Part 3 Portfolio Analysis'!$E$8+AH362*'Part 3 Portfolio Analysis'!$F$8)/100</f>
        <v>2.774039006272913E-3</v>
      </c>
      <c r="AK362" s="91">
        <f>'Part 3 Portfolio Analysis'!$B$107*F362+M362*'Part 3 Portfolio Analysis'!$C$107+T362*'Part 3 Portfolio Analysis'!$D$107+AA362*'Part 3 Portfolio Analysis'!$E$107+AH362*'Part 3 Portfolio Analysis'!$F$107</f>
        <v>2.5929000000000004E-3</v>
      </c>
      <c r="AL362" s="91">
        <f>F362*'Part 3 Portfolio Analysis'!$B$121+M362*'Part 3 Portfolio Analysis'!$C$121+'Part 3 Portfolio Analysis'!$D$121*T362+AA362*'Part 3 Portfolio Analysis'!$E$121+'Part 3 Portfolio Analysis'!$F$121*AH362</f>
        <v>5.0155199999999999E-3</v>
      </c>
      <c r="AM362" s="91"/>
      <c r="AN362" s="90">
        <v>45177</v>
      </c>
      <c r="AO362" s="91">
        <v>19774.800780000001</v>
      </c>
      <c r="AP362" s="91">
        <v>19819.949219999999</v>
      </c>
      <c r="AQ362" s="91">
        <v>19819.949219999999</v>
      </c>
      <c r="AR362" s="91">
        <v>288100</v>
      </c>
      <c r="AS362" s="91">
        <v>4.7000000000000002E-3</v>
      </c>
    </row>
    <row r="363" spans="1:45" x14ac:dyDescent="0.55000000000000004">
      <c r="A363" s="90">
        <v>45180</v>
      </c>
      <c r="B363" s="91">
        <v>7370</v>
      </c>
      <c r="C363" s="91">
        <v>7402.1499020000001</v>
      </c>
      <c r="D363" s="91">
        <v>7248.6889650000003</v>
      </c>
      <c r="E363" s="91">
        <v>103972</v>
      </c>
      <c r="F363" s="91">
        <v>4.8999999999999998E-3</v>
      </c>
      <c r="H363" s="90">
        <v>45180</v>
      </c>
      <c r="I363" s="91">
        <v>1226</v>
      </c>
      <c r="J363" s="91">
        <v>1237.3000489999999</v>
      </c>
      <c r="K363" s="91">
        <v>1228.2094729999999</v>
      </c>
      <c r="L363" s="91">
        <v>13271074</v>
      </c>
      <c r="M363" s="91">
        <v>1.0800000000000001E-2</v>
      </c>
      <c r="O363" s="90">
        <v>45180</v>
      </c>
      <c r="P363" s="91">
        <v>814.45001219999995</v>
      </c>
      <c r="Q363" s="91">
        <v>815.90002440000001</v>
      </c>
      <c r="R363" s="91">
        <v>794.17382810000004</v>
      </c>
      <c r="S363" s="91">
        <v>31573022</v>
      </c>
      <c r="T363" s="91">
        <v>5.1999999999999998E-3</v>
      </c>
      <c r="V363" s="90">
        <v>45180</v>
      </c>
      <c r="W363" s="91">
        <v>1469.599976</v>
      </c>
      <c r="X363" s="91">
        <v>1476.4499510000001</v>
      </c>
      <c r="Y363" s="91">
        <v>1372.2929690000001</v>
      </c>
      <c r="Z363" s="91">
        <v>4182226</v>
      </c>
      <c r="AA363" s="91">
        <v>4.7000000000000002E-3</v>
      </c>
      <c r="AB363" s="91"/>
      <c r="AC363" s="90">
        <v>45180</v>
      </c>
      <c r="AD363" s="91">
        <v>2093.9499510000001</v>
      </c>
      <c r="AE363" s="91">
        <v>2085.75</v>
      </c>
      <c r="AF363" s="91">
        <v>2082.515625</v>
      </c>
      <c r="AG363" s="91">
        <v>623499</v>
      </c>
      <c r="AH363" s="91">
        <v>-4.0000000000000002E-4</v>
      </c>
      <c r="AI363" s="91"/>
      <c r="AJ363" s="91">
        <f>(F363*'Part 3 Portfolio Analysis'!$B$8+M363*'Part 3 Portfolio Analysis'!$C$8+T363*'Part 3 Portfolio Analysis'!$D$8+AA363*'Part 3 Portfolio Analysis'!$E$8+AH363*'Part 3 Portfolio Analysis'!$F$8)/100</f>
        <v>7.0046898170146041E-3</v>
      </c>
      <c r="AK363" s="91">
        <f>'Part 3 Portfolio Analysis'!$B$107*F363+M363*'Part 3 Portfolio Analysis'!$C$107+T363*'Part 3 Portfolio Analysis'!$D$107+AA363*'Part 3 Portfolio Analysis'!$E$107+AH363*'Part 3 Portfolio Analysis'!$F$107</f>
        <v>5.4375999999999999E-3</v>
      </c>
      <c r="AL363" s="91">
        <f>F363*'Part 3 Portfolio Analysis'!$B$121+M363*'Part 3 Portfolio Analysis'!$C$121+'Part 3 Portfolio Analysis'!$D$121*T363+AA363*'Part 3 Portfolio Analysis'!$E$121+'Part 3 Portfolio Analysis'!$F$121*AH363</f>
        <v>7.2783799999999992E-3</v>
      </c>
      <c r="AM363" s="91"/>
      <c r="AN363" s="90">
        <v>45180</v>
      </c>
      <c r="AO363" s="91">
        <v>19890</v>
      </c>
      <c r="AP363" s="91">
        <v>19996.349610000001</v>
      </c>
      <c r="AQ363" s="91">
        <v>19996.349610000001</v>
      </c>
      <c r="AR363" s="91">
        <v>248800</v>
      </c>
      <c r="AS363" s="91">
        <v>8.8999999999999999E-3</v>
      </c>
    </row>
    <row r="364" spans="1:45" x14ac:dyDescent="0.55000000000000004">
      <c r="A364" s="90">
        <v>45181</v>
      </c>
      <c r="B364" s="91">
        <v>7410</v>
      </c>
      <c r="C364" s="91">
        <v>7366.8500979999999</v>
      </c>
      <c r="D364" s="91">
        <v>7214.1210940000001</v>
      </c>
      <c r="E364" s="91">
        <v>111611</v>
      </c>
      <c r="F364" s="91">
        <v>-4.7999999999999996E-3</v>
      </c>
      <c r="H364" s="90">
        <v>45181</v>
      </c>
      <c r="I364" s="91">
        <v>1241.5</v>
      </c>
      <c r="J364" s="91">
        <v>1219.4250489999999</v>
      </c>
      <c r="K364" s="91">
        <v>1210.465942</v>
      </c>
      <c r="L364" s="91">
        <v>16255666</v>
      </c>
      <c r="M364" s="91">
        <v>-1.44E-2</v>
      </c>
      <c r="O364" s="90">
        <v>45181</v>
      </c>
      <c r="P364" s="91">
        <v>820</v>
      </c>
      <c r="Q364" s="91">
        <v>818.45001219999995</v>
      </c>
      <c r="R364" s="91">
        <v>796.65594480000004</v>
      </c>
      <c r="S364" s="91">
        <v>39033340</v>
      </c>
      <c r="T364" s="91">
        <v>3.0999999999999999E-3</v>
      </c>
      <c r="V364" s="90">
        <v>45181</v>
      </c>
      <c r="W364" s="91">
        <v>1482.5</v>
      </c>
      <c r="X364" s="91">
        <v>1501.099976</v>
      </c>
      <c r="Y364" s="91">
        <v>1395.2039789999999</v>
      </c>
      <c r="Z364" s="91">
        <v>6793161</v>
      </c>
      <c r="AA364" s="91">
        <v>1.67E-2</v>
      </c>
      <c r="AB364" s="91"/>
      <c r="AC364" s="90">
        <v>45181</v>
      </c>
      <c r="AD364" s="91">
        <v>2093.9499510000001</v>
      </c>
      <c r="AE364" s="91">
        <v>2057.3999020000001</v>
      </c>
      <c r="AF364" s="91">
        <v>2054.2097170000002</v>
      </c>
      <c r="AG364" s="91">
        <v>722560</v>
      </c>
      <c r="AH364" s="91">
        <v>-1.3599999999999999E-2</v>
      </c>
      <c r="AI364" s="91"/>
      <c r="AJ364" s="91">
        <f>(F364*'Part 3 Portfolio Analysis'!$B$8+M364*'Part 3 Portfolio Analysis'!$C$8+T364*'Part 3 Portfolio Analysis'!$D$8+AA364*'Part 3 Portfolio Analysis'!$E$8+AH364*'Part 3 Portfolio Analysis'!$F$8)/100</f>
        <v>-3.5879248412881777E-3</v>
      </c>
      <c r="AK364" s="91">
        <f>'Part 3 Portfolio Analysis'!$B$107*F364+M364*'Part 3 Portfolio Analysis'!$C$107+T364*'Part 3 Portfolio Analysis'!$D$107+AA364*'Part 3 Portfolio Analysis'!$E$107+AH364*'Part 3 Portfolio Analysis'!$F$107</f>
        <v>-6.6479E-3</v>
      </c>
      <c r="AL364" s="91">
        <f>F364*'Part 3 Portfolio Analysis'!$B$121+M364*'Part 3 Portfolio Analysis'!$C$121+'Part 3 Portfolio Analysis'!$D$121*T364+AA364*'Part 3 Portfolio Analysis'!$E$121+'Part 3 Portfolio Analysis'!$F$121*AH364</f>
        <v>-2.6099199999999995E-3</v>
      </c>
      <c r="AM364" s="91"/>
      <c r="AN364" s="90">
        <v>45181</v>
      </c>
      <c r="AO364" s="91">
        <v>20110.150389999999</v>
      </c>
      <c r="AP364" s="91">
        <v>19993.199219999999</v>
      </c>
      <c r="AQ364" s="91">
        <v>19993.199219999999</v>
      </c>
      <c r="AR364" s="91">
        <v>328100</v>
      </c>
      <c r="AS364" s="91">
        <v>-2.0000000000000001E-4</v>
      </c>
    </row>
    <row r="365" spans="1:45" x14ac:dyDescent="0.55000000000000004">
      <c r="A365" s="90">
        <v>45182</v>
      </c>
      <c r="B365" s="91">
        <v>7358</v>
      </c>
      <c r="C365" s="91">
        <v>7264.3999020000001</v>
      </c>
      <c r="D365" s="91">
        <v>7113.794922</v>
      </c>
      <c r="E365" s="91">
        <v>105616</v>
      </c>
      <c r="F365" s="91">
        <v>-1.3899999999999999E-2</v>
      </c>
      <c r="H365" s="90">
        <v>45182</v>
      </c>
      <c r="I365" s="91">
        <v>1220</v>
      </c>
      <c r="J365" s="91">
        <v>1225.525024</v>
      </c>
      <c r="K365" s="91">
        <v>1216.520996</v>
      </c>
      <c r="L365" s="91">
        <v>12803338</v>
      </c>
      <c r="M365" s="91">
        <v>5.0000000000000001E-3</v>
      </c>
      <c r="O365" s="90">
        <v>45182</v>
      </c>
      <c r="P365" s="91">
        <v>815.65002440000001</v>
      </c>
      <c r="Q365" s="91">
        <v>821.95001219999995</v>
      </c>
      <c r="R365" s="91">
        <v>800.06274410000003</v>
      </c>
      <c r="S365" s="91">
        <v>46420094</v>
      </c>
      <c r="T365" s="91">
        <v>4.3E-3</v>
      </c>
      <c r="V365" s="90">
        <v>45182</v>
      </c>
      <c r="W365" s="91">
        <v>1505</v>
      </c>
      <c r="X365" s="91">
        <v>1498.349976</v>
      </c>
      <c r="Y365" s="91">
        <v>1392.6480710000001</v>
      </c>
      <c r="Z365" s="91">
        <v>4804686</v>
      </c>
      <c r="AA365" s="91">
        <v>-1.8E-3</v>
      </c>
      <c r="AB365" s="91"/>
      <c r="AC365" s="90">
        <v>45182</v>
      </c>
      <c r="AD365" s="91">
        <v>2061.5</v>
      </c>
      <c r="AE365" s="91">
        <v>2065.3999020000001</v>
      </c>
      <c r="AF365" s="91">
        <v>2062.1972660000001</v>
      </c>
      <c r="AG365" s="91">
        <v>355761</v>
      </c>
      <c r="AH365" s="91">
        <v>3.8999999999999998E-3</v>
      </c>
      <c r="AI365" s="91"/>
      <c r="AJ365" s="91">
        <f>(F365*'Part 3 Portfolio Analysis'!$B$8+M365*'Part 3 Portfolio Analysis'!$C$8+T365*'Part 3 Portfolio Analysis'!$D$8+AA365*'Part 3 Portfolio Analysis'!$E$8+AH365*'Part 3 Portfolio Analysis'!$F$8)/100</f>
        <v>-1.8918681220638856E-3</v>
      </c>
      <c r="AK365" s="91">
        <f>'Part 3 Portfolio Analysis'!$B$107*F365+M365*'Part 3 Portfolio Analysis'!$C$107+T365*'Part 3 Portfolio Analysis'!$D$107+AA365*'Part 3 Portfolio Analysis'!$E$107+AH365*'Part 3 Portfolio Analysis'!$F$107</f>
        <v>5.3230000000000009E-4</v>
      </c>
      <c r="AL365" s="91">
        <f>F365*'Part 3 Portfolio Analysis'!$B$121+M365*'Part 3 Portfolio Analysis'!$C$121+'Part 3 Portfolio Analysis'!$D$121*T365+AA365*'Part 3 Portfolio Analysis'!$E$121+'Part 3 Portfolio Analysis'!$F$121*AH365</f>
        <v>1.8671999999999998E-3</v>
      </c>
      <c r="AM365" s="91"/>
      <c r="AN365" s="90">
        <v>45182</v>
      </c>
      <c r="AO365" s="91">
        <v>19989.5</v>
      </c>
      <c r="AP365" s="91">
        <v>20070</v>
      </c>
      <c r="AQ365" s="91">
        <v>20070</v>
      </c>
      <c r="AR365" s="91">
        <v>251400</v>
      </c>
      <c r="AS365" s="91">
        <v>3.8E-3</v>
      </c>
    </row>
    <row r="366" spans="1:45" x14ac:dyDescent="0.55000000000000004">
      <c r="A366" s="90">
        <v>45183</v>
      </c>
      <c r="B366" s="91">
        <v>7300</v>
      </c>
      <c r="C366" s="91">
        <v>7310.6499020000001</v>
      </c>
      <c r="D366" s="91">
        <v>7159.0859380000002</v>
      </c>
      <c r="E366" s="91">
        <v>47205</v>
      </c>
      <c r="F366" s="91">
        <v>6.4000000000000003E-3</v>
      </c>
      <c r="H366" s="90">
        <v>45183</v>
      </c>
      <c r="I366" s="91">
        <v>1230</v>
      </c>
      <c r="J366" s="91">
        <v>1226.650024</v>
      </c>
      <c r="K366" s="91">
        <v>1217.6376949999999</v>
      </c>
      <c r="L366" s="91">
        <v>9209636</v>
      </c>
      <c r="M366" s="91">
        <v>8.9999999999999998E-4</v>
      </c>
      <c r="O366" s="90">
        <v>45183</v>
      </c>
      <c r="P366" s="91">
        <v>822.125</v>
      </c>
      <c r="Q366" s="91">
        <v>821.45001219999995</v>
      </c>
      <c r="R366" s="91">
        <v>799.57604979999996</v>
      </c>
      <c r="S366" s="91">
        <v>23538848</v>
      </c>
      <c r="T366" s="91">
        <v>-5.9999999999999995E-4</v>
      </c>
      <c r="V366" s="90">
        <v>45183</v>
      </c>
      <c r="W366" s="91">
        <v>1505</v>
      </c>
      <c r="X366" s="91">
        <v>1506.9499510000001</v>
      </c>
      <c r="Y366" s="91">
        <v>1400.6412350000001</v>
      </c>
      <c r="Z366" s="91">
        <v>6444213</v>
      </c>
      <c r="AA366" s="91">
        <v>5.7000000000000002E-3</v>
      </c>
      <c r="AB366" s="91"/>
      <c r="AC366" s="90">
        <v>45183</v>
      </c>
      <c r="AD366" s="91">
        <v>2051</v>
      </c>
      <c r="AE366" s="91">
        <v>2058.5</v>
      </c>
      <c r="AF366" s="91">
        <v>2055.3081050000001</v>
      </c>
      <c r="AG366" s="91">
        <v>287994</v>
      </c>
      <c r="AH366" s="91">
        <v>-3.3E-3</v>
      </c>
      <c r="AI366" s="91"/>
      <c r="AJ366" s="91">
        <f>(F366*'Part 3 Portfolio Analysis'!$B$8+M366*'Part 3 Portfolio Analysis'!$C$8+T366*'Part 3 Portfolio Analysis'!$D$8+AA366*'Part 3 Portfolio Analysis'!$E$8+AH366*'Part 3 Portfolio Analysis'!$F$8)/100</f>
        <v>3.0312129782605855E-3</v>
      </c>
      <c r="AK366" s="91">
        <f>'Part 3 Portfolio Analysis'!$B$107*F366+M366*'Part 3 Portfolio Analysis'!$C$107+T366*'Part 3 Portfolio Analysis'!$D$107+AA366*'Part 3 Portfolio Analysis'!$E$107+AH366*'Part 3 Portfolio Analysis'!$F$107</f>
        <v>1.0790999999999999E-3</v>
      </c>
      <c r="AL366" s="91">
        <f>F366*'Part 3 Portfolio Analysis'!$B$121+M366*'Part 3 Portfolio Analysis'!$C$121+'Part 3 Portfolio Analysis'!$D$121*T366+AA366*'Part 3 Portfolio Analysis'!$E$121+'Part 3 Portfolio Analysis'!$F$121*AH366</f>
        <v>1.7940600000000001E-3</v>
      </c>
      <c r="AM366" s="91"/>
      <c r="AN366" s="90">
        <v>45183</v>
      </c>
      <c r="AO366" s="91">
        <v>20127.949219999999</v>
      </c>
      <c r="AP366" s="91">
        <v>20103.099610000001</v>
      </c>
      <c r="AQ366" s="91">
        <v>20103.099610000001</v>
      </c>
      <c r="AR366" s="91">
        <v>275100</v>
      </c>
      <c r="AS366" s="91">
        <v>1.6000000000000001E-3</v>
      </c>
    </row>
    <row r="367" spans="1:45" x14ac:dyDescent="0.55000000000000004">
      <c r="A367" s="90">
        <v>45184</v>
      </c>
      <c r="B367" s="91">
        <v>7332</v>
      </c>
      <c r="C367" s="91">
        <v>7234.6499020000001</v>
      </c>
      <c r="D367" s="91">
        <v>7084.6616210000002</v>
      </c>
      <c r="E367" s="91">
        <v>92775</v>
      </c>
      <c r="F367" s="91">
        <v>-1.04E-2</v>
      </c>
      <c r="H367" s="90">
        <v>45184</v>
      </c>
      <c r="I367" s="91">
        <v>1234</v>
      </c>
      <c r="J367" s="91">
        <v>1228.9250489999999</v>
      </c>
      <c r="K367" s="91">
        <v>1219.8961179999999</v>
      </c>
      <c r="L367" s="91">
        <v>25468592</v>
      </c>
      <c r="M367" s="91">
        <v>1.9E-3</v>
      </c>
      <c r="O367" s="90">
        <v>45184</v>
      </c>
      <c r="P367" s="91">
        <v>825</v>
      </c>
      <c r="Q367" s="91">
        <v>830.875</v>
      </c>
      <c r="R367" s="91">
        <v>808.75</v>
      </c>
      <c r="S367" s="91">
        <v>173411202</v>
      </c>
      <c r="T367" s="91">
        <v>1.15E-2</v>
      </c>
      <c r="V367" s="90">
        <v>45184</v>
      </c>
      <c r="W367" s="91">
        <v>1518</v>
      </c>
      <c r="X367" s="91">
        <v>1511.599976</v>
      </c>
      <c r="Y367" s="91">
        <v>1404.963379</v>
      </c>
      <c r="Z367" s="91">
        <v>8657816</v>
      </c>
      <c r="AA367" s="91">
        <v>3.0999999999999999E-3</v>
      </c>
      <c r="AB367" s="91"/>
      <c r="AC367" s="90">
        <v>45184</v>
      </c>
      <c r="AD367" s="91">
        <v>2073</v>
      </c>
      <c r="AE367" s="91">
        <v>2070.25</v>
      </c>
      <c r="AF367" s="91">
        <v>2067.0397950000001</v>
      </c>
      <c r="AG367" s="91">
        <v>359579</v>
      </c>
      <c r="AH367" s="91">
        <v>5.7000000000000002E-3</v>
      </c>
      <c r="AI367" s="91"/>
      <c r="AJ367" s="91">
        <f>(F367*'Part 3 Portfolio Analysis'!$B$8+M367*'Part 3 Portfolio Analysis'!$C$8+T367*'Part 3 Portfolio Analysis'!$D$8+AA367*'Part 3 Portfolio Analysis'!$E$8+AH367*'Part 3 Portfolio Analysis'!$F$8)/100</f>
        <v>4.1661875887282455E-5</v>
      </c>
      <c r="AK367" s="91">
        <f>'Part 3 Portfolio Analysis'!$B$107*F367+M367*'Part 3 Portfolio Analysis'!$C$107+T367*'Part 3 Portfolio Analysis'!$D$107+AA367*'Part 3 Portfolio Analysis'!$E$107+AH367*'Part 3 Portfolio Analysis'!$F$107</f>
        <v>2.2516000000000003E-3</v>
      </c>
      <c r="AL367" s="91">
        <f>F367*'Part 3 Portfolio Analysis'!$B$121+M367*'Part 3 Portfolio Analysis'!$C$121+'Part 3 Portfolio Analysis'!$D$121*T367+AA367*'Part 3 Portfolio Analysis'!$E$121+'Part 3 Portfolio Analysis'!$F$121*AH367</f>
        <v>3.8397000000000001E-3</v>
      </c>
      <c r="AM367" s="91"/>
      <c r="AN367" s="90">
        <v>45184</v>
      </c>
      <c r="AO367" s="91">
        <v>20156.449219999999</v>
      </c>
      <c r="AP367" s="91">
        <v>20192.349610000001</v>
      </c>
      <c r="AQ367" s="91">
        <v>20192.349610000001</v>
      </c>
      <c r="AR367" s="91">
        <v>438200</v>
      </c>
      <c r="AS367" s="91">
        <v>4.4000000000000003E-3</v>
      </c>
    </row>
    <row r="368" spans="1:45" x14ac:dyDescent="0.55000000000000004">
      <c r="A368" s="90">
        <v>45187</v>
      </c>
      <c r="B368" s="91">
        <v>7260</v>
      </c>
      <c r="C368" s="91">
        <v>7288.1499020000001</v>
      </c>
      <c r="D368" s="91">
        <v>7137.0527339999999</v>
      </c>
      <c r="E368" s="91">
        <v>65434</v>
      </c>
      <c r="F368" s="91">
        <v>7.4000000000000003E-3</v>
      </c>
      <c r="H368" s="90">
        <v>45187</v>
      </c>
      <c r="I368" s="91">
        <v>1220.025024</v>
      </c>
      <c r="J368" s="91">
        <v>1218.224976</v>
      </c>
      <c r="K368" s="91">
        <v>1209.274658</v>
      </c>
      <c r="L368" s="91">
        <v>7516300</v>
      </c>
      <c r="M368" s="91">
        <v>-8.6999999999999994E-3</v>
      </c>
      <c r="O368" s="90">
        <v>45187</v>
      </c>
      <c r="P368" s="91">
        <v>826.875</v>
      </c>
      <c r="Q368" s="91">
        <v>814.52502440000001</v>
      </c>
      <c r="R368" s="91">
        <v>792.83538820000001</v>
      </c>
      <c r="S368" s="91">
        <v>37056288</v>
      </c>
      <c r="T368" s="91">
        <v>-1.9699999999999999E-2</v>
      </c>
      <c r="V368" s="90">
        <v>45187</v>
      </c>
      <c r="W368" s="91">
        <v>1504.900024</v>
      </c>
      <c r="X368" s="91">
        <v>1491.8000489999999</v>
      </c>
      <c r="Y368" s="91">
        <v>1386.5601810000001</v>
      </c>
      <c r="Z368" s="91">
        <v>3991916</v>
      </c>
      <c r="AA368" s="91">
        <v>-1.3100000000000001E-2</v>
      </c>
      <c r="AB368" s="91"/>
      <c r="AC368" s="90">
        <v>45187</v>
      </c>
      <c r="AD368" s="91">
        <v>2073</v>
      </c>
      <c r="AE368" s="91">
        <v>2055.3500979999999</v>
      </c>
      <c r="AF368" s="91">
        <v>2052.163086</v>
      </c>
      <c r="AG368" s="91">
        <v>323336</v>
      </c>
      <c r="AH368" s="91">
        <v>-7.1999999999999998E-3</v>
      </c>
      <c r="AI368" s="91"/>
      <c r="AJ368" s="91">
        <f>(F368*'Part 3 Portfolio Analysis'!$B$8+M368*'Part 3 Portfolio Analysis'!$C$8+T368*'Part 3 Portfolio Analysis'!$D$8+AA368*'Part 3 Portfolio Analysis'!$E$8+AH368*'Part 3 Portfolio Analysis'!$F$8)/100</f>
        <v>-6.3983870170895825E-3</v>
      </c>
      <c r="AK368" s="91">
        <f>'Part 3 Portfolio Analysis'!$B$107*F368+M368*'Part 3 Portfolio Analysis'!$C$107+T368*'Part 3 Portfolio Analysis'!$D$107+AA368*'Part 3 Portfolio Analysis'!$E$107+AH368*'Part 3 Portfolio Analysis'!$F$107</f>
        <v>-7.5690000000000002E-3</v>
      </c>
      <c r="AL368" s="91">
        <f>F368*'Part 3 Portfolio Analysis'!$B$121+M368*'Part 3 Portfolio Analysis'!$C$121+'Part 3 Portfolio Analysis'!$D$121*T368+AA368*'Part 3 Portfolio Analysis'!$E$121+'Part 3 Portfolio Analysis'!$F$121*AH368</f>
        <v>-1.120928E-2</v>
      </c>
      <c r="AM368" s="91"/>
      <c r="AN368" s="90">
        <v>45187</v>
      </c>
      <c r="AO368" s="91">
        <v>20155.949219999999</v>
      </c>
      <c r="AP368" s="91">
        <v>20133.300780000001</v>
      </c>
      <c r="AQ368" s="91">
        <v>20133.300780000001</v>
      </c>
      <c r="AR368" s="91">
        <v>264900</v>
      </c>
      <c r="AS368" s="91">
        <v>-2.8999999999999998E-3</v>
      </c>
    </row>
    <row r="369" spans="1:45" x14ac:dyDescent="0.55000000000000004">
      <c r="A369" s="90">
        <v>45189</v>
      </c>
      <c r="B369" s="91">
        <v>7268.9501950000003</v>
      </c>
      <c r="C369" s="91">
        <v>7301.8999020000001</v>
      </c>
      <c r="D369" s="91">
        <v>7150.517578</v>
      </c>
      <c r="E369" s="91">
        <v>61657</v>
      </c>
      <c r="F369" s="91">
        <v>1.9E-3</v>
      </c>
      <c r="H369" s="90">
        <v>45189</v>
      </c>
      <c r="I369" s="91">
        <v>1211.525024</v>
      </c>
      <c r="J369" s="91">
        <v>1191.0749510000001</v>
      </c>
      <c r="K369" s="91">
        <v>1182.323975</v>
      </c>
      <c r="L369" s="91">
        <v>57081884</v>
      </c>
      <c r="M369" s="91">
        <v>-2.23E-2</v>
      </c>
      <c r="O369" s="90">
        <v>45189</v>
      </c>
      <c r="P369" s="91">
        <v>799.5</v>
      </c>
      <c r="Q369" s="91">
        <v>781.84997559999999</v>
      </c>
      <c r="R369" s="91">
        <v>761.03045650000001</v>
      </c>
      <c r="S369" s="91">
        <v>115474648</v>
      </c>
      <c r="T369" s="91">
        <v>-4.0099999999999997E-2</v>
      </c>
      <c r="V369" s="90">
        <v>45189</v>
      </c>
      <c r="W369" s="91">
        <v>1476.1999510000001</v>
      </c>
      <c r="X369" s="91">
        <v>1490.25</v>
      </c>
      <c r="Y369" s="91">
        <v>1385.119385</v>
      </c>
      <c r="Z369" s="91">
        <v>4169337</v>
      </c>
      <c r="AA369" s="91">
        <v>-1E-3</v>
      </c>
      <c r="AB369" s="91"/>
      <c r="AC369" s="90">
        <v>45189</v>
      </c>
      <c r="AD369" s="91">
        <v>2052</v>
      </c>
      <c r="AE369" s="91">
        <v>2061.6000979999999</v>
      </c>
      <c r="AF369" s="91">
        <v>2058.4033199999999</v>
      </c>
      <c r="AG369" s="91">
        <v>451829</v>
      </c>
      <c r="AH369" s="91">
        <v>3.0000000000000001E-3</v>
      </c>
      <c r="AI369" s="91"/>
      <c r="AJ369" s="91">
        <f>(F369*'Part 3 Portfolio Analysis'!$B$8+M369*'Part 3 Portfolio Analysis'!$C$8+T369*'Part 3 Portfolio Analysis'!$D$8+AA369*'Part 3 Portfolio Analysis'!$E$8+AH369*'Part 3 Portfolio Analysis'!$F$8)/100</f>
        <v>-1.4334109029827215E-2</v>
      </c>
      <c r="AK369" s="91">
        <f>'Part 3 Portfolio Analysis'!$B$107*F369+M369*'Part 3 Portfolio Analysis'!$C$107+T369*'Part 3 Portfolio Analysis'!$D$107+AA369*'Part 3 Portfolio Analysis'!$E$107+AH369*'Part 3 Portfolio Analysis'!$F$107</f>
        <v>-1.2197399999999999E-2</v>
      </c>
      <c r="AL369" s="91">
        <f>F369*'Part 3 Portfolio Analysis'!$B$121+M369*'Part 3 Portfolio Analysis'!$C$121+'Part 3 Portfolio Analysis'!$D$121*T369+AA369*'Part 3 Portfolio Analysis'!$E$121+'Part 3 Portfolio Analysis'!$F$121*AH369</f>
        <v>-2.0229499999999997E-2</v>
      </c>
      <c r="AM369" s="91"/>
      <c r="AN369" s="90">
        <v>45189</v>
      </c>
      <c r="AO369" s="91">
        <v>19980.75</v>
      </c>
      <c r="AP369" s="91">
        <v>19901.400389999999</v>
      </c>
      <c r="AQ369" s="91">
        <v>19901.400389999999</v>
      </c>
      <c r="AR369" s="91">
        <v>378100</v>
      </c>
      <c r="AS369" s="91">
        <v>-1.15E-2</v>
      </c>
    </row>
    <row r="370" spans="1:45" x14ac:dyDescent="0.55000000000000004">
      <c r="A370" s="90">
        <v>45190</v>
      </c>
      <c r="B370" s="91">
        <v>7300</v>
      </c>
      <c r="C370" s="91">
        <v>7285.9501950000003</v>
      </c>
      <c r="D370" s="91">
        <v>7134.8984380000002</v>
      </c>
      <c r="E370" s="91">
        <v>64624</v>
      </c>
      <c r="F370" s="91">
        <v>-2.2000000000000001E-3</v>
      </c>
      <c r="H370" s="90">
        <v>45190</v>
      </c>
      <c r="I370" s="91">
        <v>1187.474976</v>
      </c>
      <c r="J370" s="91">
        <v>1182.400024</v>
      </c>
      <c r="K370" s="91">
        <v>1173.7128909999999</v>
      </c>
      <c r="L370" s="91">
        <v>12226182</v>
      </c>
      <c r="M370" s="91">
        <v>-7.3000000000000001E-3</v>
      </c>
      <c r="O370" s="90">
        <v>45190</v>
      </c>
      <c r="P370" s="91">
        <v>776.5</v>
      </c>
      <c r="Q370" s="91">
        <v>776.67498780000005</v>
      </c>
      <c r="R370" s="91">
        <v>755.99328609999998</v>
      </c>
      <c r="S370" s="91">
        <v>72841442</v>
      </c>
      <c r="T370" s="91">
        <v>-6.6E-3</v>
      </c>
      <c r="V370" s="90">
        <v>45190</v>
      </c>
      <c r="W370" s="91">
        <v>1486.5500489999999</v>
      </c>
      <c r="X370" s="91">
        <v>1501.75</v>
      </c>
      <c r="Y370" s="91">
        <v>1395.8082280000001</v>
      </c>
      <c r="Z370" s="91">
        <v>6779195</v>
      </c>
      <c r="AA370" s="91">
        <v>7.7000000000000002E-3</v>
      </c>
      <c r="AB370" s="91"/>
      <c r="AC370" s="90">
        <v>45190</v>
      </c>
      <c r="AD370" s="91">
        <v>2063</v>
      </c>
      <c r="AE370" s="91">
        <v>2058.1999510000001</v>
      </c>
      <c r="AF370" s="91">
        <v>2055.0085450000001</v>
      </c>
      <c r="AG370" s="91">
        <v>298279</v>
      </c>
      <c r="AH370" s="91">
        <v>-1.6000000000000001E-3</v>
      </c>
      <c r="AI370" s="91"/>
      <c r="AJ370" s="91">
        <f>(F370*'Part 3 Portfolio Analysis'!$B$8+M370*'Part 3 Portfolio Analysis'!$C$8+T370*'Part 3 Portfolio Analysis'!$D$8+AA370*'Part 3 Portfolio Analysis'!$E$8+AH370*'Part 3 Portfolio Analysis'!$F$8)/100</f>
        <v>-3.183518059509124E-3</v>
      </c>
      <c r="AK370" s="91">
        <f>'Part 3 Portfolio Analysis'!$B$107*F370+M370*'Part 3 Portfolio Analysis'!$C$107+T370*'Part 3 Portfolio Analysis'!$D$107+AA370*'Part 3 Portfolio Analysis'!$E$107+AH370*'Part 3 Portfolio Analysis'!$F$107</f>
        <v>-3.3371E-3</v>
      </c>
      <c r="AL370" s="91">
        <f>F370*'Part 3 Portfolio Analysis'!$B$121+M370*'Part 3 Portfolio Analysis'!$C$121+'Part 3 Portfolio Analysis'!$D$121*T370+AA370*'Part 3 Portfolio Analysis'!$E$121+'Part 3 Portfolio Analysis'!$F$121*AH370</f>
        <v>-3.5410399999999992E-3</v>
      </c>
      <c r="AM370" s="91"/>
      <c r="AN370" s="90">
        <v>45190</v>
      </c>
      <c r="AO370" s="91">
        <v>19840.550780000001</v>
      </c>
      <c r="AP370" s="91">
        <v>19742.349610000001</v>
      </c>
      <c r="AQ370" s="91">
        <v>19742.349610000001</v>
      </c>
      <c r="AR370" s="91">
        <v>275100</v>
      </c>
      <c r="AS370" s="91">
        <v>-8.0000000000000002E-3</v>
      </c>
    </row>
    <row r="371" spans="1:45" x14ac:dyDescent="0.55000000000000004">
      <c r="A371" s="90">
        <v>45191</v>
      </c>
      <c r="B371" s="91">
        <v>7308.9501950000003</v>
      </c>
      <c r="C371" s="91">
        <v>7254.8500979999999</v>
      </c>
      <c r="D371" s="91">
        <v>7104.4433589999999</v>
      </c>
      <c r="E371" s="91">
        <v>35750</v>
      </c>
      <c r="F371" s="91">
        <v>-4.3E-3</v>
      </c>
      <c r="H371" s="90">
        <v>45191</v>
      </c>
      <c r="I371" s="91">
        <v>1188</v>
      </c>
      <c r="J371" s="91">
        <v>1177.474976</v>
      </c>
      <c r="K371" s="91">
        <v>1168.8240969999999</v>
      </c>
      <c r="L371" s="91">
        <v>19176786</v>
      </c>
      <c r="M371" s="91">
        <v>-4.1999999999999997E-3</v>
      </c>
      <c r="O371" s="90">
        <v>45191</v>
      </c>
      <c r="P371" s="91">
        <v>779.5</v>
      </c>
      <c r="Q371" s="91">
        <v>764.82501219999995</v>
      </c>
      <c r="R371" s="91">
        <v>744.45886229999996</v>
      </c>
      <c r="S371" s="91">
        <v>61704250</v>
      </c>
      <c r="T371" s="91">
        <v>-1.5299999999999999E-2</v>
      </c>
      <c r="V371" s="90">
        <v>45191</v>
      </c>
      <c r="W371" s="91">
        <v>1491.900024</v>
      </c>
      <c r="X371" s="91">
        <v>1496.150024</v>
      </c>
      <c r="Y371" s="91">
        <v>1390.603149</v>
      </c>
      <c r="Z371" s="91">
        <v>5455613</v>
      </c>
      <c r="AA371" s="91">
        <v>-3.7000000000000002E-3</v>
      </c>
      <c r="AB371" s="91"/>
      <c r="AC371" s="90">
        <v>45191</v>
      </c>
      <c r="AD371" s="91">
        <v>2069.4499510000001</v>
      </c>
      <c r="AE371" s="91">
        <v>2065.8999020000001</v>
      </c>
      <c r="AF371" s="91">
        <v>2062.6965329999998</v>
      </c>
      <c r="AG371" s="91">
        <v>394776</v>
      </c>
      <c r="AH371" s="91">
        <v>3.7000000000000002E-3</v>
      </c>
      <c r="AI371" s="91"/>
      <c r="AJ371" s="91">
        <f>(F371*'Part 3 Portfolio Analysis'!$B$8+M371*'Part 3 Portfolio Analysis'!$C$8+T371*'Part 3 Portfolio Analysis'!$D$8+AA371*'Part 3 Portfolio Analysis'!$E$8+AH371*'Part 3 Portfolio Analysis'!$F$8)/100</f>
        <v>-5.9239427751065455E-3</v>
      </c>
      <c r="AK371" s="91">
        <f>'Part 3 Portfolio Analysis'!$B$107*F371+M371*'Part 3 Portfolio Analysis'!$C$107+T371*'Part 3 Portfolio Analysis'!$D$107+AA371*'Part 3 Portfolio Analysis'!$E$107+AH371*'Part 3 Portfolio Analysis'!$F$107</f>
        <v>-3.8976999999999996E-3</v>
      </c>
      <c r="AL371" s="91">
        <f>F371*'Part 3 Portfolio Analysis'!$B$121+M371*'Part 3 Portfolio Analysis'!$C$121+'Part 3 Portfolio Analysis'!$D$121*T371+AA371*'Part 3 Portfolio Analysis'!$E$121+'Part 3 Portfolio Analysis'!$F$121*AH371</f>
        <v>-6.9204400000000008E-3</v>
      </c>
      <c r="AM371" s="91"/>
      <c r="AN371" s="90">
        <v>45191</v>
      </c>
      <c r="AO371" s="91">
        <v>19744.849610000001</v>
      </c>
      <c r="AP371" s="91">
        <v>19674.25</v>
      </c>
      <c r="AQ371" s="91">
        <v>19674.25</v>
      </c>
      <c r="AR371" s="91">
        <v>246400</v>
      </c>
      <c r="AS371" s="91">
        <v>-3.3999999999999998E-3</v>
      </c>
    </row>
    <row r="372" spans="1:45" x14ac:dyDescent="0.55000000000000004">
      <c r="A372" s="90">
        <v>45194</v>
      </c>
      <c r="B372" s="91">
        <v>7271.9501950000003</v>
      </c>
      <c r="C372" s="91">
        <v>7267.75</v>
      </c>
      <c r="D372" s="91">
        <v>7117.0751950000003</v>
      </c>
      <c r="E372" s="91">
        <v>45714</v>
      </c>
      <c r="F372" s="91">
        <v>1.8E-3</v>
      </c>
      <c r="H372" s="90">
        <v>45194</v>
      </c>
      <c r="I372" s="91">
        <v>1175.1999510000001</v>
      </c>
      <c r="J372" s="91">
        <v>1170.224976</v>
      </c>
      <c r="K372" s="91">
        <v>1161.6273189999999</v>
      </c>
      <c r="L372" s="91">
        <v>14254884</v>
      </c>
      <c r="M372" s="91">
        <v>-6.1999999999999998E-3</v>
      </c>
      <c r="O372" s="90">
        <v>45194</v>
      </c>
      <c r="P372" s="91">
        <v>762.5</v>
      </c>
      <c r="Q372" s="91">
        <v>765.5</v>
      </c>
      <c r="R372" s="91">
        <v>745.11584470000003</v>
      </c>
      <c r="S372" s="91">
        <v>40208754</v>
      </c>
      <c r="T372" s="91">
        <v>8.9999999999999998E-4</v>
      </c>
      <c r="V372" s="90">
        <v>45194</v>
      </c>
      <c r="W372" s="91">
        <v>1489.849976</v>
      </c>
      <c r="X372" s="91">
        <v>1474.150024</v>
      </c>
      <c r="Y372" s="91">
        <v>1370.1552730000001</v>
      </c>
      <c r="Z372" s="91">
        <v>4217863</v>
      </c>
      <c r="AA372" s="91">
        <v>-1.47E-2</v>
      </c>
      <c r="AB372" s="91"/>
      <c r="AC372" s="90">
        <v>45194</v>
      </c>
      <c r="AD372" s="91">
        <v>2080</v>
      </c>
      <c r="AE372" s="91">
        <v>2157.0500489999999</v>
      </c>
      <c r="AF372" s="91">
        <v>2153.7053219999998</v>
      </c>
      <c r="AG372" s="91">
        <v>1841241</v>
      </c>
      <c r="AH372" s="91">
        <v>4.41E-2</v>
      </c>
      <c r="AI372" s="91"/>
      <c r="AJ372" s="91">
        <f>(F372*'Part 3 Portfolio Analysis'!$B$8+M372*'Part 3 Portfolio Analysis'!$C$8+T372*'Part 3 Portfolio Analysis'!$D$8+AA372*'Part 3 Portfolio Analysis'!$E$8+AH372*'Part 3 Portfolio Analysis'!$F$8)/100</f>
        <v>-3.491953251757854E-3</v>
      </c>
      <c r="AK372" s="91">
        <f>'Part 3 Portfolio Analysis'!$B$107*F372+M372*'Part 3 Portfolio Analysis'!$C$107+T372*'Part 3 Portfolio Analysis'!$D$107+AA372*'Part 3 Portfolio Analysis'!$E$107+AH372*'Part 3 Portfolio Analysis'!$F$107</f>
        <v>8.1660999999999991E-3</v>
      </c>
      <c r="AL372" s="91">
        <f>F372*'Part 3 Portfolio Analysis'!$B$121+M372*'Part 3 Portfolio Analysis'!$C$121+'Part 3 Portfolio Analysis'!$D$121*T372+AA372*'Part 3 Portfolio Analysis'!$E$121+'Part 3 Portfolio Analysis'!$F$121*AH372</f>
        <v>-3.9933399999999997E-3</v>
      </c>
      <c r="AM372" s="91"/>
      <c r="AN372" s="90">
        <v>45194</v>
      </c>
      <c r="AO372" s="91">
        <v>19678.199219999999</v>
      </c>
      <c r="AP372" s="91">
        <v>19674.550780000001</v>
      </c>
      <c r="AQ372" s="91">
        <v>19674.550780000001</v>
      </c>
      <c r="AR372" s="91">
        <v>188400</v>
      </c>
      <c r="AS372" s="91">
        <v>0</v>
      </c>
    </row>
    <row r="373" spans="1:45" x14ac:dyDescent="0.55000000000000004">
      <c r="A373" s="90">
        <v>45195</v>
      </c>
      <c r="B373" s="91">
        <v>7270</v>
      </c>
      <c r="C373" s="91">
        <v>7310.8999020000001</v>
      </c>
      <c r="D373" s="91">
        <v>7159.3310549999997</v>
      </c>
      <c r="E373" s="91">
        <v>74758</v>
      </c>
      <c r="F373" s="91">
        <v>5.8999999999999999E-3</v>
      </c>
      <c r="H373" s="90">
        <v>45195</v>
      </c>
      <c r="I373" s="91">
        <v>1169.275024</v>
      </c>
      <c r="J373" s="91">
        <v>1171.25</v>
      </c>
      <c r="K373" s="91">
        <v>1162.6446530000001</v>
      </c>
      <c r="L373" s="91">
        <v>10087782</v>
      </c>
      <c r="M373" s="91">
        <v>8.9999999999999998E-4</v>
      </c>
      <c r="O373" s="90">
        <v>45195</v>
      </c>
      <c r="P373" s="91">
        <v>762.5</v>
      </c>
      <c r="Q373" s="91">
        <v>768.82501219999995</v>
      </c>
      <c r="R373" s="91">
        <v>748.35235599999999</v>
      </c>
      <c r="S373" s="91">
        <v>27575308</v>
      </c>
      <c r="T373" s="91">
        <v>4.3E-3</v>
      </c>
      <c r="V373" s="90">
        <v>45195</v>
      </c>
      <c r="W373" s="91">
        <v>1479.150024</v>
      </c>
      <c r="X373" s="91">
        <v>1460.650024</v>
      </c>
      <c r="Y373" s="91">
        <v>1357.607422</v>
      </c>
      <c r="Z373" s="91">
        <v>3996528</v>
      </c>
      <c r="AA373" s="91">
        <v>-9.1999999999999998E-3</v>
      </c>
      <c r="AB373" s="91"/>
      <c r="AC373" s="90">
        <v>45195</v>
      </c>
      <c r="AD373" s="91">
        <v>2157</v>
      </c>
      <c r="AE373" s="91">
        <v>2150.9499510000001</v>
      </c>
      <c r="AF373" s="91">
        <v>2147.6145019999999</v>
      </c>
      <c r="AG373" s="91">
        <v>1021206</v>
      </c>
      <c r="AH373" s="91">
        <v>-2.8E-3</v>
      </c>
      <c r="AI373" s="91"/>
      <c r="AJ373" s="91">
        <f>(F373*'Part 3 Portfolio Analysis'!$B$8+M373*'Part 3 Portfolio Analysis'!$C$8+T373*'Part 3 Portfolio Analysis'!$D$8+AA373*'Part 3 Portfolio Analysis'!$E$8+AH373*'Part 3 Portfolio Analysis'!$F$8)/100</f>
        <v>1.3055718173720606E-3</v>
      </c>
      <c r="AK373" s="91">
        <f>'Part 3 Portfolio Analysis'!$B$107*F373+M373*'Part 3 Portfolio Analysis'!$C$107+T373*'Part 3 Portfolio Analysis'!$D$107+AA373*'Part 3 Portfolio Analysis'!$E$107+AH373*'Part 3 Portfolio Analysis'!$F$107</f>
        <v>3.8460000000000013E-4</v>
      </c>
      <c r="AL373" s="91">
        <f>F373*'Part 3 Portfolio Analysis'!$B$121+M373*'Part 3 Portfolio Analysis'!$C$121+'Part 3 Portfolio Analysis'!$D$121*T373+AA373*'Part 3 Portfolio Analysis'!$E$121+'Part 3 Portfolio Analysis'!$F$121*AH373</f>
        <v>1.1885999999999989E-4</v>
      </c>
      <c r="AM373" s="91"/>
      <c r="AN373" s="90">
        <v>45195</v>
      </c>
      <c r="AO373" s="91">
        <v>19682.800780000001</v>
      </c>
      <c r="AP373" s="91">
        <v>19664.699219999999</v>
      </c>
      <c r="AQ373" s="91">
        <v>19664.699219999999</v>
      </c>
      <c r="AR373" s="91">
        <v>204900</v>
      </c>
      <c r="AS373" s="91">
        <v>-5.0000000000000001E-4</v>
      </c>
    </row>
    <row r="374" spans="1:45" x14ac:dyDescent="0.55000000000000004">
      <c r="A374" s="90">
        <v>45196</v>
      </c>
      <c r="B374" s="91">
        <v>7310.8999020000001</v>
      </c>
      <c r="C374" s="91">
        <v>7301.7001950000003</v>
      </c>
      <c r="D374" s="91">
        <v>7150.3217770000001</v>
      </c>
      <c r="E374" s="91">
        <v>48873</v>
      </c>
      <c r="F374" s="91">
        <v>-1.2999999999999999E-3</v>
      </c>
      <c r="H374" s="90">
        <v>45196</v>
      </c>
      <c r="I374" s="91">
        <v>1171.75</v>
      </c>
      <c r="J374" s="91">
        <v>1184.4499510000001</v>
      </c>
      <c r="K374" s="91">
        <v>1175.7476810000001</v>
      </c>
      <c r="L374" s="91">
        <v>11722778</v>
      </c>
      <c r="M374" s="91">
        <v>1.1299999999999999E-2</v>
      </c>
      <c r="O374" s="90">
        <v>45196</v>
      </c>
      <c r="P374" s="91">
        <v>761.5</v>
      </c>
      <c r="Q374" s="91">
        <v>763.42498780000005</v>
      </c>
      <c r="R374" s="91">
        <v>743.09606929999995</v>
      </c>
      <c r="S374" s="91">
        <v>39338538</v>
      </c>
      <c r="T374" s="91">
        <v>-7.0000000000000001E-3</v>
      </c>
      <c r="V374" s="90">
        <v>45196</v>
      </c>
      <c r="W374" s="91">
        <v>1456</v>
      </c>
      <c r="X374" s="91">
        <v>1467</v>
      </c>
      <c r="Y374" s="91">
        <v>1363.5095209999999</v>
      </c>
      <c r="Z374" s="91">
        <v>3863586</v>
      </c>
      <c r="AA374" s="91">
        <v>4.3E-3</v>
      </c>
      <c r="AB374" s="91"/>
      <c r="AC374" s="90">
        <v>45196</v>
      </c>
      <c r="AD374" s="91">
        <v>2143</v>
      </c>
      <c r="AE374" s="91">
        <v>2113.8500979999999</v>
      </c>
      <c r="AF374" s="91">
        <v>2110.57251</v>
      </c>
      <c r="AG374" s="91">
        <v>582180</v>
      </c>
      <c r="AH374" s="91">
        <v>-1.72E-2</v>
      </c>
      <c r="AI374" s="91"/>
      <c r="AJ374" s="91">
        <f>(F374*'Part 3 Portfolio Analysis'!$B$8+M374*'Part 3 Portfolio Analysis'!$C$8+T374*'Part 3 Portfolio Analysis'!$D$8+AA374*'Part 3 Portfolio Analysis'!$E$8+AH374*'Part 3 Portfolio Analysis'!$F$8)/100</f>
        <v>3.0622450838931293E-3</v>
      </c>
      <c r="AK374" s="91">
        <f>'Part 3 Portfolio Analysis'!$B$107*F374+M374*'Part 3 Portfolio Analysis'!$C$107+T374*'Part 3 Portfolio Analysis'!$D$107+AA374*'Part 3 Portfolio Analysis'!$E$107+AH374*'Part 3 Portfolio Analysis'!$F$107</f>
        <v>-1.6865000000000005E-3</v>
      </c>
      <c r="AL374" s="91">
        <f>F374*'Part 3 Portfolio Analysis'!$B$121+M374*'Part 3 Portfolio Analysis'!$C$121+'Part 3 Portfolio Analysis'!$D$121*T374+AA374*'Part 3 Portfolio Analysis'!$E$121+'Part 3 Portfolio Analysis'!$F$121*AH374</f>
        <v>3.1399799999999988E-3</v>
      </c>
      <c r="AM374" s="91"/>
      <c r="AN374" s="90">
        <v>45196</v>
      </c>
      <c r="AO374" s="91">
        <v>19637.050780000001</v>
      </c>
      <c r="AP374" s="91">
        <v>19716.449219999999</v>
      </c>
      <c r="AQ374" s="91">
        <v>19716.449219999999</v>
      </c>
      <c r="AR374" s="91">
        <v>203600</v>
      </c>
      <c r="AS374" s="91">
        <v>2.5999999999999999E-3</v>
      </c>
    </row>
    <row r="375" spans="1:45" x14ac:dyDescent="0.55000000000000004">
      <c r="A375" s="90">
        <v>45197</v>
      </c>
      <c r="B375" s="91">
        <v>7339</v>
      </c>
      <c r="C375" s="91">
        <v>7228</v>
      </c>
      <c r="D375" s="91">
        <v>7078.1499020000001</v>
      </c>
      <c r="E375" s="91">
        <v>46573</v>
      </c>
      <c r="F375" s="91">
        <v>-1.01E-2</v>
      </c>
      <c r="H375" s="90">
        <v>45197</v>
      </c>
      <c r="I375" s="91">
        <v>1191.5</v>
      </c>
      <c r="J375" s="91">
        <v>1167.0500489999999</v>
      </c>
      <c r="K375" s="91">
        <v>1158.475586</v>
      </c>
      <c r="L375" s="91">
        <v>14518346</v>
      </c>
      <c r="M375" s="91">
        <v>-1.47E-2</v>
      </c>
      <c r="O375" s="90">
        <v>45197</v>
      </c>
      <c r="P375" s="91">
        <v>767</v>
      </c>
      <c r="Q375" s="91">
        <v>761.84997559999999</v>
      </c>
      <c r="R375" s="91">
        <v>741.56304929999999</v>
      </c>
      <c r="S375" s="91">
        <v>55354188</v>
      </c>
      <c r="T375" s="91">
        <v>-2.0999999999999999E-3</v>
      </c>
      <c r="V375" s="90">
        <v>45197</v>
      </c>
      <c r="W375" s="91">
        <v>1467.900024</v>
      </c>
      <c r="X375" s="91">
        <v>1439.4499510000001</v>
      </c>
      <c r="Y375" s="91">
        <v>1337.9033199999999</v>
      </c>
      <c r="Z375" s="91">
        <v>5814602</v>
      </c>
      <c r="AA375" s="91">
        <v>-1.8800000000000001E-2</v>
      </c>
      <c r="AB375" s="91"/>
      <c r="AC375" s="90">
        <v>45197</v>
      </c>
      <c r="AD375" s="91">
        <v>2122.1000979999999</v>
      </c>
      <c r="AE375" s="91">
        <v>2064.5500489999999</v>
      </c>
      <c r="AF375" s="91">
        <v>2061.3486330000001</v>
      </c>
      <c r="AG375" s="91">
        <v>3956535</v>
      </c>
      <c r="AH375" s="91">
        <v>-2.3300000000000001E-2</v>
      </c>
      <c r="AI375" s="91"/>
      <c r="AJ375" s="91">
        <f>(F375*'Part 3 Portfolio Analysis'!$B$8+M375*'Part 3 Portfolio Analysis'!$C$8+T375*'Part 3 Portfolio Analysis'!$D$8+AA375*'Part 3 Portfolio Analysis'!$E$8+AH375*'Part 3 Portfolio Analysis'!$F$8)/100</f>
        <v>-1.1962040543623409E-2</v>
      </c>
      <c r="AK375" s="91">
        <f>'Part 3 Portfolio Analysis'!$B$107*F375+M375*'Part 3 Portfolio Analysis'!$C$107+T375*'Part 3 Portfolio Analysis'!$D$107+AA375*'Part 3 Portfolio Analysis'!$E$107+AH375*'Part 3 Portfolio Analysis'!$F$107</f>
        <v>-1.4496200000000001E-2</v>
      </c>
      <c r="AL375" s="91">
        <f>F375*'Part 3 Portfolio Analysis'!$B$121+M375*'Part 3 Portfolio Analysis'!$C$121+'Part 3 Portfolio Analysis'!$D$121*T375+AA375*'Part 3 Portfolio Analysis'!$E$121+'Part 3 Portfolio Analysis'!$F$121*AH375</f>
        <v>-1.1939999999999999E-2</v>
      </c>
      <c r="AM375" s="91"/>
      <c r="AN375" s="90">
        <v>45197</v>
      </c>
      <c r="AO375" s="91">
        <v>19761.800780000001</v>
      </c>
      <c r="AP375" s="91">
        <v>19523.550780000001</v>
      </c>
      <c r="AQ375" s="91">
        <v>19523.550780000001</v>
      </c>
      <c r="AR375" s="91">
        <v>352800</v>
      </c>
      <c r="AS375" s="91">
        <v>-9.7999999999999997E-3</v>
      </c>
    </row>
    <row r="376" spans="1:45" x14ac:dyDescent="0.55000000000000004">
      <c r="A376" s="90">
        <v>45198</v>
      </c>
      <c r="B376" s="91">
        <v>7248</v>
      </c>
      <c r="C376" s="91">
        <v>7227.1499020000001</v>
      </c>
      <c r="D376" s="91">
        <v>7077.3168949999999</v>
      </c>
      <c r="E376" s="91">
        <v>50735</v>
      </c>
      <c r="F376" s="91">
        <v>-1E-4</v>
      </c>
      <c r="H376" s="90">
        <v>45198</v>
      </c>
      <c r="I376" s="91">
        <v>1170.900024</v>
      </c>
      <c r="J376" s="91">
        <v>1172.5</v>
      </c>
      <c r="K376" s="91">
        <v>1163.88562</v>
      </c>
      <c r="L376" s="91">
        <v>12342014</v>
      </c>
      <c r="M376" s="91">
        <v>4.7000000000000002E-3</v>
      </c>
      <c r="O376" s="90">
        <v>45198</v>
      </c>
      <c r="P376" s="91">
        <v>761.84997559999999</v>
      </c>
      <c r="Q376" s="91">
        <v>763.15002440000001</v>
      </c>
      <c r="R376" s="91">
        <v>742.82843019999996</v>
      </c>
      <c r="S376" s="91">
        <v>32053782</v>
      </c>
      <c r="T376" s="91">
        <v>1.6999999999999999E-3</v>
      </c>
      <c r="V376" s="90">
        <v>45198</v>
      </c>
      <c r="W376" s="91">
        <v>1432.099976</v>
      </c>
      <c r="X376" s="91">
        <v>1435.4499510000001</v>
      </c>
      <c r="Y376" s="91">
        <v>1334.1851810000001</v>
      </c>
      <c r="Z376" s="91">
        <v>6068968</v>
      </c>
      <c r="AA376" s="91">
        <v>-2.8E-3</v>
      </c>
      <c r="AB376" s="91"/>
      <c r="AC376" s="90">
        <v>45198</v>
      </c>
      <c r="AD376" s="91">
        <v>2056.6499020000001</v>
      </c>
      <c r="AE376" s="91">
        <v>2080.1499020000001</v>
      </c>
      <c r="AF376" s="91">
        <v>2076.9243160000001</v>
      </c>
      <c r="AG376" s="91">
        <v>767501</v>
      </c>
      <c r="AH376" s="91">
        <v>7.6E-3</v>
      </c>
      <c r="AI376" s="91"/>
      <c r="AJ376" s="91">
        <f>(F376*'Part 3 Portfolio Analysis'!$B$8+M376*'Part 3 Portfolio Analysis'!$C$8+T376*'Part 3 Portfolio Analysis'!$D$8+AA376*'Part 3 Portfolio Analysis'!$E$8+AH376*'Part 3 Portfolio Analysis'!$F$8)/100</f>
        <v>1.5809035552320047E-3</v>
      </c>
      <c r="AK376" s="91">
        <f>'Part 3 Portfolio Analysis'!$B$107*F376+M376*'Part 3 Portfolio Analysis'!$C$107+T376*'Part 3 Portfolio Analysis'!$D$107+AA376*'Part 3 Portfolio Analysis'!$E$107+AH376*'Part 3 Portfolio Analysis'!$F$107</f>
        <v>3.3518000000000003E-3</v>
      </c>
      <c r="AL376" s="91">
        <f>F376*'Part 3 Portfolio Analysis'!$B$121+M376*'Part 3 Portfolio Analysis'!$C$121+'Part 3 Portfolio Analysis'!$D$121*T376+AA376*'Part 3 Portfolio Analysis'!$E$121+'Part 3 Portfolio Analysis'!$F$121*AH376</f>
        <v>2.0654199999999997E-3</v>
      </c>
      <c r="AM376" s="91"/>
      <c r="AN376" s="90">
        <v>45198</v>
      </c>
      <c r="AO376" s="91">
        <v>19581.199219999999</v>
      </c>
      <c r="AP376" s="91">
        <v>19638.300780000001</v>
      </c>
      <c r="AQ376" s="91">
        <v>19638.300780000001</v>
      </c>
      <c r="AR376" s="91">
        <v>243500</v>
      </c>
      <c r="AS376" s="91">
        <v>5.8999999999999999E-3</v>
      </c>
    </row>
    <row r="377" spans="1:45" x14ac:dyDescent="0.55000000000000004">
      <c r="A377" s="90">
        <v>45202</v>
      </c>
      <c r="B377" s="91">
        <v>7260</v>
      </c>
      <c r="C377" s="91">
        <v>7210.7001950000003</v>
      </c>
      <c r="D377" s="91">
        <v>7061.2084960000002</v>
      </c>
      <c r="E377" s="91">
        <v>123949</v>
      </c>
      <c r="F377" s="91">
        <v>-2.3E-3</v>
      </c>
      <c r="H377" s="90">
        <v>45202</v>
      </c>
      <c r="I377" s="91">
        <v>1164.974976</v>
      </c>
      <c r="J377" s="91">
        <v>1159.0749510000001</v>
      </c>
      <c r="K377" s="91">
        <v>1150.559082</v>
      </c>
      <c r="L377" s="91">
        <v>8859056</v>
      </c>
      <c r="M377" s="91">
        <v>-1.15E-2</v>
      </c>
      <c r="O377" s="90">
        <v>45202</v>
      </c>
      <c r="P377" s="91">
        <v>763.5</v>
      </c>
      <c r="Q377" s="91">
        <v>754.02502440000001</v>
      </c>
      <c r="R377" s="91">
        <v>733.94641109999998</v>
      </c>
      <c r="S377" s="91">
        <v>38971694</v>
      </c>
      <c r="T377" s="91">
        <v>-1.2E-2</v>
      </c>
      <c r="V377" s="90">
        <v>45202</v>
      </c>
      <c r="W377" s="91">
        <v>1436.0500489999999</v>
      </c>
      <c r="X377" s="91">
        <v>1434</v>
      </c>
      <c r="Y377" s="91">
        <v>1332.8376459999999</v>
      </c>
      <c r="Z377" s="91">
        <v>4181867</v>
      </c>
      <c r="AA377" s="91">
        <v>-1E-3</v>
      </c>
      <c r="AB377" s="91"/>
      <c r="AC377" s="90">
        <v>45202</v>
      </c>
      <c r="AD377" s="91">
        <v>2074.3000489999999</v>
      </c>
      <c r="AE377" s="91">
        <v>2059.1000979999999</v>
      </c>
      <c r="AF377" s="91">
        <v>2055.9072270000001</v>
      </c>
      <c r="AG377" s="91">
        <v>543387</v>
      </c>
      <c r="AH377" s="91">
        <v>-1.01E-2</v>
      </c>
      <c r="AI377" s="91"/>
      <c r="AJ377" s="91">
        <f>(F377*'Part 3 Portfolio Analysis'!$B$8+M377*'Part 3 Portfolio Analysis'!$C$8+T377*'Part 3 Portfolio Analysis'!$D$8+AA377*'Part 3 Portfolio Analysis'!$E$8+AH377*'Part 3 Portfolio Analysis'!$F$8)/100</f>
        <v>-7.1199208308086208E-3</v>
      </c>
      <c r="AK377" s="91">
        <f>'Part 3 Portfolio Analysis'!$B$107*F377+M377*'Part 3 Portfolio Analysis'!$C$107+T377*'Part 3 Portfolio Analysis'!$D$107+AA377*'Part 3 Portfolio Analysis'!$E$107+AH377*'Part 3 Portfolio Analysis'!$F$107</f>
        <v>-8.5187000000000006E-3</v>
      </c>
      <c r="AL377" s="91">
        <f>F377*'Part 3 Portfolio Analysis'!$B$121+M377*'Part 3 Portfolio Analysis'!$C$121+'Part 3 Portfolio Analysis'!$D$121*T377+AA377*'Part 3 Portfolio Analysis'!$E$121+'Part 3 Portfolio Analysis'!$F$121*AH377</f>
        <v>-8.7430800000000003E-3</v>
      </c>
      <c r="AM377" s="91"/>
      <c r="AN377" s="90">
        <v>45202</v>
      </c>
      <c r="AO377" s="91">
        <v>19622.400389999999</v>
      </c>
      <c r="AP377" s="91">
        <v>19528.75</v>
      </c>
      <c r="AQ377" s="91">
        <v>19528.75</v>
      </c>
      <c r="AR377" s="91">
        <v>221700</v>
      </c>
      <c r="AS377" s="91">
        <v>-5.5999999999999999E-3</v>
      </c>
    </row>
    <row r="378" spans="1:45" x14ac:dyDescent="0.55000000000000004">
      <c r="A378" s="90">
        <v>45203</v>
      </c>
      <c r="B378" s="91">
        <v>7200</v>
      </c>
      <c r="C378" s="91">
        <v>7281.8999020000001</v>
      </c>
      <c r="D378" s="91">
        <v>7130.9321289999998</v>
      </c>
      <c r="E378" s="91">
        <v>80466</v>
      </c>
      <c r="F378" s="91">
        <v>9.9000000000000008E-3</v>
      </c>
      <c r="H378" s="90">
        <v>45203</v>
      </c>
      <c r="I378" s="91">
        <v>1154.5</v>
      </c>
      <c r="J378" s="91">
        <v>1157.0749510000001</v>
      </c>
      <c r="K378" s="91">
        <v>1148.5738530000001</v>
      </c>
      <c r="L378" s="91">
        <v>10286386</v>
      </c>
      <c r="M378" s="91">
        <v>-1.6999999999999999E-3</v>
      </c>
      <c r="O378" s="90">
        <v>45203</v>
      </c>
      <c r="P378" s="91">
        <v>747.5</v>
      </c>
      <c r="Q378" s="91">
        <v>764.77502440000001</v>
      </c>
      <c r="R378" s="91">
        <v>744.4102173</v>
      </c>
      <c r="S378" s="91">
        <v>54649430</v>
      </c>
      <c r="T378" s="91">
        <v>1.43E-2</v>
      </c>
      <c r="V378" s="90">
        <v>45203</v>
      </c>
      <c r="W378" s="91">
        <v>1425</v>
      </c>
      <c r="X378" s="91">
        <v>1444.349976</v>
      </c>
      <c r="Y378" s="91">
        <v>1342.4573969999999</v>
      </c>
      <c r="Z378" s="91">
        <v>4510406</v>
      </c>
      <c r="AA378" s="91">
        <v>7.1999999999999998E-3</v>
      </c>
      <c r="AB378" s="91"/>
      <c r="AC378" s="90">
        <v>45203</v>
      </c>
      <c r="AD378" s="91">
        <v>2054</v>
      </c>
      <c r="AE378" s="91">
        <v>2022.3000489999999</v>
      </c>
      <c r="AF378" s="91">
        <v>2019.1641850000001</v>
      </c>
      <c r="AG378" s="91">
        <v>551771</v>
      </c>
      <c r="AH378" s="91">
        <v>-1.7899999999999999E-2</v>
      </c>
      <c r="AI378" s="91"/>
      <c r="AJ378" s="91">
        <f>(F378*'Part 3 Portfolio Analysis'!$B$8+M378*'Part 3 Portfolio Analysis'!$C$8+T378*'Part 3 Portfolio Analysis'!$D$8+AA378*'Part 3 Portfolio Analysis'!$E$8+AH378*'Part 3 Portfolio Analysis'!$F$8)/100</f>
        <v>5.7229797107514278E-3</v>
      </c>
      <c r="AK378" s="91">
        <f>'Part 3 Portfolio Analysis'!$B$107*F378+M378*'Part 3 Portfolio Analysis'!$C$107+T378*'Part 3 Portfolio Analysis'!$D$107+AA378*'Part 3 Portfolio Analysis'!$E$107+AH378*'Part 3 Portfolio Analysis'!$F$107</f>
        <v>-3.2439999999999899E-4</v>
      </c>
      <c r="AL378" s="91">
        <f>F378*'Part 3 Portfolio Analysis'!$B$121+M378*'Part 3 Portfolio Analysis'!$C$121+'Part 3 Portfolio Analysis'!$D$121*T378+AA378*'Part 3 Portfolio Analysis'!$E$121+'Part 3 Portfolio Analysis'!$F$121*AH378</f>
        <v>4.9610800000000005E-3</v>
      </c>
      <c r="AM378" s="91"/>
      <c r="AN378" s="90">
        <v>45203</v>
      </c>
      <c r="AO378" s="91">
        <v>19446.300780000001</v>
      </c>
      <c r="AP378" s="91">
        <v>19436.099610000001</v>
      </c>
      <c r="AQ378" s="91">
        <v>19436.099610000001</v>
      </c>
      <c r="AR378" s="91">
        <v>277100</v>
      </c>
      <c r="AS378" s="91">
        <v>-4.7000000000000002E-3</v>
      </c>
    </row>
    <row r="379" spans="1:45" x14ac:dyDescent="0.55000000000000004">
      <c r="A379" s="90">
        <v>45204</v>
      </c>
      <c r="B379" s="91">
        <v>7290</v>
      </c>
      <c r="C379" s="91">
        <v>7257.2001950000003</v>
      </c>
      <c r="D379" s="91">
        <v>7106.7446289999998</v>
      </c>
      <c r="E379" s="91">
        <v>70537</v>
      </c>
      <c r="F379" s="91">
        <v>-3.3999999999999998E-3</v>
      </c>
      <c r="H379" s="90">
        <v>45204</v>
      </c>
      <c r="I379" s="91">
        <v>1159.625</v>
      </c>
      <c r="J379" s="91">
        <v>1157.0500489999999</v>
      </c>
      <c r="K379" s="91">
        <v>1148.549072</v>
      </c>
      <c r="L379" s="91">
        <v>10953682</v>
      </c>
      <c r="M379" s="91">
        <v>0</v>
      </c>
      <c r="O379" s="90">
        <v>45204</v>
      </c>
      <c r="P379" s="91">
        <v>767.52502440000001</v>
      </c>
      <c r="Q379" s="91">
        <v>767.875</v>
      </c>
      <c r="R379" s="91">
        <v>747.42761229999996</v>
      </c>
      <c r="S379" s="91">
        <v>48512674</v>
      </c>
      <c r="T379" s="91">
        <v>4.1000000000000003E-3</v>
      </c>
      <c r="V379" s="90">
        <v>45204</v>
      </c>
      <c r="W379" s="91">
        <v>1452</v>
      </c>
      <c r="X379" s="91">
        <v>1463.4499510000001</v>
      </c>
      <c r="Y379" s="91">
        <v>1360.2100829999999</v>
      </c>
      <c r="Z379" s="91">
        <v>7384621</v>
      </c>
      <c r="AA379" s="91">
        <v>1.32E-2</v>
      </c>
      <c r="AB379" s="91"/>
      <c r="AC379" s="90">
        <v>45204</v>
      </c>
      <c r="AD379" s="91">
        <v>2022.9499510000001</v>
      </c>
      <c r="AE379" s="91">
        <v>2047.599976</v>
      </c>
      <c r="AF379" s="91">
        <v>2044.424927</v>
      </c>
      <c r="AG379" s="91">
        <v>461744</v>
      </c>
      <c r="AH379" s="91">
        <v>1.2500000000000001E-2</v>
      </c>
      <c r="AI379" s="91"/>
      <c r="AJ379" s="91">
        <f>(F379*'Part 3 Portfolio Analysis'!$B$8+M379*'Part 3 Portfolio Analysis'!$C$8+T379*'Part 3 Portfolio Analysis'!$D$8+AA379*'Part 3 Portfolio Analysis'!$E$8+AH379*'Part 3 Portfolio Analysis'!$F$8)/100</f>
        <v>1.9104251544252594E-3</v>
      </c>
      <c r="AK379" s="91">
        <f>'Part 3 Portfolio Analysis'!$B$107*F379+M379*'Part 3 Portfolio Analysis'!$C$107+T379*'Part 3 Portfolio Analysis'!$D$107+AA379*'Part 3 Portfolio Analysis'!$E$107+AH379*'Part 3 Portfolio Analysis'!$F$107</f>
        <v>4.4935000000000001E-3</v>
      </c>
      <c r="AL379" s="91">
        <f>F379*'Part 3 Portfolio Analysis'!$B$121+M379*'Part 3 Portfolio Analysis'!$C$121+'Part 3 Portfolio Analysis'!$D$121*T379+AA379*'Part 3 Portfolio Analysis'!$E$121+'Part 3 Portfolio Analysis'!$F$121*AH379</f>
        <v>3.8032200000000004E-3</v>
      </c>
      <c r="AM379" s="91"/>
      <c r="AN379" s="90">
        <v>45204</v>
      </c>
      <c r="AO379" s="91">
        <v>19521.849610000001</v>
      </c>
      <c r="AP379" s="91">
        <v>19545.75</v>
      </c>
      <c r="AQ379" s="91">
        <v>19545.75</v>
      </c>
      <c r="AR379" s="91">
        <v>234900</v>
      </c>
      <c r="AS379" s="91">
        <v>5.5999999999999999E-3</v>
      </c>
    </row>
    <row r="380" spans="1:45" x14ac:dyDescent="0.55000000000000004">
      <c r="A380" s="90">
        <v>45205</v>
      </c>
      <c r="B380" s="91">
        <v>7270</v>
      </c>
      <c r="C380" s="91">
        <v>7302.75</v>
      </c>
      <c r="D380" s="91">
        <v>7151.3496089999999</v>
      </c>
      <c r="E380" s="91">
        <v>65339</v>
      </c>
      <c r="F380" s="91">
        <v>6.3E-3</v>
      </c>
      <c r="H380" s="90">
        <v>45205</v>
      </c>
      <c r="I380" s="91">
        <v>1158.525024</v>
      </c>
      <c r="J380" s="91">
        <v>1159</v>
      </c>
      <c r="K380" s="91">
        <v>1150.484741</v>
      </c>
      <c r="L380" s="91">
        <v>5431026</v>
      </c>
      <c r="M380" s="91">
        <v>1.6999999999999999E-3</v>
      </c>
      <c r="O380" s="90">
        <v>45205</v>
      </c>
      <c r="P380" s="91">
        <v>772</v>
      </c>
      <c r="Q380" s="91">
        <v>767.02502440000001</v>
      </c>
      <c r="R380" s="91">
        <v>746.60034180000002</v>
      </c>
      <c r="S380" s="91">
        <v>17759356</v>
      </c>
      <c r="T380" s="91">
        <v>-1.1000000000000001E-3</v>
      </c>
      <c r="V380" s="90">
        <v>45205</v>
      </c>
      <c r="W380" s="91">
        <v>1469.5</v>
      </c>
      <c r="X380" s="91">
        <v>1478.6999510000001</v>
      </c>
      <c r="Y380" s="91">
        <v>1374.384155</v>
      </c>
      <c r="Z380" s="91">
        <v>3598672</v>
      </c>
      <c r="AA380" s="91">
        <v>1.04E-2</v>
      </c>
      <c r="AB380" s="91"/>
      <c r="AC380" s="90">
        <v>45205</v>
      </c>
      <c r="AD380" s="91">
        <v>2055.8500979999999</v>
      </c>
      <c r="AE380" s="91">
        <v>2072.1000979999999</v>
      </c>
      <c r="AF380" s="91">
        <v>2068.8872070000002</v>
      </c>
      <c r="AG380" s="91">
        <v>444220</v>
      </c>
      <c r="AH380" s="91">
        <v>1.2E-2</v>
      </c>
      <c r="AI380" s="91"/>
      <c r="AJ380" s="91">
        <f>(F380*'Part 3 Portfolio Analysis'!$B$8+M380*'Part 3 Portfolio Analysis'!$C$8+T380*'Part 3 Portfolio Analysis'!$D$8+AA380*'Part 3 Portfolio Analysis'!$E$8+AH380*'Part 3 Portfolio Analysis'!$F$8)/100</f>
        <v>4.1137145439459925E-3</v>
      </c>
      <c r="AK380" s="91">
        <f>'Part 3 Portfolio Analysis'!$B$107*F380+M380*'Part 3 Portfolio Analysis'!$C$107+T380*'Part 3 Portfolio Analysis'!$D$107+AA380*'Part 3 Portfolio Analysis'!$E$107+AH380*'Part 3 Portfolio Analysis'!$F$107</f>
        <v>5.5595999999999996E-3</v>
      </c>
      <c r="AL380" s="91">
        <f>F380*'Part 3 Portfolio Analysis'!$B$121+M380*'Part 3 Portfolio Analysis'!$C$121+'Part 3 Portfolio Analysis'!$D$121*T380+AA380*'Part 3 Portfolio Analysis'!$E$121+'Part 3 Portfolio Analysis'!$F$121*AH380</f>
        <v>3.3263799999999994E-3</v>
      </c>
      <c r="AM380" s="91"/>
      <c r="AN380" s="90">
        <v>45205</v>
      </c>
      <c r="AO380" s="91">
        <v>19621.199219999999</v>
      </c>
      <c r="AP380" s="91">
        <v>19653.5</v>
      </c>
      <c r="AQ380" s="91">
        <v>19653.5</v>
      </c>
      <c r="AR380" s="91">
        <v>159100</v>
      </c>
      <c r="AS380" s="91">
        <v>5.4999999999999997E-3</v>
      </c>
    </row>
    <row r="381" spans="1:45" x14ac:dyDescent="0.55000000000000004">
      <c r="A381" s="90">
        <v>45208</v>
      </c>
      <c r="B381" s="91">
        <v>7199.9501950000003</v>
      </c>
      <c r="C381" s="91">
        <v>7299.3999020000001</v>
      </c>
      <c r="D381" s="91">
        <v>7148.0693359999996</v>
      </c>
      <c r="E381" s="91">
        <v>84115</v>
      </c>
      <c r="F381" s="91">
        <v>-5.0000000000000001E-4</v>
      </c>
      <c r="H381" s="90">
        <v>45208</v>
      </c>
      <c r="I381" s="91">
        <v>1154.0500489999999</v>
      </c>
      <c r="J381" s="91">
        <v>1149.125</v>
      </c>
      <c r="K381" s="91">
        <v>1140.682251</v>
      </c>
      <c r="L381" s="91">
        <v>7576878</v>
      </c>
      <c r="M381" s="91">
        <v>-8.5000000000000006E-3</v>
      </c>
      <c r="O381" s="90">
        <v>45208</v>
      </c>
      <c r="P381" s="91">
        <v>764</v>
      </c>
      <c r="Q381" s="91">
        <v>758.125</v>
      </c>
      <c r="R381" s="91">
        <v>737.93725589999997</v>
      </c>
      <c r="S381" s="91">
        <v>16454972</v>
      </c>
      <c r="T381" s="91">
        <v>-1.1599999999999999E-2</v>
      </c>
      <c r="V381" s="90">
        <v>45208</v>
      </c>
      <c r="W381" s="91">
        <v>1464.900024</v>
      </c>
      <c r="X381" s="91">
        <v>1475.4499510000001</v>
      </c>
      <c r="Y381" s="91">
        <v>1371.3632809999999</v>
      </c>
      <c r="Z381" s="91">
        <v>3567552</v>
      </c>
      <c r="AA381" s="91">
        <v>-2.2000000000000001E-3</v>
      </c>
      <c r="AB381" s="91"/>
      <c r="AC381" s="90">
        <v>45208</v>
      </c>
      <c r="AD381" s="91">
        <v>2035</v>
      </c>
      <c r="AE381" s="91">
        <v>2079.0500489999999</v>
      </c>
      <c r="AF381" s="91">
        <v>2075.826172</v>
      </c>
      <c r="AG381" s="91">
        <v>487722</v>
      </c>
      <c r="AH381" s="91">
        <v>3.3999999999999998E-3</v>
      </c>
      <c r="AI381" s="91"/>
      <c r="AJ381" s="91">
        <f>(F381*'Part 3 Portfolio Analysis'!$B$8+M381*'Part 3 Portfolio Analysis'!$C$8+T381*'Part 3 Portfolio Analysis'!$D$8+AA381*'Part 3 Portfolio Analysis'!$E$8+AH381*'Part 3 Portfolio Analysis'!$F$8)/100</f>
        <v>-5.4869320790413212E-3</v>
      </c>
      <c r="AK381" s="91">
        <f>'Part 3 Portfolio Analysis'!$B$107*F381+M381*'Part 3 Portfolio Analysis'!$C$107+T381*'Part 3 Portfolio Analysis'!$D$107+AA381*'Part 3 Portfolio Analysis'!$E$107+AH381*'Part 3 Portfolio Analysis'!$F$107</f>
        <v>-3.9116999999999989E-3</v>
      </c>
      <c r="AL381" s="91">
        <f>F381*'Part 3 Portfolio Analysis'!$B$121+M381*'Part 3 Portfolio Analysis'!$C$121+'Part 3 Portfolio Analysis'!$D$121*T381+AA381*'Part 3 Portfolio Analysis'!$E$121+'Part 3 Portfolio Analysis'!$F$121*AH381</f>
        <v>-7.1138200000000007E-3</v>
      </c>
      <c r="AM381" s="91"/>
      <c r="AN381" s="90">
        <v>45208</v>
      </c>
      <c r="AO381" s="91">
        <v>19539.449219999999</v>
      </c>
      <c r="AP381" s="91">
        <v>19512.349610000001</v>
      </c>
      <c r="AQ381" s="91">
        <v>19512.349610000001</v>
      </c>
      <c r="AR381" s="91">
        <v>165100</v>
      </c>
      <c r="AS381" s="91">
        <v>-7.1999999999999998E-3</v>
      </c>
    </row>
    <row r="382" spans="1:45" x14ac:dyDescent="0.55000000000000004">
      <c r="A382" s="90">
        <v>45209</v>
      </c>
      <c r="B382" s="91">
        <v>7309.9501950000003</v>
      </c>
      <c r="C382" s="91">
        <v>7359.3999020000001</v>
      </c>
      <c r="D382" s="91">
        <v>7206.8251950000003</v>
      </c>
      <c r="E382" s="91">
        <v>110152</v>
      </c>
      <c r="F382" s="91">
        <v>8.2000000000000007E-3</v>
      </c>
      <c r="H382" s="90">
        <v>45209</v>
      </c>
      <c r="I382" s="91">
        <v>1153.275024</v>
      </c>
      <c r="J382" s="91">
        <v>1154.1999510000001</v>
      </c>
      <c r="K382" s="91">
        <v>1145.719971</v>
      </c>
      <c r="L382" s="91">
        <v>10236032</v>
      </c>
      <c r="M382" s="91">
        <v>4.4000000000000003E-3</v>
      </c>
      <c r="O382" s="90">
        <v>45209</v>
      </c>
      <c r="P382" s="91">
        <v>760.27502440000001</v>
      </c>
      <c r="Q382" s="91">
        <v>762.42498780000005</v>
      </c>
      <c r="R382" s="91">
        <v>742.12274170000001</v>
      </c>
      <c r="S382" s="91">
        <v>33266292</v>
      </c>
      <c r="T382" s="91">
        <v>5.7000000000000002E-3</v>
      </c>
      <c r="V382" s="90">
        <v>45209</v>
      </c>
      <c r="W382" s="91">
        <v>1483.900024</v>
      </c>
      <c r="X382" s="91">
        <v>1495.150024</v>
      </c>
      <c r="Y382" s="91">
        <v>1389.673828</v>
      </c>
      <c r="Z382" s="91">
        <v>5688951</v>
      </c>
      <c r="AA382" s="91">
        <v>1.34E-2</v>
      </c>
      <c r="AB382" s="91"/>
      <c r="AC382" s="90">
        <v>45209</v>
      </c>
      <c r="AD382" s="91">
        <v>2089.75</v>
      </c>
      <c r="AE382" s="91">
        <v>2050.8000489999999</v>
      </c>
      <c r="AF382" s="91">
        <v>2047.6201169999999</v>
      </c>
      <c r="AG382" s="91">
        <v>351329</v>
      </c>
      <c r="AH382" s="91">
        <v>-1.3599999999999999E-2</v>
      </c>
      <c r="AI382" s="91"/>
      <c r="AJ382" s="91">
        <f>(F382*'Part 3 Portfolio Analysis'!$B$8+M382*'Part 3 Portfolio Analysis'!$C$8+T382*'Part 3 Portfolio Analysis'!$D$8+AA382*'Part 3 Portfolio Analysis'!$E$8+AH382*'Part 3 Portfolio Analysis'!$F$8)/100</f>
        <v>7.0293338971253883E-3</v>
      </c>
      <c r="AK382" s="91">
        <f>'Part 3 Portfolio Analysis'!$B$107*F382+M382*'Part 3 Portfolio Analysis'!$C$107+T382*'Part 3 Portfolio Analysis'!$D$107+AA382*'Part 3 Portfolio Analysis'!$E$107+AH382*'Part 3 Portfolio Analysis'!$F$107</f>
        <v>1.6494999999999999E-3</v>
      </c>
      <c r="AL382" s="91">
        <f>F382*'Part 3 Portfolio Analysis'!$B$121+M382*'Part 3 Portfolio Analysis'!$C$121+'Part 3 Portfolio Analysis'!$D$121*T382+AA382*'Part 3 Portfolio Analysis'!$E$121+'Part 3 Portfolio Analysis'!$F$121*AH382</f>
        <v>6.39436E-3</v>
      </c>
      <c r="AM382" s="91"/>
      <c r="AN382" s="90">
        <v>45209</v>
      </c>
      <c r="AO382" s="91">
        <v>19565.599610000001</v>
      </c>
      <c r="AP382" s="91">
        <v>19689.849610000001</v>
      </c>
      <c r="AQ382" s="91">
        <v>19689.849610000001</v>
      </c>
      <c r="AR382" s="91">
        <v>216600</v>
      </c>
      <c r="AS382" s="91">
        <v>9.1000000000000004E-3</v>
      </c>
    </row>
    <row r="383" spans="1:45" x14ac:dyDescent="0.55000000000000004">
      <c r="A383" s="90">
        <v>45210</v>
      </c>
      <c r="B383" s="91">
        <v>7399</v>
      </c>
      <c r="C383" s="91">
        <v>7315.1000979999999</v>
      </c>
      <c r="D383" s="91">
        <v>7163.4438479999999</v>
      </c>
      <c r="E383" s="91">
        <v>163676</v>
      </c>
      <c r="F383" s="91">
        <v>-6.0000000000000001E-3</v>
      </c>
      <c r="H383" s="90">
        <v>45210</v>
      </c>
      <c r="I383" s="91">
        <v>1157.224976</v>
      </c>
      <c r="J383" s="91">
        <v>1172.525024</v>
      </c>
      <c r="K383" s="91">
        <v>1163.9104</v>
      </c>
      <c r="L383" s="91">
        <v>9814118</v>
      </c>
      <c r="M383" s="91">
        <v>1.5900000000000001E-2</v>
      </c>
      <c r="O383" s="90">
        <v>45210</v>
      </c>
      <c r="P383" s="91">
        <v>765.04998780000005</v>
      </c>
      <c r="Q383" s="91">
        <v>769.79998780000005</v>
      </c>
      <c r="R383" s="91">
        <v>749.30133060000003</v>
      </c>
      <c r="S383" s="91">
        <v>31333360</v>
      </c>
      <c r="T383" s="91">
        <v>9.7000000000000003E-3</v>
      </c>
      <c r="V383" s="90">
        <v>45210</v>
      </c>
      <c r="W383" s="91">
        <v>1497</v>
      </c>
      <c r="X383" s="91">
        <v>1494.400024</v>
      </c>
      <c r="Y383" s="91">
        <v>1388.9765629999999</v>
      </c>
      <c r="Z383" s="91">
        <v>7220129</v>
      </c>
      <c r="AA383" s="91">
        <v>-5.0000000000000001E-4</v>
      </c>
      <c r="AB383" s="91"/>
      <c r="AC383" s="90">
        <v>45210</v>
      </c>
      <c r="AD383" s="91">
        <v>2058.4499510000001</v>
      </c>
      <c r="AE383" s="91">
        <v>2101.3000489999999</v>
      </c>
      <c r="AF383" s="91">
        <v>2098.0417480000001</v>
      </c>
      <c r="AG383" s="91">
        <v>729470</v>
      </c>
      <c r="AH383" s="91">
        <v>2.46E-2</v>
      </c>
      <c r="AI383" s="91"/>
      <c r="AJ383" s="91">
        <f>(F383*'Part 3 Portfolio Analysis'!$B$8+M383*'Part 3 Portfolio Analysis'!$C$8+T383*'Part 3 Portfolio Analysis'!$D$8+AA383*'Part 3 Portfolio Analysis'!$E$8+AH383*'Part 3 Portfolio Analysis'!$F$8)/100</f>
        <v>5.7414810032592398E-3</v>
      </c>
      <c r="AK383" s="91">
        <f>'Part 3 Portfolio Analysis'!$B$107*F383+M383*'Part 3 Portfolio Analysis'!$C$107+T383*'Part 3 Portfolio Analysis'!$D$107+AA383*'Part 3 Portfolio Analysis'!$E$107+AH383*'Part 3 Portfolio Analysis'!$F$107</f>
        <v>1.1549400000000001E-2</v>
      </c>
      <c r="AL383" s="91">
        <f>F383*'Part 3 Portfolio Analysis'!$B$121+M383*'Part 3 Portfolio Analysis'!$C$121+'Part 3 Portfolio Analysis'!$D$121*T383+AA383*'Part 3 Portfolio Analysis'!$E$121+'Part 3 Portfolio Analysis'!$F$121*AH383</f>
        <v>9.3613600000000026E-3</v>
      </c>
      <c r="AM383" s="91"/>
      <c r="AN383" s="90">
        <v>45210</v>
      </c>
      <c r="AO383" s="91">
        <v>19767</v>
      </c>
      <c r="AP383" s="91">
        <v>19811.349610000001</v>
      </c>
      <c r="AQ383" s="91">
        <v>19811.349610000001</v>
      </c>
      <c r="AR383" s="91">
        <v>213700</v>
      </c>
      <c r="AS383" s="91">
        <v>6.1999999999999998E-3</v>
      </c>
    </row>
    <row r="384" spans="1:45" x14ac:dyDescent="0.55000000000000004">
      <c r="A384" s="90">
        <v>45211</v>
      </c>
      <c r="B384" s="91">
        <v>7360</v>
      </c>
      <c r="C384" s="91">
        <v>7355.2998049999997</v>
      </c>
      <c r="D384" s="91">
        <v>7202.8100590000004</v>
      </c>
      <c r="E384" s="91">
        <v>59816</v>
      </c>
      <c r="F384" s="91">
        <v>5.4999999999999997E-3</v>
      </c>
      <c r="H384" s="90">
        <v>45211</v>
      </c>
      <c r="I384" s="91">
        <v>1171.9250489999999</v>
      </c>
      <c r="J384" s="91">
        <v>1174.6999510000001</v>
      </c>
      <c r="K384" s="91">
        <v>1166.069336</v>
      </c>
      <c r="L384" s="91">
        <v>12554450</v>
      </c>
      <c r="M384" s="91">
        <v>1.9E-3</v>
      </c>
      <c r="O384" s="90">
        <v>45211</v>
      </c>
      <c r="P384" s="91">
        <v>768.04998780000005</v>
      </c>
      <c r="Q384" s="91">
        <v>774.92498780000005</v>
      </c>
      <c r="R384" s="91">
        <v>754.28985599999999</v>
      </c>
      <c r="S384" s="91">
        <v>22025336</v>
      </c>
      <c r="T384" s="91">
        <v>6.7000000000000002E-3</v>
      </c>
      <c r="V384" s="90">
        <v>45211</v>
      </c>
      <c r="W384" s="91">
        <v>1491.900024</v>
      </c>
      <c r="X384" s="91">
        <v>1465.5</v>
      </c>
      <c r="Y384" s="91">
        <v>1362.115356</v>
      </c>
      <c r="Z384" s="91">
        <v>11081662</v>
      </c>
      <c r="AA384" s="91">
        <v>-1.9300000000000001E-2</v>
      </c>
      <c r="AB384" s="91"/>
      <c r="AC384" s="90">
        <v>45211</v>
      </c>
      <c r="AD384" s="91">
        <v>2105</v>
      </c>
      <c r="AE384" s="91">
        <v>2077.1999510000001</v>
      </c>
      <c r="AF384" s="91">
        <v>2073.9790039999998</v>
      </c>
      <c r="AG384" s="91">
        <v>285544</v>
      </c>
      <c r="AH384" s="91">
        <v>-1.15E-2</v>
      </c>
      <c r="AI384" s="91"/>
      <c r="AJ384" s="91">
        <f>(F384*'Part 3 Portfolio Analysis'!$B$8+M384*'Part 3 Portfolio Analysis'!$C$8+T384*'Part 3 Portfolio Analysis'!$D$8+AA384*'Part 3 Portfolio Analysis'!$E$8+AH384*'Part 3 Portfolio Analysis'!$F$8)/100</f>
        <v>2.3794308315787458E-4</v>
      </c>
      <c r="AK384" s="91">
        <f>'Part 3 Portfolio Analysis'!$B$107*F384+M384*'Part 3 Portfolio Analysis'!$C$107+T384*'Part 3 Portfolio Analysis'!$D$107+AA384*'Part 3 Portfolio Analysis'!$E$107+AH384*'Part 3 Portfolio Analysis'!$F$107</f>
        <v>-2.2048000000000002E-3</v>
      </c>
      <c r="AL384" s="91">
        <f>F384*'Part 3 Portfolio Analysis'!$B$121+M384*'Part 3 Portfolio Analysis'!$C$121+'Part 3 Portfolio Analysis'!$D$121*T384+AA384*'Part 3 Portfolio Analysis'!$E$121+'Part 3 Portfolio Analysis'!$F$121*AH384</f>
        <v>-1.0895600000000007E-3</v>
      </c>
      <c r="AM384" s="91"/>
      <c r="AN384" s="90">
        <v>45211</v>
      </c>
      <c r="AO384" s="91">
        <v>19822.699219999999</v>
      </c>
      <c r="AP384" s="91">
        <v>19794</v>
      </c>
      <c r="AQ384" s="91">
        <v>19794</v>
      </c>
      <c r="AR384" s="91">
        <v>217900</v>
      </c>
      <c r="AS384" s="91">
        <v>-8.9999999999999998E-4</v>
      </c>
    </row>
    <row r="385" spans="1:45" x14ac:dyDescent="0.55000000000000004">
      <c r="A385" s="90">
        <v>45212</v>
      </c>
      <c r="B385" s="91">
        <v>7344.9501950000003</v>
      </c>
      <c r="C385" s="91">
        <v>7443.75</v>
      </c>
      <c r="D385" s="91">
        <v>7289.4267579999996</v>
      </c>
      <c r="E385" s="91">
        <v>147510</v>
      </c>
      <c r="F385" s="91">
        <v>1.2E-2</v>
      </c>
      <c r="H385" s="90">
        <v>45212</v>
      </c>
      <c r="I385" s="91">
        <v>1170</v>
      </c>
      <c r="J385" s="91">
        <v>1174.650024</v>
      </c>
      <c r="K385" s="91">
        <v>1166.0198969999999</v>
      </c>
      <c r="L385" s="91">
        <v>10150316</v>
      </c>
      <c r="M385" s="91">
        <v>0</v>
      </c>
      <c r="O385" s="90">
        <v>45212</v>
      </c>
      <c r="P385" s="91">
        <v>770</v>
      </c>
      <c r="Q385" s="91">
        <v>767.875</v>
      </c>
      <c r="R385" s="91">
        <v>747.42761229999996</v>
      </c>
      <c r="S385" s="91">
        <v>39745300</v>
      </c>
      <c r="T385" s="91">
        <v>-9.1000000000000004E-3</v>
      </c>
      <c r="V385" s="90">
        <v>45212</v>
      </c>
      <c r="W385" s="91">
        <v>1405</v>
      </c>
      <c r="X385" s="91">
        <v>1431.150024</v>
      </c>
      <c r="Y385" s="91">
        <v>1330.1885990000001</v>
      </c>
      <c r="Z385" s="91">
        <v>17973439</v>
      </c>
      <c r="AA385" s="91">
        <v>-2.3400000000000001E-2</v>
      </c>
      <c r="AB385" s="91"/>
      <c r="AC385" s="90">
        <v>45212</v>
      </c>
      <c r="AD385" s="91">
        <v>2075</v>
      </c>
      <c r="AE385" s="91">
        <v>2084.8000489999999</v>
      </c>
      <c r="AF385" s="91">
        <v>2081.5673830000001</v>
      </c>
      <c r="AG385" s="91">
        <v>321887</v>
      </c>
      <c r="AH385" s="91">
        <v>3.7000000000000002E-3</v>
      </c>
      <c r="AI385" s="91"/>
      <c r="AJ385" s="91">
        <f>(F385*'Part 3 Portfolio Analysis'!$B$8+M385*'Part 3 Portfolio Analysis'!$C$8+T385*'Part 3 Portfolio Analysis'!$D$8+AA385*'Part 3 Portfolio Analysis'!$E$8+AH385*'Part 3 Portfolio Analysis'!$F$8)/100</f>
        <v>-1.6476788012734728E-3</v>
      </c>
      <c r="AK385" s="91">
        <f>'Part 3 Portfolio Analysis'!$B$107*F385+M385*'Part 3 Portfolio Analysis'!$C$107+T385*'Part 3 Portfolio Analysis'!$D$107+AA385*'Part 3 Portfolio Analysis'!$E$107+AH385*'Part 3 Portfolio Analysis'!$F$107</f>
        <v>-6.5810000000000011E-4</v>
      </c>
      <c r="AL385" s="91">
        <f>F385*'Part 3 Portfolio Analysis'!$B$121+M385*'Part 3 Portfolio Analysis'!$C$121+'Part 3 Portfolio Analysis'!$D$121*T385+AA385*'Part 3 Portfolio Analysis'!$E$121+'Part 3 Portfolio Analysis'!$F$121*AH385</f>
        <v>-6.0718600000000001E-3</v>
      </c>
      <c r="AM385" s="91"/>
      <c r="AN385" s="90">
        <v>45212</v>
      </c>
      <c r="AO385" s="91">
        <v>19654.550780000001</v>
      </c>
      <c r="AP385" s="91">
        <v>19751.050780000001</v>
      </c>
      <c r="AQ385" s="91">
        <v>19751.050780000001</v>
      </c>
      <c r="AR385" s="91">
        <v>255000</v>
      </c>
      <c r="AS385" s="91">
        <v>-2.2000000000000001E-3</v>
      </c>
    </row>
    <row r="386" spans="1:45" x14ac:dyDescent="0.55000000000000004">
      <c r="A386" s="90">
        <v>45215</v>
      </c>
      <c r="B386" s="91">
        <v>7490</v>
      </c>
      <c r="C386" s="91">
        <v>7477.0498049999997</v>
      </c>
      <c r="D386" s="91">
        <v>7322.0361329999996</v>
      </c>
      <c r="E386" s="91">
        <v>100722</v>
      </c>
      <c r="F386" s="91">
        <v>4.4999999999999997E-3</v>
      </c>
      <c r="H386" s="90">
        <v>45215</v>
      </c>
      <c r="I386" s="91">
        <v>1172.5</v>
      </c>
      <c r="J386" s="91">
        <v>1172.025024</v>
      </c>
      <c r="K386" s="91">
        <v>1163.4140629999999</v>
      </c>
      <c r="L386" s="91">
        <v>5929036</v>
      </c>
      <c r="M386" s="91">
        <v>-2.2000000000000001E-3</v>
      </c>
      <c r="O386" s="90">
        <v>45215</v>
      </c>
      <c r="P386" s="91">
        <v>765.75</v>
      </c>
      <c r="Q386" s="91">
        <v>764.79998780000005</v>
      </c>
      <c r="R386" s="91">
        <v>744.43450929999995</v>
      </c>
      <c r="S386" s="91">
        <v>17856084</v>
      </c>
      <c r="T386" s="91">
        <v>-4.0000000000000001E-3</v>
      </c>
      <c r="V386" s="90">
        <v>45215</v>
      </c>
      <c r="W386" s="91">
        <v>1432.099976</v>
      </c>
      <c r="X386" s="91">
        <v>1434.150024</v>
      </c>
      <c r="Y386" s="91">
        <v>1332.9770510000001</v>
      </c>
      <c r="Z386" s="91">
        <v>4850745</v>
      </c>
      <c r="AA386" s="91">
        <v>2.0999999999999999E-3</v>
      </c>
      <c r="AB386" s="91"/>
      <c r="AC386" s="90">
        <v>45215</v>
      </c>
      <c r="AD386" s="91">
        <v>2093</v>
      </c>
      <c r="AE386" s="91">
        <v>2107.6499020000001</v>
      </c>
      <c r="AF386" s="91">
        <v>2104.381836</v>
      </c>
      <c r="AG386" s="91">
        <v>446019</v>
      </c>
      <c r="AH386" s="91">
        <v>1.0999999999999999E-2</v>
      </c>
      <c r="AI386" s="91"/>
      <c r="AJ386" s="91">
        <f>(F386*'Part 3 Portfolio Analysis'!$B$8+M386*'Part 3 Portfolio Analysis'!$C$8+T386*'Part 3 Portfolio Analysis'!$D$8+AA386*'Part 3 Portfolio Analysis'!$E$8+AH386*'Part 3 Portfolio Analysis'!$F$8)/100</f>
        <v>3.3076296758050342E-4</v>
      </c>
      <c r="AK386" s="91">
        <f>'Part 3 Portfolio Analysis'!$B$107*F386+M386*'Part 3 Portfolio Analysis'!$C$107+T386*'Part 3 Portfolio Analysis'!$D$107+AA386*'Part 3 Portfolio Analysis'!$E$107+AH386*'Part 3 Portfolio Analysis'!$F$107</f>
        <v>2.4833999999999998E-3</v>
      </c>
      <c r="AL386" s="91">
        <f>F386*'Part 3 Portfolio Analysis'!$B$121+M386*'Part 3 Portfolio Analysis'!$C$121+'Part 3 Portfolio Analysis'!$D$121*T386+AA386*'Part 3 Portfolio Analysis'!$E$121+'Part 3 Portfolio Analysis'!$F$121*AH386</f>
        <v>-9.3302000000000033E-4</v>
      </c>
      <c r="AM386" s="91"/>
      <c r="AN386" s="90">
        <v>45215</v>
      </c>
      <c r="AO386" s="91">
        <v>19737.25</v>
      </c>
      <c r="AP386" s="91">
        <v>19731.75</v>
      </c>
      <c r="AQ386" s="91">
        <v>19731.75</v>
      </c>
      <c r="AR386" s="91">
        <v>181000</v>
      </c>
      <c r="AS386" s="91">
        <v>-1E-3</v>
      </c>
    </row>
    <row r="387" spans="1:45" x14ac:dyDescent="0.55000000000000004">
      <c r="A387" s="90">
        <v>45216</v>
      </c>
      <c r="B387" s="91">
        <v>7496.9501950000003</v>
      </c>
      <c r="C387" s="91">
        <v>7445.3500979999999</v>
      </c>
      <c r="D387" s="91">
        <v>7290.9931640000004</v>
      </c>
      <c r="E387" s="91">
        <v>112435</v>
      </c>
      <c r="F387" s="91">
        <v>-4.1999999999999997E-3</v>
      </c>
      <c r="H387" s="90">
        <v>45216</v>
      </c>
      <c r="I387" s="91">
        <v>1178</v>
      </c>
      <c r="J387" s="91">
        <v>1177.625</v>
      </c>
      <c r="K387" s="91">
        <v>1168.9729</v>
      </c>
      <c r="L387" s="91">
        <v>7928180</v>
      </c>
      <c r="M387" s="91">
        <v>4.7999999999999996E-3</v>
      </c>
      <c r="O387" s="90">
        <v>45216</v>
      </c>
      <c r="P387" s="91">
        <v>777.875</v>
      </c>
      <c r="Q387" s="91">
        <v>770.59997559999999</v>
      </c>
      <c r="R387" s="91">
        <v>750.08001709999996</v>
      </c>
      <c r="S387" s="91">
        <v>32902558</v>
      </c>
      <c r="T387" s="91">
        <v>7.6E-3</v>
      </c>
      <c r="V387" s="90">
        <v>45216</v>
      </c>
      <c r="W387" s="91">
        <v>1440.25</v>
      </c>
      <c r="X387" s="91">
        <v>1442.4499510000001</v>
      </c>
      <c r="Y387" s="91">
        <v>1340.6915280000001</v>
      </c>
      <c r="Z387" s="91">
        <v>3923764</v>
      </c>
      <c r="AA387" s="91">
        <v>5.7999999999999996E-3</v>
      </c>
      <c r="AB387" s="91"/>
      <c r="AC387" s="90">
        <v>45216</v>
      </c>
      <c r="AD387" s="91">
        <v>2116.9499510000001</v>
      </c>
      <c r="AE387" s="91">
        <v>2079</v>
      </c>
      <c r="AF387" s="91">
        <v>2075.7761230000001</v>
      </c>
      <c r="AG387" s="91">
        <v>373789</v>
      </c>
      <c r="AH387" s="91">
        <v>-1.3599999999999999E-2</v>
      </c>
      <c r="AI387" s="91"/>
      <c r="AJ387" s="91">
        <f>(F387*'Part 3 Portfolio Analysis'!$B$8+M387*'Part 3 Portfolio Analysis'!$C$8+T387*'Part 3 Portfolio Analysis'!$D$8+AA387*'Part 3 Portfolio Analysis'!$E$8+AH387*'Part 3 Portfolio Analysis'!$F$8)/100</f>
        <v>2.5481749499053326E-3</v>
      </c>
      <c r="AK387" s="91">
        <f>'Part 3 Portfolio Analysis'!$B$107*F387+M387*'Part 3 Portfolio Analysis'!$C$107+T387*'Part 3 Portfolio Analysis'!$D$107+AA387*'Part 3 Portfolio Analysis'!$E$107+AH387*'Part 3 Portfolio Analysis'!$F$107</f>
        <v>-9.228000000000001E-4</v>
      </c>
      <c r="AL387" s="91">
        <f>F387*'Part 3 Portfolio Analysis'!$B$121+M387*'Part 3 Portfolio Analysis'!$C$121+'Part 3 Portfolio Analysis'!$D$121*T387+AA387*'Part 3 Portfolio Analysis'!$E$121+'Part 3 Portfolio Analysis'!$F$121*AH387</f>
        <v>4.5397199999999988E-3</v>
      </c>
      <c r="AM387" s="91"/>
      <c r="AN387" s="90">
        <v>45216</v>
      </c>
      <c r="AO387" s="91">
        <v>19843.199219999999</v>
      </c>
      <c r="AP387" s="91">
        <v>19811.5</v>
      </c>
      <c r="AQ387" s="91">
        <v>19811.5</v>
      </c>
      <c r="AR387" s="91">
        <v>185800</v>
      </c>
      <c r="AS387" s="91">
        <v>4.0000000000000001E-3</v>
      </c>
    </row>
    <row r="388" spans="1:45" x14ac:dyDescent="0.55000000000000004">
      <c r="A388" s="90">
        <v>45217</v>
      </c>
      <c r="B388" s="91">
        <v>7485</v>
      </c>
      <c r="C388" s="91">
        <v>7608.8999020000001</v>
      </c>
      <c r="D388" s="91">
        <v>7451.1528319999998</v>
      </c>
      <c r="E388" s="91">
        <v>497848</v>
      </c>
      <c r="F388" s="91">
        <v>2.1999999999999999E-2</v>
      </c>
      <c r="H388" s="90">
        <v>45217</v>
      </c>
      <c r="I388" s="91">
        <v>1177.625</v>
      </c>
      <c r="J388" s="91">
        <v>1162</v>
      </c>
      <c r="K388" s="91">
        <v>1153.462769</v>
      </c>
      <c r="L388" s="91">
        <v>8918320</v>
      </c>
      <c r="M388" s="91">
        <v>-1.3299999999999999E-2</v>
      </c>
      <c r="O388" s="90">
        <v>45217</v>
      </c>
      <c r="P388" s="91">
        <v>770.59997559999999</v>
      </c>
      <c r="Q388" s="91">
        <v>759.875</v>
      </c>
      <c r="R388" s="91">
        <v>739.640625</v>
      </c>
      <c r="S388" s="91">
        <v>31216200</v>
      </c>
      <c r="T388" s="91">
        <v>-1.3899999999999999E-2</v>
      </c>
      <c r="V388" s="90">
        <v>45217</v>
      </c>
      <c r="W388" s="91">
        <v>1442</v>
      </c>
      <c r="X388" s="91">
        <v>1440.5500489999999</v>
      </c>
      <c r="Y388" s="91">
        <v>1338.9254149999999</v>
      </c>
      <c r="Z388" s="91">
        <v>4264837</v>
      </c>
      <c r="AA388" s="91">
        <v>-1.2999999999999999E-3</v>
      </c>
      <c r="AB388" s="91"/>
      <c r="AC388" s="90">
        <v>45217</v>
      </c>
      <c r="AD388" s="91">
        <v>2089.1000979999999</v>
      </c>
      <c r="AE388" s="91">
        <v>2048.9499510000001</v>
      </c>
      <c r="AF388" s="91">
        <v>2045.772827</v>
      </c>
      <c r="AG388" s="91">
        <v>432748</v>
      </c>
      <c r="AH388" s="91">
        <v>-1.4500000000000001E-2</v>
      </c>
      <c r="AI388" s="91"/>
      <c r="AJ388" s="91">
        <f>(F388*'Part 3 Portfolio Analysis'!$B$8+M388*'Part 3 Portfolio Analysis'!$C$8+T388*'Part 3 Portfolio Analysis'!$D$8+AA388*'Part 3 Portfolio Analysis'!$E$8+AH388*'Part 3 Portfolio Analysis'!$F$8)/100</f>
        <v>-8.9061309770312874E-4</v>
      </c>
      <c r="AK388" s="91">
        <f>'Part 3 Portfolio Analysis'!$B$107*F388+M388*'Part 3 Portfolio Analysis'!$C$107+T388*'Part 3 Portfolio Analysis'!$D$107+AA388*'Part 3 Portfolio Analysis'!$E$107+AH388*'Part 3 Portfolio Analysis'!$F$107</f>
        <v>-6.1414E-3</v>
      </c>
      <c r="AL388" s="91">
        <f>F388*'Part 3 Portfolio Analysis'!$B$121+M388*'Part 3 Portfolio Analysis'!$C$121+'Part 3 Portfolio Analysis'!$D$121*T388+AA388*'Part 3 Portfolio Analysis'!$E$121+'Part 3 Portfolio Analysis'!$F$121*AH388</f>
        <v>-8.1929800000000007E-3</v>
      </c>
      <c r="AM388" s="91"/>
      <c r="AN388" s="90">
        <v>45217</v>
      </c>
      <c r="AO388" s="91">
        <v>19820.449219999999</v>
      </c>
      <c r="AP388" s="91">
        <v>19671.099610000001</v>
      </c>
      <c r="AQ388" s="91">
        <v>19671.099610000001</v>
      </c>
      <c r="AR388" s="91">
        <v>198900</v>
      </c>
      <c r="AS388" s="91">
        <v>-7.1000000000000004E-3</v>
      </c>
    </row>
    <row r="389" spans="1:45" x14ac:dyDescent="0.55000000000000004">
      <c r="A389" s="90">
        <v>45218</v>
      </c>
      <c r="B389" s="91">
        <v>7608.8999020000001</v>
      </c>
      <c r="C389" s="91">
        <v>7704.0498049999997</v>
      </c>
      <c r="D389" s="91">
        <v>7544.330078</v>
      </c>
      <c r="E389" s="91">
        <v>282308</v>
      </c>
      <c r="F389" s="91">
        <v>1.2500000000000001E-2</v>
      </c>
      <c r="H389" s="90">
        <v>45218</v>
      </c>
      <c r="I389" s="91">
        <v>1156</v>
      </c>
      <c r="J389" s="91">
        <v>1153.0749510000001</v>
      </c>
      <c r="K389" s="91">
        <v>1144.6032709999999</v>
      </c>
      <c r="L389" s="91">
        <v>12032556</v>
      </c>
      <c r="M389" s="91">
        <v>-7.7000000000000002E-3</v>
      </c>
      <c r="O389" s="90">
        <v>45218</v>
      </c>
      <c r="P389" s="91">
        <v>752.70001219999995</v>
      </c>
      <c r="Q389" s="91">
        <v>757.47497559999999</v>
      </c>
      <c r="R389" s="91">
        <v>737.3045654</v>
      </c>
      <c r="S389" s="91">
        <v>30252364</v>
      </c>
      <c r="T389" s="91">
        <v>-3.2000000000000002E-3</v>
      </c>
      <c r="V389" s="90">
        <v>45218</v>
      </c>
      <c r="W389" s="91">
        <v>1426.099976</v>
      </c>
      <c r="X389" s="91">
        <v>1433.650024</v>
      </c>
      <c r="Y389" s="91">
        <v>1332.5123289999999</v>
      </c>
      <c r="Z389" s="91">
        <v>6795691</v>
      </c>
      <c r="AA389" s="91">
        <v>-4.7999999999999996E-3</v>
      </c>
      <c r="AB389" s="91"/>
      <c r="AC389" s="90">
        <v>45218</v>
      </c>
      <c r="AD389" s="91">
        <v>2045.9499510000001</v>
      </c>
      <c r="AE389" s="91">
        <v>2060.6000979999999</v>
      </c>
      <c r="AF389" s="91">
        <v>2057.4047850000002</v>
      </c>
      <c r="AG389" s="91">
        <v>350097</v>
      </c>
      <c r="AH389" s="91">
        <v>5.7000000000000002E-3</v>
      </c>
      <c r="AI389" s="91"/>
      <c r="AJ389" s="91">
        <f>(F389*'Part 3 Portfolio Analysis'!$B$8+M389*'Part 3 Portfolio Analysis'!$C$8+T389*'Part 3 Portfolio Analysis'!$D$8+AA389*'Part 3 Portfolio Analysis'!$E$8+AH389*'Part 3 Portfolio Analysis'!$F$8)/100</f>
        <v>-2.9166929818060791E-4</v>
      </c>
      <c r="AK389" s="91">
        <f>'Part 3 Portfolio Analysis'!$B$107*F389+M389*'Part 3 Portfolio Analysis'!$C$107+T389*'Part 3 Portfolio Analysis'!$D$107+AA389*'Part 3 Portfolio Analysis'!$E$107+AH389*'Part 3 Portfolio Analysis'!$F$107</f>
        <v>3.0029999999999987E-4</v>
      </c>
      <c r="AL389" s="91">
        <f>F389*'Part 3 Portfolio Analysis'!$B$121+M389*'Part 3 Portfolio Analysis'!$C$121+'Part 3 Portfolio Analysis'!$D$121*T389+AA389*'Part 3 Portfolio Analysis'!$E$121+'Part 3 Portfolio Analysis'!$F$121*AH389</f>
        <v>-3.8844800000000005E-3</v>
      </c>
      <c r="AM389" s="91"/>
      <c r="AN389" s="90">
        <v>45218</v>
      </c>
      <c r="AO389" s="91">
        <v>19545.199219999999</v>
      </c>
      <c r="AP389" s="91">
        <v>19624.699219999999</v>
      </c>
      <c r="AQ389" s="91">
        <v>19624.699219999999</v>
      </c>
      <c r="AR389" s="91">
        <v>230300</v>
      </c>
      <c r="AS389" s="91">
        <v>-2.3999999999999998E-3</v>
      </c>
    </row>
    <row r="390" spans="1:45" x14ac:dyDescent="0.55000000000000004">
      <c r="A390" s="90">
        <v>45219</v>
      </c>
      <c r="B390" s="91">
        <v>7736.6000979999999</v>
      </c>
      <c r="C390" s="91">
        <v>7564.3999020000001</v>
      </c>
      <c r="D390" s="91">
        <v>7407.5751950000003</v>
      </c>
      <c r="E390" s="91">
        <v>119490</v>
      </c>
      <c r="F390" s="91">
        <v>-1.8100000000000002E-2</v>
      </c>
      <c r="H390" s="90">
        <v>45219</v>
      </c>
      <c r="I390" s="91">
        <v>1150</v>
      </c>
      <c r="J390" s="91">
        <v>1149.5500489999999</v>
      </c>
      <c r="K390" s="91">
        <v>1141.1042480000001</v>
      </c>
      <c r="L390" s="91">
        <v>8913312</v>
      </c>
      <c r="M390" s="91">
        <v>-3.0999999999999999E-3</v>
      </c>
      <c r="O390" s="90">
        <v>45219</v>
      </c>
      <c r="P390" s="91">
        <v>752.5</v>
      </c>
      <c r="Q390" s="91">
        <v>761.40002440000001</v>
      </c>
      <c r="R390" s="91">
        <v>741.12506099999996</v>
      </c>
      <c r="S390" s="91">
        <v>21094010</v>
      </c>
      <c r="T390" s="91">
        <v>5.1999999999999998E-3</v>
      </c>
      <c r="V390" s="90">
        <v>45219</v>
      </c>
      <c r="W390" s="91">
        <v>1430</v>
      </c>
      <c r="X390" s="91">
        <v>1427.25</v>
      </c>
      <c r="Y390" s="91">
        <v>1326.563721</v>
      </c>
      <c r="Z390" s="91">
        <v>3928622</v>
      </c>
      <c r="AA390" s="91">
        <v>-4.4999999999999997E-3</v>
      </c>
      <c r="AB390" s="91"/>
      <c r="AC390" s="90">
        <v>45219</v>
      </c>
      <c r="AD390" s="91">
        <v>2060.6000979999999</v>
      </c>
      <c r="AE390" s="91">
        <v>2036.150024</v>
      </c>
      <c r="AF390" s="91">
        <v>2032.992798</v>
      </c>
      <c r="AG390" s="91">
        <v>353937</v>
      </c>
      <c r="AH390" s="91">
        <v>-1.1900000000000001E-2</v>
      </c>
      <c r="AI390" s="91"/>
      <c r="AJ390" s="91">
        <f>(F390*'Part 3 Portfolio Analysis'!$B$8+M390*'Part 3 Portfolio Analysis'!$C$8+T390*'Part 3 Portfolio Analysis'!$D$8+AA390*'Part 3 Portfolio Analysis'!$E$8+AH390*'Part 3 Portfolio Analysis'!$F$8)/100</f>
        <v>-6.5267692361344219E-3</v>
      </c>
      <c r="AK390" s="91">
        <f>'Part 3 Portfolio Analysis'!$B$107*F390+M390*'Part 3 Portfolio Analysis'!$C$107+T390*'Part 3 Portfolio Analysis'!$D$107+AA390*'Part 3 Portfolio Analysis'!$E$107+AH390*'Part 3 Portfolio Analysis'!$F$107</f>
        <v>-6.8710999999999998E-3</v>
      </c>
      <c r="AL390" s="91">
        <f>F390*'Part 3 Portfolio Analysis'!$B$121+M390*'Part 3 Portfolio Analysis'!$C$121+'Part 3 Portfolio Analysis'!$D$121*T390+AA390*'Part 3 Portfolio Analysis'!$E$121+'Part 3 Portfolio Analysis'!$F$121*AH390</f>
        <v>-2.58596E-3</v>
      </c>
      <c r="AM390" s="91"/>
      <c r="AN390" s="90">
        <v>45219</v>
      </c>
      <c r="AO390" s="91">
        <v>19542.150389999999</v>
      </c>
      <c r="AP390" s="91">
        <v>19542.650389999999</v>
      </c>
      <c r="AQ390" s="91">
        <v>19542.650389999999</v>
      </c>
      <c r="AR390" s="91">
        <v>198300</v>
      </c>
      <c r="AS390" s="91">
        <v>-4.1999999999999997E-3</v>
      </c>
    </row>
    <row r="391" spans="1:45" x14ac:dyDescent="0.55000000000000004">
      <c r="A391" s="90">
        <v>45222</v>
      </c>
      <c r="B391" s="91">
        <v>7564.3999020000001</v>
      </c>
      <c r="C391" s="91">
        <v>7336.4501950000003</v>
      </c>
      <c r="D391" s="91">
        <v>7184.3510740000002</v>
      </c>
      <c r="E391" s="91">
        <v>117797</v>
      </c>
      <c r="F391" s="91">
        <v>-3.0099999999999998E-2</v>
      </c>
      <c r="H391" s="90">
        <v>45222</v>
      </c>
      <c r="I391" s="91">
        <v>1145</v>
      </c>
      <c r="J391" s="91">
        <v>1131.599976</v>
      </c>
      <c r="K391" s="91">
        <v>1123.2861330000001</v>
      </c>
      <c r="L391" s="91">
        <v>7853962</v>
      </c>
      <c r="M391" s="91">
        <v>-1.5599999999999999E-2</v>
      </c>
      <c r="O391" s="90">
        <v>45222</v>
      </c>
      <c r="P391" s="91">
        <v>761.75</v>
      </c>
      <c r="Q391" s="91">
        <v>753.02502440000001</v>
      </c>
      <c r="R391" s="91">
        <v>732.97302249999996</v>
      </c>
      <c r="S391" s="91">
        <v>22376136</v>
      </c>
      <c r="T391" s="91">
        <v>-1.0999999999999999E-2</v>
      </c>
      <c r="V391" s="90">
        <v>45222</v>
      </c>
      <c r="W391" s="91">
        <v>1425.599976</v>
      </c>
      <c r="X391" s="91">
        <v>1408.650024</v>
      </c>
      <c r="Y391" s="91">
        <v>1309.275879</v>
      </c>
      <c r="Z391" s="91">
        <v>2636516</v>
      </c>
      <c r="AA391" s="91">
        <v>-1.2999999999999999E-2</v>
      </c>
      <c r="AB391" s="91"/>
      <c r="AC391" s="90">
        <v>45222</v>
      </c>
      <c r="AD391" s="91">
        <v>2035</v>
      </c>
      <c r="AE391" s="91">
        <v>1991.9499510000001</v>
      </c>
      <c r="AF391" s="91">
        <v>1988.861206</v>
      </c>
      <c r="AG391" s="91">
        <v>488451</v>
      </c>
      <c r="AH391" s="91">
        <v>-2.1700000000000001E-2</v>
      </c>
      <c r="AI391" s="91"/>
      <c r="AJ391" s="91">
        <f>(F391*'Part 3 Portfolio Analysis'!$B$8+M391*'Part 3 Portfolio Analysis'!$C$8+T391*'Part 3 Portfolio Analysis'!$D$8+AA391*'Part 3 Portfolio Analysis'!$E$8+AH391*'Part 3 Portfolio Analysis'!$F$8)/100</f>
        <v>-1.882385323679121E-2</v>
      </c>
      <c r="AK391" s="91">
        <f>'Part 3 Portfolio Analysis'!$B$107*F391+M391*'Part 3 Portfolio Analysis'!$C$107+T391*'Part 3 Portfolio Analysis'!$D$107+AA391*'Part 3 Portfolio Analysis'!$E$107+AH391*'Part 3 Portfolio Analysis'!$F$107</f>
        <v>-1.8774199999999998E-2</v>
      </c>
      <c r="AL391" s="91">
        <f>F391*'Part 3 Portfolio Analysis'!$B$121+M391*'Part 3 Portfolio Analysis'!$C$121+'Part 3 Portfolio Analysis'!$D$121*T391+AA391*'Part 3 Portfolio Analysis'!$E$121+'Part 3 Portfolio Analysis'!$F$121*AH391</f>
        <v>-1.5180519999999998E-2</v>
      </c>
      <c r="AM391" s="91"/>
      <c r="AN391" s="90">
        <v>45222</v>
      </c>
      <c r="AO391" s="91">
        <v>19521.599610000001</v>
      </c>
      <c r="AP391" s="91">
        <v>19281.75</v>
      </c>
      <c r="AQ391" s="91">
        <v>19281.75</v>
      </c>
      <c r="AR391" s="91">
        <v>176000</v>
      </c>
      <c r="AS391" s="91">
        <v>-1.34E-2</v>
      </c>
    </row>
    <row r="392" spans="1:45" x14ac:dyDescent="0.55000000000000004">
      <c r="A392" s="90">
        <v>45224</v>
      </c>
      <c r="B392" s="91">
        <v>7399.8500979999999</v>
      </c>
      <c r="C392" s="91">
        <v>7545.25</v>
      </c>
      <c r="D392" s="91">
        <v>7388.8222660000001</v>
      </c>
      <c r="E392" s="91">
        <v>198994</v>
      </c>
      <c r="F392" s="91">
        <v>2.8500000000000001E-2</v>
      </c>
      <c r="H392" s="90">
        <v>45224</v>
      </c>
      <c r="I392" s="91">
        <v>1125.025024</v>
      </c>
      <c r="J392" s="91">
        <v>1128.974976</v>
      </c>
      <c r="K392" s="91">
        <v>1120.680298</v>
      </c>
      <c r="L392" s="91">
        <v>11620688</v>
      </c>
      <c r="M392" s="91">
        <v>-2.3E-3</v>
      </c>
      <c r="O392" s="90">
        <v>45224</v>
      </c>
      <c r="P392" s="91">
        <v>760.5</v>
      </c>
      <c r="Q392" s="91">
        <v>748.25</v>
      </c>
      <c r="R392" s="91">
        <v>728.32525629999998</v>
      </c>
      <c r="S392" s="91">
        <v>28311996</v>
      </c>
      <c r="T392" s="91">
        <v>-6.3E-3</v>
      </c>
      <c r="V392" s="90">
        <v>45224</v>
      </c>
      <c r="W392" s="91">
        <v>1399</v>
      </c>
      <c r="X392" s="91">
        <v>1370.0500489999999</v>
      </c>
      <c r="Y392" s="91">
        <v>1289.8813479999999</v>
      </c>
      <c r="Z392" s="91">
        <v>6940777</v>
      </c>
      <c r="AA392" s="91">
        <v>-1.4800000000000001E-2</v>
      </c>
      <c r="AB392" s="91"/>
      <c r="AC392" s="90">
        <v>45224</v>
      </c>
      <c r="AD392" s="91">
        <v>2007.900024</v>
      </c>
      <c r="AE392" s="91">
        <v>1993.25</v>
      </c>
      <c r="AF392" s="91">
        <v>1990.159302</v>
      </c>
      <c r="AG392" s="91">
        <v>512770</v>
      </c>
      <c r="AH392" s="91">
        <v>6.9999999999999999E-4</v>
      </c>
      <c r="AI392" s="91"/>
      <c r="AJ392" s="91">
        <f>(F392*'Part 3 Portfolio Analysis'!$B$8+M392*'Part 3 Portfolio Analysis'!$C$8+T392*'Part 3 Portfolio Analysis'!$D$8+AA392*'Part 3 Portfolio Analysis'!$E$8+AH392*'Part 3 Portfolio Analysis'!$F$8)/100</f>
        <v>4.2904003650117619E-3</v>
      </c>
      <c r="AK392" s="91">
        <f>'Part 3 Portfolio Analysis'!$B$107*F392+M392*'Part 3 Portfolio Analysis'!$C$107+T392*'Part 3 Portfolio Analysis'!$D$107+AA392*'Part 3 Portfolio Analysis'!$E$107+AH392*'Part 3 Portfolio Analysis'!$F$107</f>
        <v>2.1299999999999999E-3</v>
      </c>
      <c r="AL392" s="91">
        <f>F392*'Part 3 Portfolio Analysis'!$B$121+M392*'Part 3 Portfolio Analysis'!$C$121+'Part 3 Portfolio Analysis'!$D$121*T392+AA392*'Part 3 Portfolio Analysis'!$E$121+'Part 3 Portfolio Analysis'!$F$121*AH392</f>
        <v>-3.2776400000000005E-3</v>
      </c>
      <c r="AM392" s="91"/>
      <c r="AN392" s="90">
        <v>45224</v>
      </c>
      <c r="AO392" s="91">
        <v>19286.449219999999</v>
      </c>
      <c r="AP392" s="91">
        <v>19122.150389999999</v>
      </c>
      <c r="AQ392" s="91">
        <v>19122.150389999999</v>
      </c>
      <c r="AR392" s="91">
        <v>225300</v>
      </c>
      <c r="AS392" s="91">
        <v>-8.3000000000000001E-3</v>
      </c>
    </row>
    <row r="393" spans="1:45" x14ac:dyDescent="0.55000000000000004">
      <c r="A393" s="90">
        <v>45225</v>
      </c>
      <c r="B393" s="91">
        <v>7500</v>
      </c>
      <c r="C393" s="91">
        <v>7463.5</v>
      </c>
      <c r="D393" s="91">
        <v>7308.7670900000003</v>
      </c>
      <c r="E393" s="91">
        <v>126826</v>
      </c>
      <c r="F393" s="91">
        <v>-1.0800000000000001E-2</v>
      </c>
      <c r="H393" s="90">
        <v>45225</v>
      </c>
      <c r="I393" s="91">
        <v>1125.5</v>
      </c>
      <c r="J393" s="91">
        <v>1113.25</v>
      </c>
      <c r="K393" s="91">
        <v>1105.070923</v>
      </c>
      <c r="L393" s="91">
        <v>15222534</v>
      </c>
      <c r="M393" s="91">
        <v>-1.3899999999999999E-2</v>
      </c>
      <c r="O393" s="90">
        <v>45225</v>
      </c>
      <c r="P393" s="91">
        <v>745.625</v>
      </c>
      <c r="Q393" s="91">
        <v>731.70001219999995</v>
      </c>
      <c r="R393" s="91">
        <v>712.21588129999998</v>
      </c>
      <c r="S393" s="91">
        <v>55561798</v>
      </c>
      <c r="T393" s="91">
        <v>-2.2100000000000002E-2</v>
      </c>
      <c r="V393" s="90">
        <v>45225</v>
      </c>
      <c r="W393" s="91">
        <v>1355.0500489999999</v>
      </c>
      <c r="X393" s="91">
        <v>1359.4499510000001</v>
      </c>
      <c r="Y393" s="91">
        <v>1279.901611</v>
      </c>
      <c r="Z393" s="91">
        <v>6357656</v>
      </c>
      <c r="AA393" s="91">
        <v>-7.7000000000000002E-3</v>
      </c>
      <c r="AB393" s="91"/>
      <c r="AC393" s="90">
        <v>45225</v>
      </c>
      <c r="AD393" s="91">
        <v>1980</v>
      </c>
      <c r="AE393" s="91">
        <v>2031.099976</v>
      </c>
      <c r="AF393" s="91">
        <v>2027.950562</v>
      </c>
      <c r="AG393" s="91">
        <v>966275</v>
      </c>
      <c r="AH393" s="91">
        <v>1.9E-2</v>
      </c>
      <c r="AI393" s="91"/>
      <c r="AJ393" s="91">
        <f>(F393*'Part 3 Portfolio Analysis'!$B$8+M393*'Part 3 Portfolio Analysis'!$C$8+T393*'Part 3 Portfolio Analysis'!$D$8+AA393*'Part 3 Portfolio Analysis'!$E$8+AH393*'Part 3 Portfolio Analysis'!$F$8)/100</f>
        <v>-1.3018524675347323E-2</v>
      </c>
      <c r="AK393" s="91">
        <f>'Part 3 Portfolio Analysis'!$B$107*F393+M393*'Part 3 Portfolio Analysis'!$C$107+T393*'Part 3 Portfolio Analysis'!$D$107+AA393*'Part 3 Portfolio Analysis'!$E$107+AH393*'Part 3 Portfolio Analysis'!$F$107</f>
        <v>-5.7022000000000002E-3</v>
      </c>
      <c r="AL393" s="91">
        <f>F393*'Part 3 Portfolio Analysis'!$B$121+M393*'Part 3 Portfolio Analysis'!$C$121+'Part 3 Portfolio Analysis'!$D$121*T393+AA393*'Part 3 Portfolio Analysis'!$E$121+'Part 3 Portfolio Analysis'!$F$121*AH393</f>
        <v>-1.37736E-2</v>
      </c>
      <c r="AM393" s="91"/>
      <c r="AN393" s="90">
        <v>45225</v>
      </c>
      <c r="AO393" s="91">
        <v>19027.25</v>
      </c>
      <c r="AP393" s="91">
        <v>18857.25</v>
      </c>
      <c r="AQ393" s="91">
        <v>18857.25</v>
      </c>
      <c r="AR393" s="91">
        <v>300400</v>
      </c>
      <c r="AS393" s="91">
        <v>-1.3899999999999999E-2</v>
      </c>
    </row>
    <row r="394" spans="1:45" x14ac:dyDescent="0.55000000000000004">
      <c r="A394" s="90">
        <v>45226</v>
      </c>
      <c r="B394" s="91">
        <v>7500</v>
      </c>
      <c r="C394" s="91">
        <v>7601.6000979999999</v>
      </c>
      <c r="D394" s="91">
        <v>7444.0039059999999</v>
      </c>
      <c r="E394" s="91">
        <v>110987</v>
      </c>
      <c r="F394" s="91">
        <v>1.8499999999999999E-2</v>
      </c>
      <c r="H394" s="90">
        <v>45226</v>
      </c>
      <c r="I394" s="91">
        <v>1120</v>
      </c>
      <c r="J394" s="91">
        <v>1132.900024</v>
      </c>
      <c r="K394" s="91">
        <v>1124.576538</v>
      </c>
      <c r="L394" s="91">
        <v>11771084</v>
      </c>
      <c r="M394" s="91">
        <v>1.77E-2</v>
      </c>
      <c r="O394" s="90">
        <v>45226</v>
      </c>
      <c r="P394" s="91">
        <v>734.75</v>
      </c>
      <c r="Q394" s="91">
        <v>734.57501219999995</v>
      </c>
      <c r="R394" s="91">
        <v>715.01434329999995</v>
      </c>
      <c r="S394" s="91">
        <v>31940532</v>
      </c>
      <c r="T394" s="91">
        <v>3.8999999999999998E-3</v>
      </c>
      <c r="V394" s="90">
        <v>45226</v>
      </c>
      <c r="W394" s="91">
        <v>1363.650024</v>
      </c>
      <c r="X394" s="91">
        <v>1380.349976</v>
      </c>
      <c r="Y394" s="91">
        <v>1299.578491</v>
      </c>
      <c r="Z394" s="91">
        <v>4634358</v>
      </c>
      <c r="AA394" s="91">
        <v>1.54E-2</v>
      </c>
      <c r="AB394" s="91"/>
      <c r="AC394" s="90">
        <v>45226</v>
      </c>
      <c r="AD394" s="91">
        <v>2031.150024</v>
      </c>
      <c r="AE394" s="91">
        <v>2122.1000979999999</v>
      </c>
      <c r="AF394" s="91">
        <v>2118.8093260000001</v>
      </c>
      <c r="AG394" s="91">
        <v>999445</v>
      </c>
      <c r="AH394" s="91">
        <v>4.48E-2</v>
      </c>
      <c r="AI394" s="91"/>
      <c r="AJ394" s="91">
        <f>(F394*'Part 3 Portfolio Analysis'!$B$8+M394*'Part 3 Portfolio Analysis'!$C$8+T394*'Part 3 Portfolio Analysis'!$D$8+AA394*'Part 3 Portfolio Analysis'!$E$8+AH394*'Part 3 Portfolio Analysis'!$F$8)/100</f>
        <v>1.553270199666665E-2</v>
      </c>
      <c r="AK394" s="91">
        <f>'Part 3 Portfolio Analysis'!$B$107*F394+M394*'Part 3 Portfolio Analysis'!$C$107+T394*'Part 3 Portfolio Analysis'!$D$107+AA394*'Part 3 Portfolio Analysis'!$E$107+AH394*'Part 3 Portfolio Analysis'!$F$107</f>
        <v>2.23042E-2</v>
      </c>
      <c r="AL394" s="91">
        <f>F394*'Part 3 Portfolio Analysis'!$B$121+M394*'Part 3 Portfolio Analysis'!$C$121+'Part 3 Portfolio Analysis'!$D$121*T394+AA394*'Part 3 Portfolio Analysis'!$E$121+'Part 3 Portfolio Analysis'!$F$121*AH394</f>
        <v>1.4262179999999999E-2</v>
      </c>
      <c r="AM394" s="91"/>
      <c r="AN394" s="90">
        <v>45226</v>
      </c>
      <c r="AO394" s="91">
        <v>18928.75</v>
      </c>
      <c r="AP394" s="91">
        <v>19047.25</v>
      </c>
      <c r="AQ394" s="91">
        <v>19047.25</v>
      </c>
      <c r="AR394" s="91">
        <v>205200</v>
      </c>
      <c r="AS394" s="91">
        <v>1.01E-2</v>
      </c>
    </row>
    <row r="395" spans="1:45" x14ac:dyDescent="0.55000000000000004">
      <c r="A395" s="90">
        <v>45229</v>
      </c>
      <c r="B395" s="91">
        <v>7660</v>
      </c>
      <c r="C395" s="91">
        <v>7639.25</v>
      </c>
      <c r="D395" s="91">
        <v>7480.8735349999997</v>
      </c>
      <c r="E395" s="91">
        <v>110688</v>
      </c>
      <c r="F395" s="91">
        <v>5.0000000000000001E-3</v>
      </c>
      <c r="H395" s="90">
        <v>45229</v>
      </c>
      <c r="I395" s="91">
        <v>1137</v>
      </c>
      <c r="J395" s="91">
        <v>1156.25</v>
      </c>
      <c r="K395" s="91">
        <v>1147.7548830000001</v>
      </c>
      <c r="L395" s="91">
        <v>16813304</v>
      </c>
      <c r="M395" s="91">
        <v>2.06E-2</v>
      </c>
      <c r="O395" s="90">
        <v>45229</v>
      </c>
      <c r="P395" s="91">
        <v>731.625</v>
      </c>
      <c r="Q395" s="91">
        <v>742.54998780000005</v>
      </c>
      <c r="R395" s="91">
        <v>722.77697750000004</v>
      </c>
      <c r="S395" s="91">
        <v>23310982</v>
      </c>
      <c r="T395" s="91">
        <v>1.09E-2</v>
      </c>
      <c r="V395" s="90">
        <v>45229</v>
      </c>
      <c r="W395" s="91">
        <v>1380.349976</v>
      </c>
      <c r="X395" s="91">
        <v>1377.0500489999999</v>
      </c>
      <c r="Y395" s="91">
        <v>1296.471802</v>
      </c>
      <c r="Z395" s="91">
        <v>2667696</v>
      </c>
      <c r="AA395" s="91">
        <v>-2.3999999999999998E-3</v>
      </c>
      <c r="AB395" s="91"/>
      <c r="AC395" s="90">
        <v>45229</v>
      </c>
      <c r="AD395" s="91">
        <v>2143.1999510000001</v>
      </c>
      <c r="AE395" s="91">
        <v>2119.75</v>
      </c>
      <c r="AF395" s="91">
        <v>2116.463135</v>
      </c>
      <c r="AG395" s="91">
        <v>483782</v>
      </c>
      <c r="AH395" s="91">
        <v>-1.1000000000000001E-3</v>
      </c>
      <c r="AI395" s="91"/>
      <c r="AJ395" s="91">
        <f>(F395*'Part 3 Portfolio Analysis'!$B$8+M395*'Part 3 Portfolio Analysis'!$C$8+T395*'Part 3 Portfolio Analysis'!$D$8+AA395*'Part 3 Portfolio Analysis'!$E$8+AH395*'Part 3 Portfolio Analysis'!$F$8)/100</f>
        <v>1.0388357647592186E-2</v>
      </c>
      <c r="AK395" s="91">
        <f>'Part 3 Portfolio Analysis'!$B$107*F395+M395*'Part 3 Portfolio Analysis'!$C$107+T395*'Part 3 Portfolio Analysis'!$D$107+AA395*'Part 3 Portfolio Analysis'!$E$107+AH395*'Part 3 Portfolio Analysis'!$F$107</f>
        <v>8.5200999999999992E-3</v>
      </c>
      <c r="AL395" s="91">
        <f>F395*'Part 3 Portfolio Analysis'!$B$121+M395*'Part 3 Portfolio Analysis'!$C$121+'Part 3 Portfolio Analysis'!$D$121*T395+AA395*'Part 3 Portfolio Analysis'!$E$121+'Part 3 Portfolio Analysis'!$F$121*AH395</f>
        <v>1.151074E-2</v>
      </c>
      <c r="AM395" s="91"/>
      <c r="AN395" s="90">
        <v>45229</v>
      </c>
      <c r="AO395" s="91">
        <v>19053.400389999999</v>
      </c>
      <c r="AP395" s="91">
        <v>19140.900389999999</v>
      </c>
      <c r="AQ395" s="91">
        <v>19140.900389999999</v>
      </c>
      <c r="AR395" s="91">
        <v>180100</v>
      </c>
      <c r="AS395" s="91">
        <v>4.8999999999999998E-3</v>
      </c>
    </row>
    <row r="396" spans="1:45" x14ac:dyDescent="0.55000000000000004">
      <c r="A396" s="90">
        <v>45230</v>
      </c>
      <c r="B396" s="91">
        <v>7650.9501950000003</v>
      </c>
      <c r="C396" s="91">
        <v>7625.2001950000003</v>
      </c>
      <c r="D396" s="91">
        <v>7467.1147460000002</v>
      </c>
      <c r="E396" s="91">
        <v>61348</v>
      </c>
      <c r="F396" s="91">
        <v>-1.8E-3</v>
      </c>
      <c r="H396" s="90">
        <v>45230</v>
      </c>
      <c r="I396" s="91">
        <v>1164</v>
      </c>
      <c r="J396" s="91">
        <v>1143.9499510000001</v>
      </c>
      <c r="K396" s="91">
        <v>1135.545288</v>
      </c>
      <c r="L396" s="91">
        <v>12808438</v>
      </c>
      <c r="M396" s="91">
        <v>-1.06E-2</v>
      </c>
      <c r="O396" s="90">
        <v>45230</v>
      </c>
      <c r="P396" s="91">
        <v>752</v>
      </c>
      <c r="Q396" s="91">
        <v>738.25</v>
      </c>
      <c r="R396" s="91">
        <v>718.59155269999997</v>
      </c>
      <c r="S396" s="91">
        <v>32634824</v>
      </c>
      <c r="T396" s="91">
        <v>-5.7999999999999996E-3</v>
      </c>
      <c r="V396" s="90">
        <v>45230</v>
      </c>
      <c r="W396" s="91">
        <v>1379.9499510000001</v>
      </c>
      <c r="X396" s="91">
        <v>1368.400024</v>
      </c>
      <c r="Y396" s="91">
        <v>1288.3278809999999</v>
      </c>
      <c r="Z396" s="91">
        <v>3451595</v>
      </c>
      <c r="AA396" s="91">
        <v>-6.3E-3</v>
      </c>
      <c r="AB396" s="91"/>
      <c r="AC396" s="90">
        <v>45230</v>
      </c>
      <c r="AD396" s="91">
        <v>2140.8999020000001</v>
      </c>
      <c r="AE396" s="91">
        <v>2154.6999510000001</v>
      </c>
      <c r="AF396" s="91">
        <v>2151.3588869999999</v>
      </c>
      <c r="AG396" s="91">
        <v>749792</v>
      </c>
      <c r="AH396" s="91">
        <v>1.6500000000000001E-2</v>
      </c>
      <c r="AI396" s="91"/>
      <c r="AJ396" s="91">
        <f>(F396*'Part 3 Portfolio Analysis'!$B$8+M396*'Part 3 Portfolio Analysis'!$C$8+T396*'Part 3 Portfolio Analysis'!$D$8+AA396*'Part 3 Portfolio Analysis'!$E$8+AH396*'Part 3 Portfolio Analysis'!$F$8)/100</f>
        <v>-6.2024202139794272E-3</v>
      </c>
      <c r="AK396" s="91">
        <f>'Part 3 Portfolio Analysis'!$B$107*F396+M396*'Part 3 Portfolio Analysis'!$C$107+T396*'Part 3 Portfolio Analysis'!$D$107+AA396*'Part 3 Portfolio Analysis'!$E$107+AH396*'Part 3 Portfolio Analysis'!$F$107</f>
        <v>-1.0128000000000003E-3</v>
      </c>
      <c r="AL396" s="91">
        <f>F396*'Part 3 Portfolio Analysis'!$B$121+M396*'Part 3 Portfolio Analysis'!$C$121+'Part 3 Portfolio Analysis'!$D$121*T396+AA396*'Part 3 Portfolio Analysis'!$E$121+'Part 3 Portfolio Analysis'!$F$121*AH396</f>
        <v>-7.0010199999999993E-3</v>
      </c>
      <c r="AM396" s="91"/>
      <c r="AN396" s="90">
        <v>45230</v>
      </c>
      <c r="AO396" s="91">
        <v>19232.949219999999</v>
      </c>
      <c r="AP396" s="91">
        <v>19079.599610000001</v>
      </c>
      <c r="AQ396" s="91">
        <v>19079.599610000001</v>
      </c>
      <c r="AR396" s="91">
        <v>206000</v>
      </c>
      <c r="AS396" s="91">
        <v>-3.2000000000000002E-3</v>
      </c>
    </row>
    <row r="397" spans="1:45" x14ac:dyDescent="0.55000000000000004">
      <c r="A397" s="90">
        <v>45231</v>
      </c>
      <c r="B397" s="91">
        <v>7650</v>
      </c>
      <c r="C397" s="91">
        <v>7483.3999020000001</v>
      </c>
      <c r="D397" s="91">
        <v>7328.2543949999999</v>
      </c>
      <c r="E397" s="91">
        <v>87104</v>
      </c>
      <c r="F397" s="91">
        <v>-1.8599999999999998E-2</v>
      </c>
      <c r="H397" s="90">
        <v>45231</v>
      </c>
      <c r="I397" s="91">
        <v>1144.5749510000001</v>
      </c>
      <c r="J397" s="91">
        <v>1148.6999510000001</v>
      </c>
      <c r="K397" s="91">
        <v>1140.260376</v>
      </c>
      <c r="L397" s="91">
        <v>10309190</v>
      </c>
      <c r="M397" s="91">
        <v>4.1999999999999997E-3</v>
      </c>
      <c r="O397" s="90">
        <v>45231</v>
      </c>
      <c r="P397" s="91">
        <v>731.125</v>
      </c>
      <c r="Q397" s="91">
        <v>737.25</v>
      </c>
      <c r="R397" s="91">
        <v>717.61810300000002</v>
      </c>
      <c r="S397" s="91">
        <v>33877466</v>
      </c>
      <c r="T397" s="91">
        <v>-1.4E-3</v>
      </c>
      <c r="V397" s="90">
        <v>45231</v>
      </c>
      <c r="W397" s="91">
        <v>1373.0500489999999</v>
      </c>
      <c r="X397" s="91">
        <v>1354.150024</v>
      </c>
      <c r="Y397" s="91">
        <v>1274.911621</v>
      </c>
      <c r="Z397" s="91">
        <v>3090672</v>
      </c>
      <c r="AA397" s="91">
        <v>-1.04E-2</v>
      </c>
      <c r="AB397" s="91"/>
      <c r="AC397" s="90">
        <v>45231</v>
      </c>
      <c r="AD397" s="91">
        <v>2163.6999510000001</v>
      </c>
      <c r="AE397" s="91">
        <v>2197.6499020000001</v>
      </c>
      <c r="AF397" s="91">
        <v>2194.2421880000002</v>
      </c>
      <c r="AG397" s="91">
        <v>1081257</v>
      </c>
      <c r="AH397" s="91">
        <v>1.9900000000000001E-2</v>
      </c>
      <c r="AI397" s="91"/>
      <c r="AJ397" s="91">
        <f>(F397*'Part 3 Portfolio Analysis'!$B$8+M397*'Part 3 Portfolio Analysis'!$C$8+T397*'Part 3 Portfolio Analysis'!$D$8+AA397*'Part 3 Portfolio Analysis'!$E$8+AH397*'Part 3 Portfolio Analysis'!$F$8)/100</f>
        <v>-5.7703357730417302E-3</v>
      </c>
      <c r="AK397" s="91">
        <f>'Part 3 Portfolio Analysis'!$B$107*F397+M397*'Part 3 Portfolio Analysis'!$C$107+T397*'Part 3 Portfolio Analysis'!$D$107+AA397*'Part 3 Portfolio Analysis'!$E$107+AH397*'Part 3 Portfolio Analysis'!$F$107</f>
        <v>1.7244000000000009E-3</v>
      </c>
      <c r="AL397" s="91">
        <f>F397*'Part 3 Portfolio Analysis'!$B$121+M397*'Part 3 Portfolio Analysis'!$C$121+'Part 3 Portfolio Analysis'!$D$121*T397+AA397*'Part 3 Portfolio Analysis'!$E$121+'Part 3 Portfolio Analysis'!$F$121*AH397</f>
        <v>-1.7060199999999999E-3</v>
      </c>
      <c r="AM397" s="91"/>
      <c r="AN397" s="90">
        <v>45231</v>
      </c>
      <c r="AO397" s="91">
        <v>19064.050780000001</v>
      </c>
      <c r="AP397" s="91">
        <v>18989.150389999999</v>
      </c>
      <c r="AQ397" s="91">
        <v>18989.150389999999</v>
      </c>
      <c r="AR397" s="91">
        <v>194100</v>
      </c>
      <c r="AS397" s="91">
        <v>-4.7000000000000002E-3</v>
      </c>
    </row>
    <row r="398" spans="1:45" x14ac:dyDescent="0.55000000000000004">
      <c r="A398" s="90">
        <v>45232</v>
      </c>
      <c r="B398" s="91">
        <v>7550.9501950000003</v>
      </c>
      <c r="C398" s="91">
        <v>7496.8999020000001</v>
      </c>
      <c r="D398" s="91">
        <v>7341.4746089999999</v>
      </c>
      <c r="E398" s="91">
        <v>105161</v>
      </c>
      <c r="F398" s="91">
        <v>1.8E-3</v>
      </c>
      <c r="H398" s="90">
        <v>45232</v>
      </c>
      <c r="I398" s="91">
        <v>1156.974976</v>
      </c>
      <c r="J398" s="91">
        <v>1160.099976</v>
      </c>
      <c r="K398" s="91">
        <v>1151.5766599999999</v>
      </c>
      <c r="L398" s="91">
        <v>10562104</v>
      </c>
      <c r="M398" s="91">
        <v>9.9000000000000008E-3</v>
      </c>
      <c r="O398" s="90">
        <v>45232</v>
      </c>
      <c r="P398" s="91">
        <v>742.5</v>
      </c>
      <c r="Q398" s="91">
        <v>738.375</v>
      </c>
      <c r="R398" s="91">
        <v>718.71319579999999</v>
      </c>
      <c r="S398" s="91">
        <v>45225154</v>
      </c>
      <c r="T398" s="91">
        <v>1.5E-3</v>
      </c>
      <c r="V398" s="90">
        <v>45232</v>
      </c>
      <c r="W398" s="91">
        <v>1370</v>
      </c>
      <c r="X398" s="91">
        <v>1370.150024</v>
      </c>
      <c r="Y398" s="91">
        <v>1289.9754640000001</v>
      </c>
      <c r="Z398" s="91">
        <v>3758060</v>
      </c>
      <c r="AA398" s="91">
        <v>1.18E-2</v>
      </c>
      <c r="AB398" s="91"/>
      <c r="AC398" s="90">
        <v>45232</v>
      </c>
      <c r="AD398" s="91">
        <v>2210</v>
      </c>
      <c r="AE398" s="91">
        <v>2189.8500979999999</v>
      </c>
      <c r="AF398" s="91">
        <v>2186.454346</v>
      </c>
      <c r="AG398" s="91">
        <v>474395</v>
      </c>
      <c r="AH398" s="91">
        <v>-3.5000000000000001E-3</v>
      </c>
      <c r="AI398" s="91"/>
      <c r="AJ398" s="91">
        <f>(F398*'Part 3 Portfolio Analysis'!$B$8+M398*'Part 3 Portfolio Analysis'!$C$8+T398*'Part 3 Portfolio Analysis'!$D$8+AA398*'Part 3 Portfolio Analysis'!$E$8+AH398*'Part 3 Portfolio Analysis'!$F$8)/100</f>
        <v>6.2435809019801029E-3</v>
      </c>
      <c r="AK398" s="91">
        <f>'Part 3 Portfolio Analysis'!$B$107*F398+M398*'Part 3 Portfolio Analysis'!$C$107+T398*'Part 3 Portfolio Analysis'!$D$107+AA398*'Part 3 Portfolio Analysis'!$E$107+AH398*'Part 3 Portfolio Analysis'!$F$107</f>
        <v>3.9532000000000005E-3</v>
      </c>
      <c r="AL398" s="91">
        <f>F398*'Part 3 Portfolio Analysis'!$B$121+M398*'Part 3 Portfolio Analysis'!$C$121+'Part 3 Portfolio Analysis'!$D$121*T398+AA398*'Part 3 Portfolio Analysis'!$E$121+'Part 3 Portfolio Analysis'!$F$121*AH398</f>
        <v>6.9783000000000006E-3</v>
      </c>
      <c r="AM398" s="91"/>
      <c r="AN398" s="90">
        <v>45232</v>
      </c>
      <c r="AO398" s="91">
        <v>19120</v>
      </c>
      <c r="AP398" s="91">
        <v>19133.25</v>
      </c>
      <c r="AQ398" s="91">
        <v>19133.25</v>
      </c>
      <c r="AR398" s="91">
        <v>245600</v>
      </c>
      <c r="AS398" s="91">
        <v>7.6E-3</v>
      </c>
    </row>
    <row r="399" spans="1:45" x14ac:dyDescent="0.55000000000000004">
      <c r="A399" s="90">
        <v>45233</v>
      </c>
      <c r="B399" s="91">
        <v>7519</v>
      </c>
      <c r="C399" s="91">
        <v>7617</v>
      </c>
      <c r="D399" s="91">
        <v>7459.0844729999999</v>
      </c>
      <c r="E399" s="91">
        <v>75629</v>
      </c>
      <c r="F399" s="91">
        <v>1.6E-2</v>
      </c>
      <c r="H399" s="90">
        <v>45233</v>
      </c>
      <c r="I399" s="91">
        <v>1163.599976</v>
      </c>
      <c r="J399" s="91">
        <v>1159.849976</v>
      </c>
      <c r="K399" s="91">
        <v>1151.328491</v>
      </c>
      <c r="L399" s="91">
        <v>8850156</v>
      </c>
      <c r="M399" s="91">
        <v>-2.0000000000000001E-4</v>
      </c>
      <c r="O399" s="90">
        <v>45233</v>
      </c>
      <c r="P399" s="91">
        <v>744</v>
      </c>
      <c r="Q399" s="91">
        <v>741.875</v>
      </c>
      <c r="R399" s="91">
        <v>722.11993410000002</v>
      </c>
      <c r="S399" s="91">
        <v>18095340</v>
      </c>
      <c r="T399" s="91">
        <v>4.7000000000000002E-3</v>
      </c>
      <c r="V399" s="90">
        <v>45233</v>
      </c>
      <c r="W399" s="91">
        <v>1380.0500489999999</v>
      </c>
      <c r="X399" s="91">
        <v>1389.0500489999999</v>
      </c>
      <c r="Y399" s="91">
        <v>1307.7695309999999</v>
      </c>
      <c r="Z399" s="91">
        <v>3349045</v>
      </c>
      <c r="AA399" s="91">
        <v>1.38E-2</v>
      </c>
      <c r="AB399" s="91"/>
      <c r="AC399" s="90">
        <v>45233</v>
      </c>
      <c r="AD399" s="91">
        <v>2195</v>
      </c>
      <c r="AE399" s="91">
        <v>2196.5</v>
      </c>
      <c r="AF399" s="91">
        <v>2193.0939939999998</v>
      </c>
      <c r="AG399" s="91">
        <v>230437</v>
      </c>
      <c r="AH399" s="91">
        <v>3.0000000000000001E-3</v>
      </c>
      <c r="AI399" s="91"/>
      <c r="AJ399" s="91">
        <f>(F399*'Part 3 Portfolio Analysis'!$B$8+M399*'Part 3 Portfolio Analysis'!$C$8+T399*'Part 3 Portfolio Analysis'!$D$8+AA399*'Part 3 Portfolio Analysis'!$E$8+AH399*'Part 3 Portfolio Analysis'!$F$8)/100</f>
        <v>7.76172772040564E-3</v>
      </c>
      <c r="AK399" s="91">
        <f>'Part 3 Portfolio Analysis'!$B$107*F399+M399*'Part 3 Portfolio Analysis'!$C$107+T399*'Part 3 Portfolio Analysis'!$D$107+AA399*'Part 3 Portfolio Analysis'!$E$107+AH399*'Part 3 Portfolio Analysis'!$F$107</f>
        <v>5.6819000000000001E-3</v>
      </c>
      <c r="AL399" s="91">
        <f>F399*'Part 3 Portfolio Analysis'!$B$121+M399*'Part 3 Portfolio Analysis'!$C$121+'Part 3 Portfolio Analysis'!$D$121*T399+AA399*'Part 3 Portfolio Analysis'!$E$121+'Part 3 Portfolio Analysis'!$F$121*AH399</f>
        <v>5.3482800000000004E-3</v>
      </c>
      <c r="AM399" s="91"/>
      <c r="AN399" s="90">
        <v>45233</v>
      </c>
      <c r="AO399" s="91">
        <v>19241</v>
      </c>
      <c r="AP399" s="91">
        <v>19230.599610000001</v>
      </c>
      <c r="AQ399" s="91">
        <v>19230.599610000001</v>
      </c>
      <c r="AR399" s="91">
        <v>189500</v>
      </c>
      <c r="AS399" s="91">
        <v>5.1000000000000004E-3</v>
      </c>
    </row>
    <row r="400" spans="1:45" x14ac:dyDescent="0.55000000000000004">
      <c r="A400" s="90">
        <v>45236</v>
      </c>
      <c r="B400" s="91">
        <v>7673.3500979999999</v>
      </c>
      <c r="C400" s="91">
        <v>7831.6000979999999</v>
      </c>
      <c r="D400" s="91">
        <v>7669.2358400000003</v>
      </c>
      <c r="E400" s="91">
        <v>231690</v>
      </c>
      <c r="F400" s="91">
        <v>2.8199999999999999E-2</v>
      </c>
      <c r="H400" s="90">
        <v>45236</v>
      </c>
      <c r="I400" s="91">
        <v>1166.150024</v>
      </c>
      <c r="J400" s="91">
        <v>1169.5</v>
      </c>
      <c r="K400" s="91">
        <v>1160.9075929999999</v>
      </c>
      <c r="L400" s="91">
        <v>10647304</v>
      </c>
      <c r="M400" s="91">
        <v>8.3000000000000001E-3</v>
      </c>
      <c r="O400" s="90">
        <v>45236</v>
      </c>
      <c r="P400" s="91">
        <v>749</v>
      </c>
      <c r="Q400" s="91">
        <v>747.25</v>
      </c>
      <c r="R400" s="91">
        <v>727.35180660000003</v>
      </c>
      <c r="S400" s="91">
        <v>25593730</v>
      </c>
      <c r="T400" s="91">
        <v>7.1999999999999998E-3</v>
      </c>
      <c r="V400" s="90">
        <v>45236</v>
      </c>
      <c r="W400" s="91">
        <v>1393.900024</v>
      </c>
      <c r="X400" s="91">
        <v>1403.3000489999999</v>
      </c>
      <c r="Y400" s="91">
        <v>1321.1857910000001</v>
      </c>
      <c r="Z400" s="91">
        <v>2736381</v>
      </c>
      <c r="AA400" s="91">
        <v>1.03E-2</v>
      </c>
      <c r="AB400" s="91"/>
      <c r="AC400" s="90">
        <v>45236</v>
      </c>
      <c r="AD400" s="91">
        <v>2196.5500489999999</v>
      </c>
      <c r="AE400" s="91">
        <v>2233.1999510000001</v>
      </c>
      <c r="AF400" s="91">
        <v>2229.7370609999998</v>
      </c>
      <c r="AG400" s="91">
        <v>537580</v>
      </c>
      <c r="AH400" s="91">
        <v>1.67E-2</v>
      </c>
      <c r="AI400" s="91"/>
      <c r="AJ400" s="91">
        <f>(F400*'Part 3 Portfolio Analysis'!$B$8+M400*'Part 3 Portfolio Analysis'!$C$8+T400*'Part 3 Portfolio Analysis'!$D$8+AA400*'Part 3 Portfolio Analysis'!$E$8+AH400*'Part 3 Portfolio Analysis'!$F$8)/100</f>
        <v>1.4490471382467521E-2</v>
      </c>
      <c r="AK400" s="91">
        <f>'Part 3 Portfolio Analysis'!$B$107*F400+M400*'Part 3 Portfolio Analysis'!$C$107+T400*'Part 3 Portfolio Analysis'!$D$107+AA400*'Part 3 Portfolio Analysis'!$E$107+AH400*'Part 3 Portfolio Analysis'!$F$107</f>
        <v>1.40283E-2</v>
      </c>
      <c r="AL400" s="91">
        <f>F400*'Part 3 Portfolio Analysis'!$B$121+M400*'Part 3 Portfolio Analysis'!$C$121+'Part 3 Portfolio Analysis'!$D$121*T400+AA400*'Part 3 Portfolio Analysis'!$E$121+'Part 3 Portfolio Analysis'!$F$121*AH400</f>
        <v>1.0256660000000001E-2</v>
      </c>
      <c r="AM400" s="91"/>
      <c r="AN400" s="90">
        <v>45236</v>
      </c>
      <c r="AO400" s="91">
        <v>19345.849610000001</v>
      </c>
      <c r="AP400" s="91">
        <v>19411.75</v>
      </c>
      <c r="AQ400" s="91">
        <v>19411.75</v>
      </c>
      <c r="AR400" s="91">
        <v>180700</v>
      </c>
      <c r="AS400" s="91">
        <v>9.4000000000000004E-3</v>
      </c>
    </row>
    <row r="401" spans="1:45" x14ac:dyDescent="0.55000000000000004">
      <c r="A401" s="90">
        <v>45237</v>
      </c>
      <c r="B401" s="91">
        <v>7880</v>
      </c>
      <c r="C401" s="91">
        <v>8171.1499020000001</v>
      </c>
      <c r="D401" s="91">
        <v>8001.7460940000001</v>
      </c>
      <c r="E401" s="91">
        <v>703184</v>
      </c>
      <c r="F401" s="91">
        <v>4.3400000000000001E-2</v>
      </c>
      <c r="H401" s="90">
        <v>45237</v>
      </c>
      <c r="I401" s="91">
        <v>1167.025024</v>
      </c>
      <c r="J401" s="91">
        <v>1161.900024</v>
      </c>
      <c r="K401" s="91">
        <v>1153.3634030000001</v>
      </c>
      <c r="L401" s="91">
        <v>6960204</v>
      </c>
      <c r="M401" s="91">
        <v>-6.4999999999999997E-3</v>
      </c>
      <c r="O401" s="90">
        <v>45237</v>
      </c>
      <c r="P401" s="91">
        <v>747</v>
      </c>
      <c r="Q401" s="91">
        <v>743.625</v>
      </c>
      <c r="R401" s="91">
        <v>723.82330320000005</v>
      </c>
      <c r="S401" s="91">
        <v>41952848</v>
      </c>
      <c r="T401" s="91">
        <v>-4.8999999999999998E-3</v>
      </c>
      <c r="V401" s="90">
        <v>45237</v>
      </c>
      <c r="W401" s="91">
        <v>1400</v>
      </c>
      <c r="X401" s="91">
        <v>1404.3000489999999</v>
      </c>
      <c r="Y401" s="91">
        <v>1322.127197</v>
      </c>
      <c r="Z401" s="91">
        <v>2272209</v>
      </c>
      <c r="AA401" s="91">
        <v>6.9999999999999999E-4</v>
      </c>
      <c r="AB401" s="91"/>
      <c r="AC401" s="90">
        <v>45237</v>
      </c>
      <c r="AD401" s="91">
        <v>2234.4499510000001</v>
      </c>
      <c r="AE401" s="91">
        <v>2424</v>
      </c>
      <c r="AF401" s="91">
        <v>2420.2414549999999</v>
      </c>
      <c r="AG401" s="91">
        <v>3419427</v>
      </c>
      <c r="AH401" s="91">
        <v>8.5400000000000004E-2</v>
      </c>
      <c r="AI401" s="91"/>
      <c r="AJ401" s="91">
        <f>(F401*'Part 3 Portfolio Analysis'!$B$8+M401*'Part 3 Portfolio Analysis'!$C$8+T401*'Part 3 Portfolio Analysis'!$D$8+AA401*'Part 3 Portfolio Analysis'!$E$8+AH401*'Part 3 Portfolio Analysis'!$F$8)/100</f>
        <v>1.0793815570250963E-2</v>
      </c>
      <c r="AK401" s="91">
        <f>'Part 3 Portfolio Analysis'!$B$107*F401+M401*'Part 3 Portfolio Analysis'!$C$107+T401*'Part 3 Portfolio Analysis'!$D$107+AA401*'Part 3 Portfolio Analysis'!$E$107+AH401*'Part 3 Portfolio Analysis'!$F$107</f>
        <v>2.6608799999999998E-2</v>
      </c>
      <c r="AL401" s="91">
        <f>F401*'Part 3 Portfolio Analysis'!$B$121+M401*'Part 3 Portfolio Analysis'!$C$121+'Part 3 Portfolio Analysis'!$D$121*T401+AA401*'Part 3 Portfolio Analysis'!$E$121+'Part 3 Portfolio Analysis'!$F$121*AH401</f>
        <v>1.8847600000000005E-3</v>
      </c>
      <c r="AM401" s="91"/>
      <c r="AN401" s="90">
        <v>45237</v>
      </c>
      <c r="AO401" s="91">
        <v>19404.050780000001</v>
      </c>
      <c r="AP401" s="91">
        <v>19406.699219999999</v>
      </c>
      <c r="AQ401" s="91">
        <v>19406.699219999999</v>
      </c>
      <c r="AR401" s="91">
        <v>198700</v>
      </c>
      <c r="AS401" s="91">
        <v>-2.9999999999999997E-4</v>
      </c>
    </row>
    <row r="402" spans="1:45" x14ac:dyDescent="0.55000000000000004">
      <c r="A402" s="90">
        <v>45238</v>
      </c>
      <c r="B402" s="91">
        <v>8240</v>
      </c>
      <c r="C402" s="91">
        <v>8242.9003909999992</v>
      </c>
      <c r="D402" s="91">
        <v>8072.0092770000001</v>
      </c>
      <c r="E402" s="91">
        <v>239800</v>
      </c>
      <c r="F402" s="91">
        <v>8.8000000000000005E-3</v>
      </c>
      <c r="H402" s="90">
        <v>45238</v>
      </c>
      <c r="I402" s="91">
        <v>1166</v>
      </c>
      <c r="J402" s="91">
        <v>1167.9499510000001</v>
      </c>
      <c r="K402" s="91">
        <v>1159.3688959999999</v>
      </c>
      <c r="L402" s="91">
        <v>7884494</v>
      </c>
      <c r="M402" s="91">
        <v>5.1999999999999998E-3</v>
      </c>
      <c r="O402" s="90">
        <v>45238</v>
      </c>
      <c r="P402" s="91">
        <v>741.97497559999999</v>
      </c>
      <c r="Q402" s="91">
        <v>745.77502440000001</v>
      </c>
      <c r="R402" s="91">
        <v>725.91613770000004</v>
      </c>
      <c r="S402" s="91">
        <v>31399546</v>
      </c>
      <c r="T402" s="91">
        <v>2.8999999999999998E-3</v>
      </c>
      <c r="V402" s="90">
        <v>45238</v>
      </c>
      <c r="W402" s="91">
        <v>1405</v>
      </c>
      <c r="X402" s="91">
        <v>1391</v>
      </c>
      <c r="Y402" s="91">
        <v>1309.6054690000001</v>
      </c>
      <c r="Z402" s="91">
        <v>3550635</v>
      </c>
      <c r="AA402" s="91">
        <v>-9.4999999999999998E-3</v>
      </c>
      <c r="AB402" s="91"/>
      <c r="AC402" s="90">
        <v>45238</v>
      </c>
      <c r="AD402" s="91">
        <v>2450</v>
      </c>
      <c r="AE402" s="91">
        <v>2452.8500979999999</v>
      </c>
      <c r="AF402" s="91">
        <v>2449.046875</v>
      </c>
      <c r="AG402" s="91">
        <v>2652822</v>
      </c>
      <c r="AH402" s="91">
        <v>1.1900000000000001E-2</v>
      </c>
      <c r="AI402" s="91"/>
      <c r="AJ402" s="91">
        <f>(F402*'Part 3 Portfolio Analysis'!$B$8+M402*'Part 3 Portfolio Analysis'!$C$8+T402*'Part 3 Portfolio Analysis'!$D$8+AA402*'Part 3 Portfolio Analysis'!$E$8+AH402*'Part 3 Portfolio Analysis'!$F$8)/100</f>
        <v>3.5960904101587192E-3</v>
      </c>
      <c r="AK402" s="91">
        <f>'Part 3 Portfolio Analysis'!$B$107*F402+M402*'Part 3 Portfolio Analysis'!$C$107+T402*'Part 3 Portfolio Analysis'!$D$107+AA402*'Part 3 Portfolio Analysis'!$E$107+AH402*'Part 3 Portfolio Analysis'!$F$107</f>
        <v>5.7099000000000004E-3</v>
      </c>
      <c r="AL402" s="91">
        <f>F402*'Part 3 Portfolio Analysis'!$B$121+M402*'Part 3 Portfolio Analysis'!$C$121+'Part 3 Portfolio Analysis'!$D$121*T402+AA402*'Part 3 Portfolio Analysis'!$E$121+'Part 3 Portfolio Analysis'!$F$121*AH402</f>
        <v>2.1058600000000002E-3</v>
      </c>
      <c r="AM402" s="91"/>
      <c r="AN402" s="90">
        <v>45238</v>
      </c>
      <c r="AO402" s="91">
        <v>19449.599610000001</v>
      </c>
      <c r="AP402" s="91">
        <v>19443.5</v>
      </c>
      <c r="AQ402" s="91">
        <v>19443.5</v>
      </c>
      <c r="AR402" s="91">
        <v>195000</v>
      </c>
      <c r="AS402" s="91">
        <v>1.9E-3</v>
      </c>
    </row>
    <row r="403" spans="1:45" x14ac:dyDescent="0.55000000000000004">
      <c r="A403" s="90">
        <v>45239</v>
      </c>
      <c r="B403" s="91">
        <v>8205.0498050000006</v>
      </c>
      <c r="C403" s="91">
        <v>8050.8999020000001</v>
      </c>
      <c r="D403" s="91">
        <v>7883.9887699999999</v>
      </c>
      <c r="E403" s="91">
        <v>148049</v>
      </c>
      <c r="F403" s="91">
        <v>-2.3300000000000001E-2</v>
      </c>
      <c r="H403" s="90">
        <v>45239</v>
      </c>
      <c r="I403" s="91">
        <v>1167.9250489999999</v>
      </c>
      <c r="J403" s="91">
        <v>1155.275024</v>
      </c>
      <c r="K403" s="91">
        <v>1146.7871090000001</v>
      </c>
      <c r="L403" s="91">
        <v>14513610</v>
      </c>
      <c r="M403" s="91">
        <v>-1.09E-2</v>
      </c>
      <c r="O403" s="90">
        <v>45239</v>
      </c>
      <c r="P403" s="91">
        <v>743</v>
      </c>
      <c r="Q403" s="91">
        <v>742.82501219999995</v>
      </c>
      <c r="R403" s="91">
        <v>723.04467769999997</v>
      </c>
      <c r="S403" s="91">
        <v>22116740</v>
      </c>
      <c r="T403" s="91">
        <v>-4.0000000000000001E-3</v>
      </c>
      <c r="V403" s="90">
        <v>45239</v>
      </c>
      <c r="W403" s="91">
        <v>1395.900024</v>
      </c>
      <c r="X403" s="91">
        <v>1374.8000489999999</v>
      </c>
      <c r="Y403" s="91">
        <v>1294.353394</v>
      </c>
      <c r="Z403" s="91">
        <v>5498051</v>
      </c>
      <c r="AA403" s="91">
        <v>-1.1599999999999999E-2</v>
      </c>
      <c r="AB403" s="91"/>
      <c r="AC403" s="90">
        <v>45239</v>
      </c>
      <c r="AD403" s="91">
        <v>2453</v>
      </c>
      <c r="AE403" s="91">
        <v>2478.0500489999999</v>
      </c>
      <c r="AF403" s="91">
        <v>2474.2075199999999</v>
      </c>
      <c r="AG403" s="91">
        <v>684007</v>
      </c>
      <c r="AH403" s="91">
        <v>1.03E-2</v>
      </c>
      <c r="AI403" s="91"/>
      <c r="AJ403" s="91">
        <f>(F403*'Part 3 Portfolio Analysis'!$B$8+M403*'Part 3 Portfolio Analysis'!$C$8+T403*'Part 3 Portfolio Analysis'!$D$8+AA403*'Part 3 Portfolio Analysis'!$E$8+AH403*'Part 3 Portfolio Analysis'!$F$8)/100</f>
        <v>-1.3374445613683292E-2</v>
      </c>
      <c r="AK403" s="91">
        <f>'Part 3 Portfolio Analysis'!$B$107*F403+M403*'Part 3 Portfolio Analysis'!$C$107+T403*'Part 3 Portfolio Analysis'!$D$107+AA403*'Part 3 Portfolio Analysis'!$E$107+AH403*'Part 3 Portfolio Analysis'!$F$107</f>
        <v>-6.7901000000000003E-3</v>
      </c>
      <c r="AL403" s="91">
        <f>F403*'Part 3 Portfolio Analysis'!$B$121+M403*'Part 3 Portfolio Analysis'!$C$121+'Part 3 Portfolio Analysis'!$D$121*T403+AA403*'Part 3 Portfolio Analysis'!$E$121+'Part 3 Portfolio Analysis'!$F$121*AH403</f>
        <v>-9.6270399999999999E-3</v>
      </c>
      <c r="AM403" s="91"/>
      <c r="AN403" s="90">
        <v>45239</v>
      </c>
      <c r="AO403" s="91">
        <v>19457.400389999999</v>
      </c>
      <c r="AP403" s="91">
        <v>19395.300780000001</v>
      </c>
      <c r="AQ403" s="91">
        <v>19395.300780000001</v>
      </c>
      <c r="AR403" s="91">
        <v>208400</v>
      </c>
      <c r="AS403" s="91">
        <v>-2.5000000000000001E-3</v>
      </c>
    </row>
    <row r="404" spans="1:45" x14ac:dyDescent="0.55000000000000004">
      <c r="A404" s="90">
        <v>45240</v>
      </c>
      <c r="B404" s="91">
        <v>8090.9501950000003</v>
      </c>
      <c r="C404" s="91">
        <v>8055.0498049999997</v>
      </c>
      <c r="D404" s="91">
        <v>7888.0527339999999</v>
      </c>
      <c r="E404" s="91">
        <v>88542</v>
      </c>
      <c r="F404" s="91">
        <v>5.0000000000000001E-4</v>
      </c>
      <c r="H404" s="90">
        <v>45240</v>
      </c>
      <c r="I404" s="91">
        <v>1152.775024</v>
      </c>
      <c r="J404" s="91">
        <v>1157.4499510000001</v>
      </c>
      <c r="K404" s="91">
        <v>1148.9460449999999</v>
      </c>
      <c r="L404" s="91">
        <v>7734954</v>
      </c>
      <c r="M404" s="91">
        <v>1.9E-3</v>
      </c>
      <c r="O404" s="90">
        <v>45240</v>
      </c>
      <c r="P404" s="91">
        <v>740.04998780000005</v>
      </c>
      <c r="Q404" s="91">
        <v>745.75</v>
      </c>
      <c r="R404" s="91">
        <v>725.89178470000002</v>
      </c>
      <c r="S404" s="91">
        <v>14015186</v>
      </c>
      <c r="T404" s="91">
        <v>3.8999999999999998E-3</v>
      </c>
      <c r="V404" s="90">
        <v>45240</v>
      </c>
      <c r="W404" s="91">
        <v>1369.9499510000001</v>
      </c>
      <c r="X404" s="91">
        <v>1368.849976</v>
      </c>
      <c r="Y404" s="91">
        <v>1288.7514650000001</v>
      </c>
      <c r="Z404" s="91">
        <v>2943649</v>
      </c>
      <c r="AA404" s="91">
        <v>-4.3E-3</v>
      </c>
      <c r="AB404" s="91"/>
      <c r="AC404" s="90">
        <v>45240</v>
      </c>
      <c r="AD404" s="91">
        <v>2476.9499510000001</v>
      </c>
      <c r="AE404" s="91">
        <v>2489.3500979999999</v>
      </c>
      <c r="AF404" s="91">
        <v>2485.48999</v>
      </c>
      <c r="AG404" s="91">
        <v>644072</v>
      </c>
      <c r="AH404" s="91">
        <v>4.5999999999999999E-3</v>
      </c>
      <c r="AI404" s="91"/>
      <c r="AJ404" s="91">
        <f>(F404*'Part 3 Portfolio Analysis'!$B$8+M404*'Part 3 Portfolio Analysis'!$C$8+T404*'Part 3 Portfolio Analysis'!$D$8+AA404*'Part 3 Portfolio Analysis'!$E$8+AH404*'Part 3 Portfolio Analysis'!$F$8)/100</f>
        <v>8.422259788984838E-4</v>
      </c>
      <c r="AK404" s="91">
        <f>'Part 3 Portfolio Analysis'!$B$107*F404+M404*'Part 3 Portfolio Analysis'!$C$107+T404*'Part 3 Portfolio Analysis'!$D$107+AA404*'Part 3 Portfolio Analysis'!$E$107+AH404*'Part 3 Portfolio Analysis'!$F$107</f>
        <v>2.0184000000000001E-3</v>
      </c>
      <c r="AL404" s="91">
        <f>F404*'Part 3 Portfolio Analysis'!$B$121+M404*'Part 3 Portfolio Analysis'!$C$121+'Part 3 Portfolio Analysis'!$D$121*T404+AA404*'Part 3 Portfolio Analysis'!$E$121+'Part 3 Portfolio Analysis'!$F$121*AH404</f>
        <v>1.1596599999999999E-3</v>
      </c>
      <c r="AM404" s="91"/>
      <c r="AN404" s="90">
        <v>45240</v>
      </c>
      <c r="AO404" s="91">
        <v>19351.849610000001</v>
      </c>
      <c r="AP404" s="91">
        <v>19425.349610000001</v>
      </c>
      <c r="AQ404" s="91">
        <v>19425.349610000001</v>
      </c>
      <c r="AR404" s="91">
        <v>152200</v>
      </c>
      <c r="AS404" s="91">
        <v>1.5E-3</v>
      </c>
    </row>
    <row r="405" spans="1:45" x14ac:dyDescent="0.55000000000000004">
      <c r="A405" s="90">
        <v>45243</v>
      </c>
      <c r="B405" s="91">
        <v>8139</v>
      </c>
      <c r="C405" s="91">
        <v>8086.7998049999997</v>
      </c>
      <c r="D405" s="91">
        <v>7919.1445309999999</v>
      </c>
      <c r="E405" s="91">
        <v>74252</v>
      </c>
      <c r="F405" s="91">
        <v>3.8999999999999998E-3</v>
      </c>
      <c r="H405" s="90">
        <v>45243</v>
      </c>
      <c r="I405" s="91">
        <v>1161.4499510000001</v>
      </c>
      <c r="J405" s="91">
        <v>1157.3000489999999</v>
      </c>
      <c r="K405" s="91">
        <v>1148.797241</v>
      </c>
      <c r="L405" s="91">
        <v>3854810</v>
      </c>
      <c r="M405" s="91">
        <v>-1E-4</v>
      </c>
      <c r="O405" s="90">
        <v>45243</v>
      </c>
      <c r="P405" s="91">
        <v>746.04998780000005</v>
      </c>
      <c r="Q405" s="91">
        <v>744.40002440000001</v>
      </c>
      <c r="R405" s="91">
        <v>724.57769780000001</v>
      </c>
      <c r="S405" s="91">
        <v>20605914</v>
      </c>
      <c r="T405" s="91">
        <v>-1.8E-3</v>
      </c>
      <c r="V405" s="90">
        <v>45243</v>
      </c>
      <c r="W405" s="91">
        <v>1379.849976</v>
      </c>
      <c r="X405" s="91">
        <v>1373.5500489999999</v>
      </c>
      <c r="Y405" s="91">
        <v>1293.1766359999999</v>
      </c>
      <c r="Z405" s="91">
        <v>3462092</v>
      </c>
      <c r="AA405" s="91">
        <v>3.3999999999999998E-3</v>
      </c>
      <c r="AB405" s="91"/>
      <c r="AC405" s="90">
        <v>45243</v>
      </c>
      <c r="AD405" s="91">
        <v>2495</v>
      </c>
      <c r="AE405" s="91">
        <v>2559.0500489999999</v>
      </c>
      <c r="AF405" s="91">
        <v>2555.0817870000001</v>
      </c>
      <c r="AG405" s="91">
        <v>1131761</v>
      </c>
      <c r="AH405" s="91">
        <v>2.8000000000000001E-2</v>
      </c>
      <c r="AI405" s="91"/>
      <c r="AJ405" s="91">
        <f>(F405*'Part 3 Portfolio Analysis'!$B$8+M405*'Part 3 Portfolio Analysis'!$C$8+T405*'Part 3 Portfolio Analysis'!$D$8+AA405*'Part 3 Portfolio Analysis'!$E$8+AH405*'Part 3 Portfolio Analysis'!$F$8)/100</f>
        <v>1.6543239740946269E-3</v>
      </c>
      <c r="AK405" s="91">
        <f>'Part 3 Portfolio Analysis'!$B$107*F405+M405*'Part 3 Portfolio Analysis'!$C$107+T405*'Part 3 Portfolio Analysis'!$D$107+AA405*'Part 3 Portfolio Analysis'!$E$107+AH405*'Part 3 Portfolio Analysis'!$F$107</f>
        <v>7.7876999999999998E-3</v>
      </c>
      <c r="AL405" s="91">
        <f>F405*'Part 3 Portfolio Analysis'!$B$121+M405*'Part 3 Portfolio Analysis'!$C$121+'Part 3 Portfolio Analysis'!$D$121*T405+AA405*'Part 3 Portfolio Analysis'!$E$121+'Part 3 Portfolio Analysis'!$F$121*AH405</f>
        <v>1.2026200000000002E-3</v>
      </c>
      <c r="AM405" s="91"/>
      <c r="AN405" s="90">
        <v>45243</v>
      </c>
      <c r="AO405" s="91">
        <v>19486.75</v>
      </c>
      <c r="AP405" s="91">
        <v>19443.550780000001</v>
      </c>
      <c r="AQ405" s="91">
        <v>19443.550780000001</v>
      </c>
      <c r="AR405" s="91">
        <v>189300</v>
      </c>
      <c r="AS405" s="91">
        <v>8.9999999999999998E-4</v>
      </c>
    </row>
    <row r="406" spans="1:45" x14ac:dyDescent="0.55000000000000004">
      <c r="A406" s="90">
        <v>45245</v>
      </c>
      <c r="B406" s="91">
        <v>8170.8999020000001</v>
      </c>
      <c r="C406" s="91">
        <v>8194.75</v>
      </c>
      <c r="D406" s="91">
        <v>8024.8569340000004</v>
      </c>
      <c r="E406" s="91">
        <v>94762</v>
      </c>
      <c r="F406" s="91">
        <v>1.3299999999999999E-2</v>
      </c>
      <c r="H406" s="90">
        <v>45245</v>
      </c>
      <c r="I406" s="91">
        <v>1170</v>
      </c>
      <c r="J406" s="91">
        <v>1178.224976</v>
      </c>
      <c r="K406" s="91">
        <v>1169.568481</v>
      </c>
      <c r="L406" s="91">
        <v>12220648</v>
      </c>
      <c r="M406" s="91">
        <v>1.8100000000000002E-2</v>
      </c>
      <c r="O406" s="90">
        <v>45245</v>
      </c>
      <c r="P406" s="91">
        <v>752.04998780000005</v>
      </c>
      <c r="Q406" s="91">
        <v>752.20001219999995</v>
      </c>
      <c r="R406" s="91">
        <v>732.1700439</v>
      </c>
      <c r="S406" s="91">
        <v>41245460</v>
      </c>
      <c r="T406" s="91">
        <v>1.0500000000000001E-2</v>
      </c>
      <c r="V406" s="90">
        <v>45245</v>
      </c>
      <c r="W406" s="91">
        <v>1399</v>
      </c>
      <c r="X406" s="91">
        <v>1410.5</v>
      </c>
      <c r="Y406" s="91">
        <v>1327.9643550000001</v>
      </c>
      <c r="Z406" s="91">
        <v>8551860</v>
      </c>
      <c r="AA406" s="91">
        <v>2.69E-2</v>
      </c>
      <c r="AB406" s="91"/>
      <c r="AC406" s="90">
        <v>45245</v>
      </c>
      <c r="AD406" s="91">
        <v>2579.8000489999999</v>
      </c>
      <c r="AE406" s="91">
        <v>2553.1499020000001</v>
      </c>
      <c r="AF406" s="91">
        <v>2549.1909179999998</v>
      </c>
      <c r="AG406" s="91">
        <v>599328</v>
      </c>
      <c r="AH406" s="91">
        <v>-2.3E-3</v>
      </c>
      <c r="AI406" s="91"/>
      <c r="AJ406" s="91">
        <f>(F406*'Part 3 Portfolio Analysis'!$B$8+M406*'Part 3 Portfolio Analysis'!$C$8+T406*'Part 3 Portfolio Analysis'!$D$8+AA406*'Part 3 Portfolio Analysis'!$E$8+AH406*'Part 3 Portfolio Analysis'!$F$8)/100</f>
        <v>1.6609057516960988E-2</v>
      </c>
      <c r="AK406" s="91">
        <f>'Part 3 Portfolio Analysis'!$B$107*F406+M406*'Part 3 Portfolio Analysis'!$C$107+T406*'Part 3 Portfolio Analysis'!$D$107+AA406*'Part 3 Portfolio Analysis'!$E$107+AH406*'Part 3 Portfolio Analysis'!$F$107</f>
        <v>1.1797200000000001E-2</v>
      </c>
      <c r="AL406" s="91">
        <f>F406*'Part 3 Portfolio Analysis'!$B$121+M406*'Part 3 Portfolio Analysis'!$C$121+'Part 3 Portfolio Analysis'!$D$121*T406+AA406*'Part 3 Portfolio Analysis'!$E$121+'Part 3 Portfolio Analysis'!$F$121*AH406</f>
        <v>1.6863760000000002E-2</v>
      </c>
      <c r="AM406" s="91"/>
      <c r="AN406" s="90">
        <v>45245</v>
      </c>
      <c r="AO406" s="91">
        <v>19651.400389999999</v>
      </c>
      <c r="AP406" s="91">
        <v>19675.449219999999</v>
      </c>
      <c r="AQ406" s="91">
        <v>19675.449219999999</v>
      </c>
      <c r="AR406" s="91">
        <v>291500</v>
      </c>
      <c r="AS406" s="91">
        <v>1.1900000000000001E-2</v>
      </c>
    </row>
    <row r="407" spans="1:45" x14ac:dyDescent="0.55000000000000004">
      <c r="A407" s="90">
        <v>45246</v>
      </c>
      <c r="B407" s="91">
        <v>8204.9501949999994</v>
      </c>
      <c r="C407" s="91">
        <v>8459.1503909999992</v>
      </c>
      <c r="D407" s="91">
        <v>8283.7763670000004</v>
      </c>
      <c r="E407" s="91">
        <v>317224</v>
      </c>
      <c r="F407" s="91">
        <v>3.2300000000000002E-2</v>
      </c>
      <c r="H407" s="90">
        <v>45246</v>
      </c>
      <c r="I407" s="91">
        <v>1175.5500489999999</v>
      </c>
      <c r="J407" s="91">
        <v>1180.349976</v>
      </c>
      <c r="K407" s="91">
        <v>1171.677856</v>
      </c>
      <c r="L407" s="91">
        <v>13134910</v>
      </c>
      <c r="M407" s="91">
        <v>1.8E-3</v>
      </c>
      <c r="O407" s="90">
        <v>45246</v>
      </c>
      <c r="P407" s="91">
        <v>754.84997559999999</v>
      </c>
      <c r="Q407" s="91">
        <v>754.17498780000005</v>
      </c>
      <c r="R407" s="91">
        <v>734.09240720000003</v>
      </c>
      <c r="S407" s="91">
        <v>29713838</v>
      </c>
      <c r="T407" s="91">
        <v>2.5999999999999999E-3</v>
      </c>
      <c r="V407" s="90">
        <v>45246</v>
      </c>
      <c r="W407" s="91">
        <v>1416.099976</v>
      </c>
      <c r="X407" s="91">
        <v>1444.900024</v>
      </c>
      <c r="Y407" s="91">
        <v>1360.3514399999999</v>
      </c>
      <c r="Z407" s="91">
        <v>6673907</v>
      </c>
      <c r="AA407" s="91">
        <v>2.4400000000000002E-2</v>
      </c>
      <c r="AB407" s="91"/>
      <c r="AC407" s="90">
        <v>45246</v>
      </c>
      <c r="AD407" s="91">
        <v>2556.5</v>
      </c>
      <c r="AE407" s="91">
        <v>2544.6999510000001</v>
      </c>
      <c r="AF407" s="91">
        <v>2540.7541500000002</v>
      </c>
      <c r="AG407" s="91">
        <v>766675</v>
      </c>
      <c r="AH407" s="91">
        <v>-3.3E-3</v>
      </c>
      <c r="AI407" s="91"/>
      <c r="AJ407" s="91">
        <f>(F407*'Part 3 Portfolio Analysis'!$B$8+M407*'Part 3 Portfolio Analysis'!$C$8+T407*'Part 3 Portfolio Analysis'!$D$8+AA407*'Part 3 Portfolio Analysis'!$E$8+AH407*'Part 3 Portfolio Analysis'!$F$8)/100</f>
        <v>1.467070349623727E-2</v>
      </c>
      <c r="AK407" s="91">
        <f>'Part 3 Portfolio Analysis'!$B$107*F407+M407*'Part 3 Portfolio Analysis'!$C$107+T407*'Part 3 Portfolio Analysis'!$D$107+AA407*'Part 3 Portfolio Analysis'!$E$107+AH407*'Part 3 Portfolio Analysis'!$F$107</f>
        <v>8.3888000000000001E-3</v>
      </c>
      <c r="AL407" s="91">
        <f>F407*'Part 3 Portfolio Analysis'!$B$121+M407*'Part 3 Portfolio Analysis'!$C$121+'Part 3 Portfolio Analysis'!$D$121*T407+AA407*'Part 3 Portfolio Analysis'!$E$121+'Part 3 Portfolio Analysis'!$F$121*AH407</f>
        <v>8.91108E-3</v>
      </c>
      <c r="AM407" s="91"/>
      <c r="AN407" s="90">
        <v>45246</v>
      </c>
      <c r="AO407" s="91">
        <v>19674.699219999999</v>
      </c>
      <c r="AP407" s="91">
        <v>19765.199219999999</v>
      </c>
      <c r="AQ407" s="91">
        <v>19765.199219999999</v>
      </c>
      <c r="AR407" s="91">
        <v>282700</v>
      </c>
      <c r="AS407" s="91">
        <v>4.5999999999999999E-3</v>
      </c>
    </row>
    <row r="408" spans="1:45" x14ac:dyDescent="0.55000000000000004">
      <c r="A408" s="90">
        <v>45247</v>
      </c>
      <c r="B408" s="91">
        <v>8489.5498050000006</v>
      </c>
      <c r="C408" s="91">
        <v>8306.5996090000008</v>
      </c>
      <c r="D408" s="91">
        <v>8134.3876950000003</v>
      </c>
      <c r="E408" s="91">
        <v>196640</v>
      </c>
      <c r="F408" s="91">
        <v>-1.7999999999999999E-2</v>
      </c>
      <c r="H408" s="90">
        <v>45247</v>
      </c>
      <c r="I408" s="91">
        <v>1176.4499510000001</v>
      </c>
      <c r="J408" s="91">
        <v>1177.775024</v>
      </c>
      <c r="K408" s="91">
        <v>1169.1218260000001</v>
      </c>
      <c r="L408" s="91">
        <v>7758634</v>
      </c>
      <c r="M408" s="91">
        <v>-2.2000000000000001E-3</v>
      </c>
      <c r="O408" s="90">
        <v>45247</v>
      </c>
      <c r="P408" s="91">
        <v>745</v>
      </c>
      <c r="Q408" s="91">
        <v>752.54998780000005</v>
      </c>
      <c r="R408" s="91">
        <v>732.51068120000002</v>
      </c>
      <c r="S408" s="91">
        <v>23701874</v>
      </c>
      <c r="T408" s="91">
        <v>-2.2000000000000001E-3</v>
      </c>
      <c r="V408" s="90">
        <v>45247</v>
      </c>
      <c r="W408" s="91">
        <v>1441.0500489999999</v>
      </c>
      <c r="X408" s="91">
        <v>1437.5500489999999</v>
      </c>
      <c r="Y408" s="91">
        <v>1353.431519</v>
      </c>
      <c r="Z408" s="91">
        <v>4901251</v>
      </c>
      <c r="AA408" s="91">
        <v>-5.1000000000000004E-3</v>
      </c>
      <c r="AB408" s="91"/>
      <c r="AC408" s="90">
        <v>45247</v>
      </c>
      <c r="AD408" s="91">
        <v>2547.5500489999999</v>
      </c>
      <c r="AE408" s="91">
        <v>2576.3999020000001</v>
      </c>
      <c r="AF408" s="91">
        <v>2572.405029</v>
      </c>
      <c r="AG408" s="91">
        <v>717236</v>
      </c>
      <c r="AH408" s="91">
        <v>1.2500000000000001E-2</v>
      </c>
      <c r="AI408" s="91"/>
      <c r="AJ408" s="91">
        <f>(F408*'Part 3 Portfolio Analysis'!$B$8+M408*'Part 3 Portfolio Analysis'!$C$8+T408*'Part 3 Portfolio Analysis'!$D$8+AA408*'Part 3 Portfolio Analysis'!$E$8+AH408*'Part 3 Portfolio Analysis'!$F$8)/100</f>
        <v>-7.2630354796664335E-3</v>
      </c>
      <c r="AK408" s="91">
        <f>'Part 3 Portfolio Analysis'!$B$107*F408+M408*'Part 3 Portfolio Analysis'!$C$107+T408*'Part 3 Portfolio Analysis'!$D$107+AA408*'Part 3 Portfolio Analysis'!$E$107+AH408*'Part 3 Portfolio Analysis'!$F$107</f>
        <v>-1.6296000000000001E-3</v>
      </c>
      <c r="AL408" s="91">
        <f>F408*'Part 3 Portfolio Analysis'!$B$121+M408*'Part 3 Portfolio Analysis'!$C$121+'Part 3 Portfolio Analysis'!$D$121*T408+AA408*'Part 3 Portfolio Analysis'!$E$121+'Part 3 Portfolio Analysis'!$F$121*AH408</f>
        <v>-3.6936199999999995E-3</v>
      </c>
      <c r="AM408" s="91"/>
      <c r="AN408" s="90">
        <v>45247</v>
      </c>
      <c r="AO408" s="91">
        <v>19674.75</v>
      </c>
      <c r="AP408" s="91">
        <v>19731.800780000001</v>
      </c>
      <c r="AQ408" s="91">
        <v>19731.800780000001</v>
      </c>
      <c r="AR408" s="91">
        <v>236800</v>
      </c>
      <c r="AS408" s="91">
        <v>-1.6999999999999999E-3</v>
      </c>
    </row>
    <row r="409" spans="1:45" x14ac:dyDescent="0.55000000000000004">
      <c r="A409" s="90">
        <v>45250</v>
      </c>
      <c r="B409" s="91">
        <v>8314.8496090000008</v>
      </c>
      <c r="C409" s="91">
        <v>8284.7001949999994</v>
      </c>
      <c r="D409" s="91">
        <v>8112.9423829999996</v>
      </c>
      <c r="E409" s="91">
        <v>98817</v>
      </c>
      <c r="F409" s="91">
        <v>-2.5999999999999999E-3</v>
      </c>
      <c r="H409" s="90">
        <v>45250</v>
      </c>
      <c r="I409" s="91">
        <v>1174.275024</v>
      </c>
      <c r="J409" s="91">
        <v>1174.6750489999999</v>
      </c>
      <c r="K409" s="91">
        <v>1166.044678</v>
      </c>
      <c r="L409" s="91">
        <v>4490186</v>
      </c>
      <c r="M409" s="91">
        <v>-2.5999999999999999E-3</v>
      </c>
      <c r="O409" s="90">
        <v>45250</v>
      </c>
      <c r="P409" s="91">
        <v>756.5</v>
      </c>
      <c r="Q409" s="91">
        <v>752.59997559999999</v>
      </c>
      <c r="R409" s="91">
        <v>732.55932619999999</v>
      </c>
      <c r="S409" s="91">
        <v>19331452</v>
      </c>
      <c r="T409" s="91">
        <v>1E-4</v>
      </c>
      <c r="V409" s="90">
        <v>45250</v>
      </c>
      <c r="W409" s="91">
        <v>1442</v>
      </c>
      <c r="X409" s="91">
        <v>1436.599976</v>
      </c>
      <c r="Y409" s="91">
        <v>1352.5371090000001</v>
      </c>
      <c r="Z409" s="91">
        <v>3584210</v>
      </c>
      <c r="AA409" s="91">
        <v>-6.9999999999999999E-4</v>
      </c>
      <c r="AB409" s="91"/>
      <c r="AC409" s="90">
        <v>45250</v>
      </c>
      <c r="AD409" s="91">
        <v>2595</v>
      </c>
      <c r="AE409" s="91">
        <v>2622.75</v>
      </c>
      <c r="AF409" s="91">
        <v>2618.6831050000001</v>
      </c>
      <c r="AG409" s="91">
        <v>568578</v>
      </c>
      <c r="AH409" s="91">
        <v>1.7999999999999999E-2</v>
      </c>
      <c r="AI409" s="91"/>
      <c r="AJ409" s="91">
        <f>(F409*'Part 3 Portfolio Analysis'!$B$8+M409*'Part 3 Portfolio Analysis'!$C$8+T409*'Part 3 Portfolio Analysis'!$D$8+AA409*'Part 3 Portfolio Analysis'!$E$8+AH409*'Part 3 Portfolio Analysis'!$F$8)/100</f>
        <v>-1.6424958318620975E-3</v>
      </c>
      <c r="AK409" s="91">
        <f>'Part 3 Portfolio Analysis'!$B$107*F409+M409*'Part 3 Portfolio Analysis'!$C$107+T409*'Part 3 Portfolio Analysis'!$D$107+AA409*'Part 3 Portfolio Analysis'!$E$107+AH409*'Part 3 Portfolio Analysis'!$F$107</f>
        <v>3.1997000000000006E-3</v>
      </c>
      <c r="AL409" s="91">
        <f>F409*'Part 3 Portfolio Analysis'!$B$121+M409*'Part 3 Portfolio Analysis'!$C$121+'Part 3 Portfolio Analysis'!$D$121*T409+AA409*'Part 3 Portfolio Analysis'!$E$121+'Part 3 Portfolio Analysis'!$F$121*AH409</f>
        <v>-9.4587999999999985E-4</v>
      </c>
      <c r="AM409" s="91"/>
      <c r="AN409" s="90">
        <v>45250</v>
      </c>
      <c r="AO409" s="91">
        <v>19731.150389999999</v>
      </c>
      <c r="AP409" s="91">
        <v>19694</v>
      </c>
      <c r="AQ409" s="91">
        <v>19694</v>
      </c>
      <c r="AR409" s="91">
        <v>173800</v>
      </c>
      <c r="AS409" s="91">
        <v>-1.9E-3</v>
      </c>
    </row>
    <row r="410" spans="1:45" x14ac:dyDescent="0.55000000000000004">
      <c r="A410" s="90">
        <v>45251</v>
      </c>
      <c r="B410" s="91">
        <v>8325.8496090000008</v>
      </c>
      <c r="C410" s="91">
        <v>8423.25</v>
      </c>
      <c r="D410" s="91">
        <v>8248.6201170000004</v>
      </c>
      <c r="E410" s="91">
        <v>144008</v>
      </c>
      <c r="F410" s="91">
        <v>1.67E-2</v>
      </c>
      <c r="H410" s="90">
        <v>45251</v>
      </c>
      <c r="I410" s="91">
        <v>1183</v>
      </c>
      <c r="J410" s="91">
        <v>1189.4499510000001</v>
      </c>
      <c r="K410" s="91">
        <v>1180.7109379999999</v>
      </c>
      <c r="L410" s="91">
        <v>8214450</v>
      </c>
      <c r="M410" s="91">
        <v>1.26E-2</v>
      </c>
      <c r="O410" s="90">
        <v>45251</v>
      </c>
      <c r="P410" s="91">
        <v>759.5</v>
      </c>
      <c r="Q410" s="91">
        <v>758.97497559999999</v>
      </c>
      <c r="R410" s="91">
        <v>738.76458739999998</v>
      </c>
      <c r="S410" s="91">
        <v>24959972</v>
      </c>
      <c r="T410" s="91">
        <v>8.5000000000000006E-3</v>
      </c>
      <c r="V410" s="90">
        <v>45251</v>
      </c>
      <c r="W410" s="91">
        <v>1442</v>
      </c>
      <c r="X410" s="91">
        <v>1439</v>
      </c>
      <c r="Y410" s="91">
        <v>1354.7966309999999</v>
      </c>
      <c r="Z410" s="91">
        <v>3793135</v>
      </c>
      <c r="AA410" s="91">
        <v>1.6999999999999999E-3</v>
      </c>
      <c r="AB410" s="91"/>
      <c r="AC410" s="90">
        <v>45251</v>
      </c>
      <c r="AD410" s="91">
        <v>2634.8999020000001</v>
      </c>
      <c r="AE410" s="91">
        <v>2613.75</v>
      </c>
      <c r="AF410" s="91">
        <v>2609.6972660000001</v>
      </c>
      <c r="AG410" s="91">
        <v>519349</v>
      </c>
      <c r="AH410" s="91">
        <v>-3.3999999999999998E-3</v>
      </c>
      <c r="AI410" s="91"/>
      <c r="AJ410" s="91">
        <f>(F410*'Part 3 Portfolio Analysis'!$B$8+M410*'Part 3 Portfolio Analysis'!$C$8+T410*'Part 3 Portfolio Analysis'!$D$8+AA410*'Part 3 Portfolio Analysis'!$E$8+AH410*'Part 3 Portfolio Analysis'!$F$8)/100</f>
        <v>1.1235514467514389E-2</v>
      </c>
      <c r="AK410" s="91">
        <f>'Part 3 Portfolio Analysis'!$B$107*F410+M410*'Part 3 Portfolio Analysis'!$C$107+T410*'Part 3 Portfolio Analysis'!$D$107+AA410*'Part 3 Portfolio Analysis'!$E$107+AH410*'Part 3 Portfolio Analysis'!$F$107</f>
        <v>7.5805000000000004E-3</v>
      </c>
      <c r="AL410" s="91">
        <f>F410*'Part 3 Portfolio Analysis'!$B$121+M410*'Part 3 Portfolio Analysis'!$C$121+'Part 3 Portfolio Analysis'!$D$121*T410+AA410*'Part 3 Portfolio Analysis'!$E$121+'Part 3 Portfolio Analysis'!$F$121*AH410</f>
        <v>9.2226199999999991E-3</v>
      </c>
      <c r="AM410" s="91"/>
      <c r="AN410" s="90">
        <v>45251</v>
      </c>
      <c r="AO410" s="91">
        <v>19770.900389999999</v>
      </c>
      <c r="AP410" s="91">
        <v>19783.400389999999</v>
      </c>
      <c r="AQ410" s="91">
        <v>19783.400389999999</v>
      </c>
      <c r="AR410" s="91">
        <v>195000</v>
      </c>
      <c r="AS410" s="91">
        <v>4.4999999999999997E-3</v>
      </c>
    </row>
    <row r="411" spans="1:45" x14ac:dyDescent="0.55000000000000004">
      <c r="A411" s="90">
        <v>45252</v>
      </c>
      <c r="B411" s="91">
        <v>8425</v>
      </c>
      <c r="C411" s="91">
        <v>8389.7001949999994</v>
      </c>
      <c r="D411" s="91">
        <v>8215.765625</v>
      </c>
      <c r="E411" s="91">
        <v>78752</v>
      </c>
      <c r="F411" s="91">
        <v>-4.0000000000000001E-3</v>
      </c>
      <c r="H411" s="90">
        <v>45252</v>
      </c>
      <c r="I411" s="91">
        <v>1187.5</v>
      </c>
      <c r="J411" s="91">
        <v>1194.099976</v>
      </c>
      <c r="K411" s="91">
        <v>1185.326904</v>
      </c>
      <c r="L411" s="91">
        <v>8534814</v>
      </c>
      <c r="M411" s="91">
        <v>3.8999999999999998E-3</v>
      </c>
      <c r="O411" s="90">
        <v>45252</v>
      </c>
      <c r="P411" s="91">
        <v>760</v>
      </c>
      <c r="Q411" s="91">
        <v>756.27502440000001</v>
      </c>
      <c r="R411" s="91">
        <v>736.1365356</v>
      </c>
      <c r="S411" s="91">
        <v>29123650</v>
      </c>
      <c r="T411" s="91">
        <v>-3.5999999999999999E-3</v>
      </c>
      <c r="V411" s="90">
        <v>45252</v>
      </c>
      <c r="W411" s="91">
        <v>1436.1999510000001</v>
      </c>
      <c r="X411" s="91">
        <v>1457.8000489999999</v>
      </c>
      <c r="Y411" s="91">
        <v>1372.4967039999999</v>
      </c>
      <c r="Z411" s="91">
        <v>3108786</v>
      </c>
      <c r="AA411" s="91">
        <v>1.3100000000000001E-2</v>
      </c>
      <c r="AB411" s="91"/>
      <c r="AC411" s="90">
        <v>45252</v>
      </c>
      <c r="AD411" s="91">
        <v>2625</v>
      </c>
      <c r="AE411" s="91">
        <v>2627.1499020000001</v>
      </c>
      <c r="AF411" s="91">
        <v>2623.076172</v>
      </c>
      <c r="AG411" s="91">
        <v>395438</v>
      </c>
      <c r="AH411" s="91">
        <v>5.1000000000000004E-3</v>
      </c>
      <c r="AI411" s="91"/>
      <c r="AJ411" s="91">
        <f>(F411*'Part 3 Portfolio Analysis'!$B$8+M411*'Part 3 Portfolio Analysis'!$C$8+T411*'Part 3 Portfolio Analysis'!$D$8+AA411*'Part 3 Portfolio Analysis'!$E$8+AH411*'Part 3 Portfolio Analysis'!$F$8)/100</f>
        <v>1.7712219059368177E-3</v>
      </c>
      <c r="AK411" s="91">
        <f>'Part 3 Portfolio Analysis'!$B$107*F411+M411*'Part 3 Portfolio Analysis'!$C$107+T411*'Part 3 Portfolio Analysis'!$D$107+AA411*'Part 3 Portfolio Analysis'!$E$107+AH411*'Part 3 Portfolio Analysis'!$F$107</f>
        <v>2.5379000000000001E-3</v>
      </c>
      <c r="AL411" s="91">
        <f>F411*'Part 3 Portfolio Analysis'!$B$121+M411*'Part 3 Portfolio Analysis'!$C$121+'Part 3 Portfolio Analysis'!$D$121*T411+AA411*'Part 3 Portfolio Analysis'!$E$121+'Part 3 Portfolio Analysis'!$F$121*AH411</f>
        <v>3.0820600000000002E-3</v>
      </c>
      <c r="AM411" s="91"/>
      <c r="AN411" s="90">
        <v>45252</v>
      </c>
      <c r="AO411" s="91">
        <v>19784</v>
      </c>
      <c r="AP411" s="91">
        <v>19811.849610000001</v>
      </c>
      <c r="AQ411" s="91">
        <v>19811.849610000001</v>
      </c>
      <c r="AR411" s="91">
        <v>184500</v>
      </c>
      <c r="AS411" s="91">
        <v>1.4E-3</v>
      </c>
    </row>
    <row r="412" spans="1:45" x14ac:dyDescent="0.55000000000000004">
      <c r="A412" s="90">
        <v>45253</v>
      </c>
      <c r="B412" s="91">
        <v>8399</v>
      </c>
      <c r="C412" s="91">
        <v>8380.3496090000008</v>
      </c>
      <c r="D412" s="91">
        <v>8206.6083980000003</v>
      </c>
      <c r="E412" s="91">
        <v>96295</v>
      </c>
      <c r="F412" s="91">
        <v>-1.1000000000000001E-3</v>
      </c>
      <c r="H412" s="90">
        <v>45253</v>
      </c>
      <c r="I412" s="91">
        <v>1194.099976</v>
      </c>
      <c r="J412" s="91">
        <v>1197.75</v>
      </c>
      <c r="K412" s="91">
        <v>1188.950073</v>
      </c>
      <c r="L412" s="91">
        <v>8531542</v>
      </c>
      <c r="M412" s="91">
        <v>3.0999999999999999E-3</v>
      </c>
      <c r="O412" s="90">
        <v>45253</v>
      </c>
      <c r="P412" s="91">
        <v>754.25</v>
      </c>
      <c r="Q412" s="91">
        <v>760.65002440000001</v>
      </c>
      <c r="R412" s="91">
        <v>740.39508060000003</v>
      </c>
      <c r="S412" s="91">
        <v>13046220</v>
      </c>
      <c r="T412" s="91">
        <v>5.7999999999999996E-3</v>
      </c>
      <c r="V412" s="90">
        <v>45253</v>
      </c>
      <c r="W412" s="91">
        <v>1467.900024</v>
      </c>
      <c r="X412" s="91">
        <v>1449.25</v>
      </c>
      <c r="Y412" s="91">
        <v>1364.446899</v>
      </c>
      <c r="Z412" s="91">
        <v>3186928</v>
      </c>
      <c r="AA412" s="91">
        <v>-5.8999999999999999E-3</v>
      </c>
      <c r="AB412" s="91"/>
      <c r="AC412" s="90">
        <v>45253</v>
      </c>
      <c r="AD412" s="91">
        <v>2644.8000489999999</v>
      </c>
      <c r="AE412" s="91">
        <v>2655.0500489999999</v>
      </c>
      <c r="AF412" s="91">
        <v>2650.9331050000001</v>
      </c>
      <c r="AG412" s="91">
        <v>398832</v>
      </c>
      <c r="AH412" s="91">
        <v>1.06E-2</v>
      </c>
      <c r="AI412" s="91"/>
      <c r="AJ412" s="91">
        <f>(F412*'Part 3 Portfolio Analysis'!$B$8+M412*'Part 3 Portfolio Analysis'!$C$8+T412*'Part 3 Portfolio Analysis'!$D$8+AA412*'Part 3 Portfolio Analysis'!$E$8+AH412*'Part 3 Portfolio Analysis'!$F$8)/100</f>
        <v>9.152941381610208E-4</v>
      </c>
      <c r="AK412" s="91">
        <f>'Part 3 Portfolio Analysis'!$B$107*F412+M412*'Part 3 Portfolio Analysis'!$C$107+T412*'Part 3 Portfolio Analysis'!$D$107+AA412*'Part 3 Portfolio Analysis'!$E$107+AH412*'Part 3 Portfolio Analysis'!$F$107</f>
        <v>3.7524999999999998E-3</v>
      </c>
      <c r="AL412" s="91">
        <f>F412*'Part 3 Portfolio Analysis'!$B$121+M412*'Part 3 Portfolio Analysis'!$C$121+'Part 3 Portfolio Analysis'!$D$121*T412+AA412*'Part 3 Portfolio Analysis'!$E$121+'Part 3 Portfolio Analysis'!$F$121*AH412</f>
        <v>1.8856599999999999E-3</v>
      </c>
      <c r="AM412" s="91"/>
      <c r="AN412" s="90">
        <v>45253</v>
      </c>
      <c r="AO412" s="91">
        <v>19828.449219999999</v>
      </c>
      <c r="AP412" s="91">
        <v>19802</v>
      </c>
      <c r="AQ412" s="91">
        <v>19802</v>
      </c>
      <c r="AR412" s="91">
        <v>170000</v>
      </c>
      <c r="AS412" s="91">
        <v>-5.0000000000000001E-4</v>
      </c>
    </row>
    <row r="413" spans="1:45" x14ac:dyDescent="0.55000000000000004">
      <c r="A413" s="90">
        <v>45254</v>
      </c>
      <c r="B413" s="91">
        <v>8421.6503909999992</v>
      </c>
      <c r="C413" s="91">
        <v>8334.5498050000006</v>
      </c>
      <c r="D413" s="91">
        <v>8161.7587890000004</v>
      </c>
      <c r="E413" s="91">
        <v>82775</v>
      </c>
      <c r="F413" s="91">
        <v>-5.4999999999999997E-3</v>
      </c>
      <c r="H413" s="90">
        <v>45254</v>
      </c>
      <c r="I413" s="91">
        <v>1195.8000489999999</v>
      </c>
      <c r="J413" s="91">
        <v>1196.9499510000001</v>
      </c>
      <c r="K413" s="91">
        <v>1188.155884</v>
      </c>
      <c r="L413" s="91">
        <v>6749486</v>
      </c>
      <c r="M413" s="91">
        <v>-6.9999999999999999E-4</v>
      </c>
      <c r="O413" s="90">
        <v>45254</v>
      </c>
      <c r="P413" s="91">
        <v>760.59997559999999</v>
      </c>
      <c r="Q413" s="91">
        <v>766.04998780000005</v>
      </c>
      <c r="R413" s="91">
        <v>745.65118410000002</v>
      </c>
      <c r="S413" s="91">
        <v>16469192</v>
      </c>
      <c r="T413" s="91">
        <v>7.1000000000000004E-3</v>
      </c>
      <c r="V413" s="90">
        <v>45254</v>
      </c>
      <c r="W413" s="91">
        <v>1445.5500489999999</v>
      </c>
      <c r="X413" s="91">
        <v>1437.400024</v>
      </c>
      <c r="Y413" s="91">
        <v>1353.290405</v>
      </c>
      <c r="Z413" s="91">
        <v>2973195</v>
      </c>
      <c r="AA413" s="91">
        <v>-8.2000000000000007E-3</v>
      </c>
      <c r="AB413" s="91"/>
      <c r="AC413" s="90">
        <v>45254</v>
      </c>
      <c r="AD413" s="91">
        <v>2659.9499510000001</v>
      </c>
      <c r="AE413" s="91">
        <v>2649.6999510000001</v>
      </c>
      <c r="AF413" s="91">
        <v>2645.5913089999999</v>
      </c>
      <c r="AG413" s="91">
        <v>325606</v>
      </c>
      <c r="AH413" s="91">
        <v>-2E-3</v>
      </c>
      <c r="AI413" s="91"/>
      <c r="AJ413" s="91">
        <f>(F413*'Part 3 Portfolio Analysis'!$B$8+M413*'Part 3 Portfolio Analysis'!$C$8+T413*'Part 3 Portfolio Analysis'!$D$8+AA413*'Part 3 Portfolio Analysis'!$E$8+AH413*'Part 3 Portfolio Analysis'!$F$8)/100</f>
        <v>-2.0585683866683521E-3</v>
      </c>
      <c r="AK413" s="91">
        <f>'Part 3 Portfolio Analysis'!$B$107*F413+M413*'Part 3 Portfolio Analysis'!$C$107+T413*'Part 3 Portfolio Analysis'!$D$107+AA413*'Part 3 Portfolio Analysis'!$E$107+AH413*'Part 3 Portfolio Analysis'!$F$107</f>
        <v>-1.4326E-3</v>
      </c>
      <c r="AL413" s="91">
        <f>F413*'Part 3 Portfolio Analysis'!$B$121+M413*'Part 3 Portfolio Analysis'!$C$121+'Part 3 Portfolio Analysis'!$D$121*T413+AA413*'Part 3 Portfolio Analysis'!$E$121+'Part 3 Portfolio Analysis'!$F$121*AH413</f>
        <v>-5.0701999999999974E-4</v>
      </c>
      <c r="AM413" s="91"/>
      <c r="AN413" s="90">
        <v>45254</v>
      </c>
      <c r="AO413" s="91">
        <v>19809.599610000001</v>
      </c>
      <c r="AP413" s="91">
        <v>19794.699219999999</v>
      </c>
      <c r="AQ413" s="91">
        <v>19794.699219999999</v>
      </c>
      <c r="AR413" s="91">
        <v>145900</v>
      </c>
      <c r="AS413" s="91">
        <v>-4.0000000000000002E-4</v>
      </c>
    </row>
    <row r="414" spans="1:45" x14ac:dyDescent="0.55000000000000004">
      <c r="A414" s="90">
        <v>45258</v>
      </c>
      <c r="B414" s="91">
        <v>8331.0498050000006</v>
      </c>
      <c r="C414" s="91">
        <v>8306.2001949999994</v>
      </c>
      <c r="D414" s="91">
        <v>8133.9960940000001</v>
      </c>
      <c r="E414" s="91">
        <v>128466</v>
      </c>
      <c r="F414" s="91">
        <v>-3.3999999999999998E-3</v>
      </c>
      <c r="H414" s="90">
        <v>45258</v>
      </c>
      <c r="I414" s="91">
        <v>1196.9499510000001</v>
      </c>
      <c r="J414" s="91">
        <v>1197.1999510000001</v>
      </c>
      <c r="K414" s="91">
        <v>1188.404053</v>
      </c>
      <c r="L414" s="91">
        <v>13792174</v>
      </c>
      <c r="M414" s="91">
        <v>2.0000000000000001E-4</v>
      </c>
      <c r="O414" s="90">
        <v>45258</v>
      </c>
      <c r="P414" s="91">
        <v>767.59997559999999</v>
      </c>
      <c r="Q414" s="91">
        <v>764.32501219999995</v>
      </c>
      <c r="R414" s="91">
        <v>743.97216800000001</v>
      </c>
      <c r="S414" s="91">
        <v>28489338</v>
      </c>
      <c r="T414" s="91">
        <v>-2.3E-3</v>
      </c>
      <c r="V414" s="90">
        <v>45258</v>
      </c>
      <c r="W414" s="91">
        <v>1444</v>
      </c>
      <c r="X414" s="91">
        <v>1442.6999510000001</v>
      </c>
      <c r="Y414" s="91">
        <v>1358.2801509999999</v>
      </c>
      <c r="Z414" s="91">
        <v>3755373</v>
      </c>
      <c r="AA414" s="91">
        <v>3.7000000000000002E-3</v>
      </c>
      <c r="AB414" s="91"/>
      <c r="AC414" s="90">
        <v>45258</v>
      </c>
      <c r="AD414" s="91">
        <v>2668.5</v>
      </c>
      <c r="AE414" s="91">
        <v>2671.75</v>
      </c>
      <c r="AF414" s="91">
        <v>2667.6071780000002</v>
      </c>
      <c r="AG414" s="91">
        <v>535972</v>
      </c>
      <c r="AH414" s="91">
        <v>8.3000000000000001E-3</v>
      </c>
      <c r="AI414" s="91"/>
      <c r="AJ414" s="91">
        <f>(F414*'Part 3 Portfolio Analysis'!$B$8+M414*'Part 3 Portfolio Analysis'!$C$8+T414*'Part 3 Portfolio Analysis'!$D$8+AA414*'Part 3 Portfolio Analysis'!$E$8+AH414*'Part 3 Portfolio Analysis'!$F$8)/100</f>
        <v>-6.5459812233996937E-4</v>
      </c>
      <c r="AK414" s="91">
        <f>'Part 3 Portfolio Analysis'!$B$107*F414+M414*'Part 3 Portfolio Analysis'!$C$107+T414*'Part 3 Portfolio Analysis'!$D$107+AA414*'Part 3 Portfolio Analysis'!$E$107+AH414*'Part 3 Portfolio Analysis'!$F$107</f>
        <v>1.5557000000000001E-3</v>
      </c>
      <c r="AL414" s="91">
        <f>F414*'Part 3 Portfolio Analysis'!$B$121+M414*'Part 3 Portfolio Analysis'!$C$121+'Part 3 Portfolio Analysis'!$D$121*T414+AA414*'Part 3 Portfolio Analysis'!$E$121+'Part 3 Portfolio Analysis'!$F$121*AH414</f>
        <v>1.3630000000000009E-4</v>
      </c>
      <c r="AM414" s="91"/>
      <c r="AN414" s="90">
        <v>45258</v>
      </c>
      <c r="AO414" s="91">
        <v>19844.650389999999</v>
      </c>
      <c r="AP414" s="91">
        <v>19889.699219999999</v>
      </c>
      <c r="AQ414" s="91">
        <v>19889.699219999999</v>
      </c>
      <c r="AR414" s="91">
        <v>229600</v>
      </c>
      <c r="AS414" s="91">
        <v>4.7999999999999996E-3</v>
      </c>
    </row>
    <row r="415" spans="1:45" x14ac:dyDescent="0.55000000000000004">
      <c r="A415" s="90">
        <v>45259</v>
      </c>
      <c r="B415" s="91">
        <v>8340</v>
      </c>
      <c r="C415" s="91">
        <v>8388.5498050000006</v>
      </c>
      <c r="D415" s="91">
        <v>8214.6386719999991</v>
      </c>
      <c r="E415" s="91">
        <v>138630</v>
      </c>
      <c r="F415" s="91">
        <v>9.9000000000000008E-3</v>
      </c>
      <c r="H415" s="90">
        <v>45259</v>
      </c>
      <c r="I415" s="91">
        <v>1204</v>
      </c>
      <c r="J415" s="91">
        <v>1200.349976</v>
      </c>
      <c r="K415" s="91">
        <v>1191.530884</v>
      </c>
      <c r="L415" s="91">
        <v>12531306</v>
      </c>
      <c r="M415" s="91">
        <v>2.5999999999999999E-3</v>
      </c>
      <c r="O415" s="90">
        <v>45259</v>
      </c>
      <c r="P415" s="91">
        <v>766.95001219999995</v>
      </c>
      <c r="Q415" s="91">
        <v>779.57501219999995</v>
      </c>
      <c r="R415" s="91">
        <v>758.81604000000004</v>
      </c>
      <c r="S415" s="91">
        <v>34042488</v>
      </c>
      <c r="T415" s="91">
        <v>0.02</v>
      </c>
      <c r="V415" s="90">
        <v>45259</v>
      </c>
      <c r="W415" s="91">
        <v>1451.099976</v>
      </c>
      <c r="X415" s="91">
        <v>1459.599976</v>
      </c>
      <c r="Y415" s="91">
        <v>1374.191284</v>
      </c>
      <c r="Z415" s="91">
        <v>3875778</v>
      </c>
      <c r="AA415" s="91">
        <v>1.17E-2</v>
      </c>
      <c r="AB415" s="91"/>
      <c r="AC415" s="90">
        <v>45259</v>
      </c>
      <c r="AD415" s="91">
        <v>2694</v>
      </c>
      <c r="AE415" s="91">
        <v>2676.3999020000001</v>
      </c>
      <c r="AF415" s="91">
        <v>2672.25</v>
      </c>
      <c r="AG415" s="91">
        <v>460234</v>
      </c>
      <c r="AH415" s="91">
        <v>1.6999999999999999E-3</v>
      </c>
      <c r="AI415" s="91"/>
      <c r="AJ415" s="91">
        <f>(F415*'Part 3 Portfolio Analysis'!$B$8+M415*'Part 3 Portfolio Analysis'!$C$8+T415*'Part 3 Portfolio Analysis'!$D$8+AA415*'Part 3 Portfolio Analysis'!$E$8+AH415*'Part 3 Portfolio Analysis'!$F$8)/100</f>
        <v>9.1482402364439254E-3</v>
      </c>
      <c r="AK415" s="91">
        <f>'Part 3 Portfolio Analysis'!$B$107*F415+M415*'Part 3 Portfolio Analysis'!$C$107+T415*'Part 3 Portfolio Analysis'!$D$107+AA415*'Part 3 Portfolio Analysis'!$E$107+AH415*'Part 3 Portfolio Analysis'!$F$107</f>
        <v>7.2941999999999998E-3</v>
      </c>
      <c r="AL415" s="91">
        <f>F415*'Part 3 Portfolio Analysis'!$B$121+M415*'Part 3 Portfolio Analysis'!$C$121+'Part 3 Portfolio Analysis'!$D$121*T415+AA415*'Part 3 Portfolio Analysis'!$E$121+'Part 3 Portfolio Analysis'!$F$121*AH415</f>
        <v>9.7292799999999999E-3</v>
      </c>
      <c r="AM415" s="91"/>
      <c r="AN415" s="90">
        <v>45259</v>
      </c>
      <c r="AO415" s="91">
        <v>19976.550780000001</v>
      </c>
      <c r="AP415" s="91">
        <v>20096.599610000001</v>
      </c>
      <c r="AQ415" s="91">
        <v>20096.599610000001</v>
      </c>
      <c r="AR415" s="91">
        <v>236200</v>
      </c>
      <c r="AS415" s="91">
        <v>1.04E-2</v>
      </c>
    </row>
    <row r="416" spans="1:45" x14ac:dyDescent="0.55000000000000004">
      <c r="A416" s="90">
        <v>45260</v>
      </c>
      <c r="B416" s="91">
        <v>8432.0996090000008</v>
      </c>
      <c r="C416" s="91">
        <v>8252.7998050000006</v>
      </c>
      <c r="D416" s="91">
        <v>8081.703125</v>
      </c>
      <c r="E416" s="91">
        <v>314893</v>
      </c>
      <c r="F416" s="91">
        <v>-1.6199999999999999E-2</v>
      </c>
      <c r="H416" s="90">
        <v>45260</v>
      </c>
      <c r="I416" s="91">
        <v>1197.349976</v>
      </c>
      <c r="J416" s="91">
        <v>1188.724976</v>
      </c>
      <c r="K416" s="91">
        <v>1179.9913329999999</v>
      </c>
      <c r="L416" s="91">
        <v>28439984</v>
      </c>
      <c r="M416" s="91">
        <v>-9.7000000000000003E-3</v>
      </c>
      <c r="O416" s="90">
        <v>45260</v>
      </c>
      <c r="P416" s="91">
        <v>784.57501219999995</v>
      </c>
      <c r="Q416" s="91">
        <v>779.40002440000001</v>
      </c>
      <c r="R416" s="91">
        <v>758.64569089999998</v>
      </c>
      <c r="S416" s="91">
        <v>69491440</v>
      </c>
      <c r="T416" s="91">
        <v>-2.0000000000000001E-4</v>
      </c>
      <c r="V416" s="90">
        <v>45260</v>
      </c>
      <c r="W416" s="91">
        <v>1453.25</v>
      </c>
      <c r="X416" s="91">
        <v>1455.150024</v>
      </c>
      <c r="Y416" s="91">
        <v>1370.0017089999999</v>
      </c>
      <c r="Z416" s="91">
        <v>10120867</v>
      </c>
      <c r="AA416" s="91">
        <v>-3.0000000000000001E-3</v>
      </c>
      <c r="AB416" s="91"/>
      <c r="AC416" s="90">
        <v>45260</v>
      </c>
      <c r="AD416" s="91">
        <v>2676.3999020000001</v>
      </c>
      <c r="AE416" s="91">
        <v>2787</v>
      </c>
      <c r="AF416" s="91">
        <v>2782.6784670000002</v>
      </c>
      <c r="AG416" s="91">
        <v>2343154</v>
      </c>
      <c r="AH416" s="91">
        <v>4.1300000000000003E-2</v>
      </c>
      <c r="AI416" s="91"/>
      <c r="AJ416" s="91">
        <f>(F416*'Part 3 Portfolio Analysis'!$B$8+M416*'Part 3 Portfolio Analysis'!$C$8+T416*'Part 3 Portfolio Analysis'!$D$8+AA416*'Part 3 Portfolio Analysis'!$E$8+AH416*'Part 3 Portfolio Analysis'!$F$8)/100</f>
        <v>-8.4885709905739189E-3</v>
      </c>
      <c r="AK416" s="91">
        <f>'Part 3 Portfolio Analysis'!$B$107*F416+M416*'Part 3 Portfolio Analysis'!$C$107+T416*'Part 3 Portfolio Analysis'!$D$107+AA416*'Part 3 Portfolio Analysis'!$E$107+AH416*'Part 3 Portfolio Analysis'!$F$107</f>
        <v>4.1245000000000014E-3</v>
      </c>
      <c r="AL416" s="91">
        <f>F416*'Part 3 Portfolio Analysis'!$B$121+M416*'Part 3 Portfolio Analysis'!$C$121+'Part 3 Portfolio Analysis'!$D$121*T416+AA416*'Part 3 Portfolio Analysis'!$E$121+'Part 3 Portfolio Analysis'!$F$121*AH416</f>
        <v>-4.9740999999999995E-3</v>
      </c>
      <c r="AM416" s="91"/>
      <c r="AN416" s="90">
        <v>45260</v>
      </c>
      <c r="AO416" s="91">
        <v>20108.5</v>
      </c>
      <c r="AP416" s="91">
        <v>20133.150389999999</v>
      </c>
      <c r="AQ416" s="91">
        <v>20133.150389999999</v>
      </c>
      <c r="AR416" s="91">
        <v>486600</v>
      </c>
      <c r="AS416" s="91">
        <v>1.8E-3</v>
      </c>
    </row>
    <row r="417" spans="1:45" x14ac:dyDescent="0.55000000000000004">
      <c r="A417" s="90">
        <v>45261</v>
      </c>
      <c r="B417" s="91">
        <v>8333.25</v>
      </c>
      <c r="C417" s="91">
        <v>8423.25</v>
      </c>
      <c r="D417" s="91">
        <v>8248.6201170000004</v>
      </c>
      <c r="E417" s="91">
        <v>127176</v>
      </c>
      <c r="F417" s="91">
        <v>2.07E-2</v>
      </c>
      <c r="H417" s="90">
        <v>45261</v>
      </c>
      <c r="I417" s="91">
        <v>1189</v>
      </c>
      <c r="J417" s="91">
        <v>1197.150024</v>
      </c>
      <c r="K417" s="91">
        <v>1188.3544919999999</v>
      </c>
      <c r="L417" s="91">
        <v>14342842</v>
      </c>
      <c r="M417" s="91">
        <v>7.1000000000000004E-3</v>
      </c>
      <c r="O417" s="90">
        <v>45261</v>
      </c>
      <c r="P417" s="91">
        <v>778.95001219999995</v>
      </c>
      <c r="Q417" s="91">
        <v>777.70001219999995</v>
      </c>
      <c r="R417" s="91">
        <v>756.99096680000002</v>
      </c>
      <c r="S417" s="91">
        <v>22153536</v>
      </c>
      <c r="T417" s="91">
        <v>-2.2000000000000001E-3</v>
      </c>
      <c r="V417" s="90">
        <v>45261</v>
      </c>
      <c r="W417" s="91">
        <v>1459.900024</v>
      </c>
      <c r="X417" s="91">
        <v>1452.3000489999999</v>
      </c>
      <c r="Y417" s="91">
        <v>1367.318481</v>
      </c>
      <c r="Z417" s="91">
        <v>3489187</v>
      </c>
      <c r="AA417" s="91">
        <v>-2E-3</v>
      </c>
      <c r="AB417" s="91"/>
      <c r="AC417" s="90">
        <v>45261</v>
      </c>
      <c r="AD417" s="91">
        <v>2787</v>
      </c>
      <c r="AE417" s="91">
        <v>2807.6999510000001</v>
      </c>
      <c r="AF417" s="91">
        <v>2803.3461910000001</v>
      </c>
      <c r="AG417" s="91">
        <v>1049846</v>
      </c>
      <c r="AH417" s="91">
        <v>7.4000000000000003E-3</v>
      </c>
      <c r="AI417" s="91"/>
      <c r="AJ417" s="91">
        <f>(F417*'Part 3 Portfolio Analysis'!$B$8+M417*'Part 3 Portfolio Analysis'!$C$8+T417*'Part 3 Portfolio Analysis'!$D$8+AA417*'Part 3 Portfolio Analysis'!$E$8+AH417*'Part 3 Portfolio Analysis'!$F$8)/100</f>
        <v>8.1670784789820358E-3</v>
      </c>
      <c r="AK417" s="91">
        <f>'Part 3 Portfolio Analysis'!$B$107*F417+M417*'Part 3 Portfolio Analysis'!$C$107+T417*'Part 3 Portfolio Analysis'!$D$107+AA417*'Part 3 Portfolio Analysis'!$E$107+AH417*'Part 3 Portfolio Analysis'!$F$107</f>
        <v>7.2721000000000001E-3</v>
      </c>
      <c r="AL417" s="91">
        <f>F417*'Part 3 Portfolio Analysis'!$B$121+M417*'Part 3 Portfolio Analysis'!$C$121+'Part 3 Portfolio Analysis'!$D$121*T417+AA417*'Part 3 Portfolio Analysis'!$E$121+'Part 3 Portfolio Analysis'!$F$121*AH417</f>
        <v>3.8761799999999995E-3</v>
      </c>
      <c r="AM417" s="91"/>
      <c r="AN417" s="90">
        <v>45261</v>
      </c>
      <c r="AO417" s="91">
        <v>20194.099610000001</v>
      </c>
      <c r="AP417" s="91">
        <v>20267.900389999999</v>
      </c>
      <c r="AQ417" s="91">
        <v>20267.900389999999</v>
      </c>
      <c r="AR417" s="91">
        <v>265800</v>
      </c>
      <c r="AS417" s="91">
        <v>6.7000000000000002E-3</v>
      </c>
    </row>
    <row r="418" spans="1:45" x14ac:dyDescent="0.55000000000000004">
      <c r="A418" s="90">
        <v>45264</v>
      </c>
      <c r="B418" s="91">
        <v>8499</v>
      </c>
      <c r="C418" s="91">
        <v>8402.7998050000006</v>
      </c>
      <c r="D418" s="91">
        <v>8228.59375</v>
      </c>
      <c r="E418" s="91">
        <v>106243</v>
      </c>
      <c r="F418" s="91">
        <v>-2.3999999999999998E-3</v>
      </c>
      <c r="H418" s="90">
        <v>45264</v>
      </c>
      <c r="I418" s="91">
        <v>1225</v>
      </c>
      <c r="J418" s="91">
        <v>1210.099976</v>
      </c>
      <c r="K418" s="91">
        <v>1201.2092290000001</v>
      </c>
      <c r="L418" s="91">
        <v>15590990</v>
      </c>
      <c r="M418" s="91">
        <v>1.0800000000000001E-2</v>
      </c>
      <c r="O418" s="90">
        <v>45264</v>
      </c>
      <c r="P418" s="91">
        <v>794</v>
      </c>
      <c r="Q418" s="91">
        <v>804.70001219999995</v>
      </c>
      <c r="R418" s="91">
        <v>783.27203369999995</v>
      </c>
      <c r="S418" s="91">
        <v>50662456</v>
      </c>
      <c r="T418" s="91">
        <v>3.4700000000000002E-2</v>
      </c>
      <c r="V418" s="90">
        <v>45264</v>
      </c>
      <c r="W418" s="91">
        <v>1460.4499510000001</v>
      </c>
      <c r="X418" s="91">
        <v>1464.349976</v>
      </c>
      <c r="Y418" s="91">
        <v>1378.6633300000001</v>
      </c>
      <c r="Z418" s="91">
        <v>5511948</v>
      </c>
      <c r="AA418" s="91">
        <v>8.3000000000000001E-3</v>
      </c>
      <c r="AB418" s="91"/>
      <c r="AC418" s="90">
        <v>45264</v>
      </c>
      <c r="AD418" s="91">
        <v>2847</v>
      </c>
      <c r="AE418" s="91">
        <v>2816.8500979999999</v>
      </c>
      <c r="AF418" s="91">
        <v>2812.4821780000002</v>
      </c>
      <c r="AG418" s="91">
        <v>685830</v>
      </c>
      <c r="AH418" s="91">
        <v>3.3E-3</v>
      </c>
      <c r="AI418" s="91"/>
      <c r="AJ418" s="91">
        <f>(F418*'Part 3 Portfolio Analysis'!$B$8+M418*'Part 3 Portfolio Analysis'!$C$8+T418*'Part 3 Portfolio Analysis'!$D$8+AA418*'Part 3 Portfolio Analysis'!$E$8+AH418*'Part 3 Portfolio Analysis'!$F$8)/100</f>
        <v>1.0351187639585759E-2</v>
      </c>
      <c r="AK418" s="91">
        <f>'Part 3 Portfolio Analysis'!$B$107*F418+M418*'Part 3 Portfolio Analysis'!$C$107+T418*'Part 3 Portfolio Analysis'!$D$107+AA418*'Part 3 Portfolio Analysis'!$E$107+AH418*'Part 3 Portfolio Analysis'!$F$107</f>
        <v>9.9884999999999991E-3</v>
      </c>
      <c r="AL418" s="91">
        <f>F418*'Part 3 Portfolio Analysis'!$B$121+M418*'Part 3 Portfolio Analysis'!$C$121+'Part 3 Portfolio Analysis'!$D$121*T418+AA418*'Part 3 Portfolio Analysis'!$E$121+'Part 3 Portfolio Analysis'!$F$121*AH418</f>
        <v>1.5519260000000002E-2</v>
      </c>
      <c r="AM418" s="91"/>
      <c r="AN418" s="90">
        <v>45264</v>
      </c>
      <c r="AO418" s="91">
        <v>20601.949219999999</v>
      </c>
      <c r="AP418" s="91">
        <v>20686.800780000001</v>
      </c>
      <c r="AQ418" s="91">
        <v>20686.800780000001</v>
      </c>
      <c r="AR418" s="91">
        <v>381100</v>
      </c>
      <c r="AS418" s="91">
        <v>2.07E-2</v>
      </c>
    </row>
    <row r="419" spans="1:45" x14ac:dyDescent="0.55000000000000004">
      <c r="A419" s="90">
        <v>45265</v>
      </c>
      <c r="B419" s="91">
        <v>8402.0498050000006</v>
      </c>
      <c r="C419" s="91">
        <v>8392.0996090000008</v>
      </c>
      <c r="D419" s="91">
        <v>8218.1152340000008</v>
      </c>
      <c r="E419" s="91">
        <v>81006</v>
      </c>
      <c r="F419" s="91">
        <v>-1.2999999999999999E-3</v>
      </c>
      <c r="H419" s="90">
        <v>45265</v>
      </c>
      <c r="I419" s="91">
        <v>1219.5</v>
      </c>
      <c r="J419" s="91">
        <v>1218.875</v>
      </c>
      <c r="K419" s="91">
        <v>1209.9197999999999</v>
      </c>
      <c r="L419" s="91">
        <v>12693624</v>
      </c>
      <c r="M419" s="91">
        <v>7.3000000000000001E-3</v>
      </c>
      <c r="O419" s="90">
        <v>45265</v>
      </c>
      <c r="P419" s="91">
        <v>818.25</v>
      </c>
      <c r="Q419" s="91">
        <v>811.84997559999999</v>
      </c>
      <c r="R419" s="91">
        <v>790.23162839999998</v>
      </c>
      <c r="S419" s="91">
        <v>52230820</v>
      </c>
      <c r="T419" s="91">
        <v>8.8999999999999999E-3</v>
      </c>
      <c r="V419" s="90">
        <v>45265</v>
      </c>
      <c r="W419" s="91">
        <v>1465.8000489999999</v>
      </c>
      <c r="X419" s="91">
        <v>1453.9499510000001</v>
      </c>
      <c r="Y419" s="91">
        <v>1368.871948</v>
      </c>
      <c r="Z419" s="91">
        <v>5123039</v>
      </c>
      <c r="AA419" s="91">
        <v>-7.1000000000000004E-3</v>
      </c>
      <c r="AB419" s="91"/>
      <c r="AC419" s="90">
        <v>45265</v>
      </c>
      <c r="AD419" s="91">
        <v>2820</v>
      </c>
      <c r="AE419" s="91">
        <v>2874.75</v>
      </c>
      <c r="AF419" s="91">
        <v>2870.2924800000001</v>
      </c>
      <c r="AG419" s="91">
        <v>676125</v>
      </c>
      <c r="AH419" s="91">
        <v>2.06E-2</v>
      </c>
      <c r="AI419" s="91"/>
      <c r="AJ419" s="91">
        <f>(F419*'Part 3 Portfolio Analysis'!$B$8+M419*'Part 3 Portfolio Analysis'!$C$8+T419*'Part 3 Portfolio Analysis'!$D$8+AA419*'Part 3 Portfolio Analysis'!$E$8+AH419*'Part 3 Portfolio Analysis'!$F$8)/100</f>
        <v>2.7994457517251598E-3</v>
      </c>
      <c r="AK419" s="91">
        <f>'Part 3 Portfolio Analysis'!$B$107*F419+M419*'Part 3 Portfolio Analysis'!$C$107+T419*'Part 3 Portfolio Analysis'!$D$107+AA419*'Part 3 Portfolio Analysis'!$E$107+AH419*'Part 3 Portfolio Analysis'!$F$107</f>
        <v>7.9115999999999995E-3</v>
      </c>
      <c r="AL419" s="91">
        <f>F419*'Part 3 Portfolio Analysis'!$B$121+M419*'Part 3 Portfolio Analysis'!$C$121+'Part 3 Portfolio Analysis'!$D$121*T419+AA419*'Part 3 Portfolio Analysis'!$E$121+'Part 3 Portfolio Analysis'!$F$121*AH419</f>
        <v>4.4967399999999991E-3</v>
      </c>
      <c r="AM419" s="91"/>
      <c r="AN419" s="90">
        <v>45265</v>
      </c>
      <c r="AO419" s="91">
        <v>20808.900389999999</v>
      </c>
      <c r="AP419" s="91">
        <v>20855.099610000001</v>
      </c>
      <c r="AQ419" s="91">
        <v>20855.099610000001</v>
      </c>
      <c r="AR419" s="91">
        <v>421000</v>
      </c>
      <c r="AS419" s="91">
        <v>8.0999999999999996E-3</v>
      </c>
    </row>
    <row r="420" spans="1:45" x14ac:dyDescent="0.55000000000000004">
      <c r="A420" s="90">
        <v>45266</v>
      </c>
      <c r="B420" s="91">
        <v>8431.0498050000006</v>
      </c>
      <c r="C420" s="91">
        <v>8454.5498050000006</v>
      </c>
      <c r="D420" s="91">
        <v>8279.2705079999996</v>
      </c>
      <c r="E420" s="91">
        <v>137436</v>
      </c>
      <c r="F420" s="91">
        <v>7.4000000000000003E-3</v>
      </c>
      <c r="H420" s="90">
        <v>45266</v>
      </c>
      <c r="I420" s="91">
        <v>1223.5500489999999</v>
      </c>
      <c r="J420" s="91">
        <v>1230.5500489999999</v>
      </c>
      <c r="K420" s="91">
        <v>1221.509155</v>
      </c>
      <c r="L420" s="91">
        <v>16422442</v>
      </c>
      <c r="M420" s="91">
        <v>9.5999999999999992E-3</v>
      </c>
      <c r="O420" s="90">
        <v>45266</v>
      </c>
      <c r="P420" s="91">
        <v>819.22497559999999</v>
      </c>
      <c r="Q420" s="91">
        <v>813.90002440000001</v>
      </c>
      <c r="R420" s="91">
        <v>792.22705080000003</v>
      </c>
      <c r="S420" s="91">
        <v>38613060</v>
      </c>
      <c r="T420" s="91">
        <v>2.5000000000000001E-3</v>
      </c>
      <c r="V420" s="90">
        <v>45266</v>
      </c>
      <c r="W420" s="91">
        <v>1456.75</v>
      </c>
      <c r="X420" s="91">
        <v>1474.3000489999999</v>
      </c>
      <c r="Y420" s="91">
        <v>1388.03125</v>
      </c>
      <c r="Z420" s="91">
        <v>5269178</v>
      </c>
      <c r="AA420" s="91">
        <v>1.4E-2</v>
      </c>
      <c r="AB420" s="91"/>
      <c r="AC420" s="90">
        <v>45266</v>
      </c>
      <c r="AD420" s="91">
        <v>2890.1999510000001</v>
      </c>
      <c r="AE420" s="91">
        <v>2867.8500979999999</v>
      </c>
      <c r="AF420" s="91">
        <v>2863.4030760000001</v>
      </c>
      <c r="AG420" s="91">
        <v>487235</v>
      </c>
      <c r="AH420" s="91">
        <v>-2.3999999999999998E-3</v>
      </c>
      <c r="AI420" s="91"/>
      <c r="AJ420" s="91">
        <f>(F420*'Part 3 Portfolio Analysis'!$B$8+M420*'Part 3 Portfolio Analysis'!$C$8+T420*'Part 3 Portfolio Analysis'!$D$8+AA420*'Part 3 Portfolio Analysis'!$E$8+AH420*'Part 3 Portfolio Analysis'!$F$8)/100</f>
        <v>8.3464543728031353E-3</v>
      </c>
      <c r="AK420" s="91">
        <f>'Part 3 Portfolio Analysis'!$B$107*F420+M420*'Part 3 Portfolio Analysis'!$C$107+T420*'Part 3 Portfolio Analysis'!$D$107+AA420*'Part 3 Portfolio Analysis'!$E$107+AH420*'Part 3 Portfolio Analysis'!$F$107</f>
        <v>5.5195000000000001E-3</v>
      </c>
      <c r="AL420" s="91">
        <f>F420*'Part 3 Portfolio Analysis'!$B$121+M420*'Part 3 Portfolio Analysis'!$C$121+'Part 3 Portfolio Analysis'!$D$121*T420+AA420*'Part 3 Portfolio Analysis'!$E$121+'Part 3 Portfolio Analysis'!$F$121*AH420</f>
        <v>8.0535599999999995E-3</v>
      </c>
      <c r="AM420" s="91"/>
      <c r="AN420" s="90">
        <v>45266</v>
      </c>
      <c r="AO420" s="91">
        <v>20950.75</v>
      </c>
      <c r="AP420" s="91">
        <v>20937.699219999999</v>
      </c>
      <c r="AQ420" s="91">
        <v>20937.699219999999</v>
      </c>
      <c r="AR420" s="91">
        <v>359200</v>
      </c>
      <c r="AS420" s="91">
        <v>4.0000000000000001E-3</v>
      </c>
    </row>
    <row r="421" spans="1:45" x14ac:dyDescent="0.55000000000000004">
      <c r="A421" s="90">
        <v>45267</v>
      </c>
      <c r="B421" s="91">
        <v>8469</v>
      </c>
      <c r="C421" s="91">
        <v>8365.4501949999994</v>
      </c>
      <c r="D421" s="91">
        <v>8192.0185550000006</v>
      </c>
      <c r="E421" s="91">
        <v>68049</v>
      </c>
      <c r="F421" s="91">
        <v>-1.0500000000000001E-2</v>
      </c>
      <c r="H421" s="90">
        <v>45267</v>
      </c>
      <c r="I421" s="91">
        <v>1230</v>
      </c>
      <c r="J421" s="91">
        <v>1228.525024</v>
      </c>
      <c r="K421" s="91">
        <v>1219.4990230000001</v>
      </c>
      <c r="L421" s="91">
        <v>8142096</v>
      </c>
      <c r="M421" s="91">
        <v>-1.6000000000000001E-3</v>
      </c>
      <c r="O421" s="90">
        <v>45267</v>
      </c>
      <c r="P421" s="91">
        <v>812.5</v>
      </c>
      <c r="Q421" s="91">
        <v>815.22497559999999</v>
      </c>
      <c r="R421" s="91">
        <v>793.51672359999998</v>
      </c>
      <c r="S421" s="91">
        <v>20450386</v>
      </c>
      <c r="T421" s="91">
        <v>1.6000000000000001E-3</v>
      </c>
      <c r="V421" s="90">
        <v>45267</v>
      </c>
      <c r="W421" s="91">
        <v>1472.849976</v>
      </c>
      <c r="X421" s="91">
        <v>1465.900024</v>
      </c>
      <c r="Y421" s="91">
        <v>1380.1226810000001</v>
      </c>
      <c r="Z421" s="91">
        <v>4424453</v>
      </c>
      <c r="AA421" s="91">
        <v>-5.7000000000000002E-3</v>
      </c>
      <c r="AB421" s="91"/>
      <c r="AC421" s="90">
        <v>45267</v>
      </c>
      <c r="AD421" s="91">
        <v>2881.9499510000001</v>
      </c>
      <c r="AE421" s="91">
        <v>2845.1999510000001</v>
      </c>
      <c r="AF421" s="91">
        <v>2840.7883299999999</v>
      </c>
      <c r="AG421" s="91">
        <v>961559</v>
      </c>
      <c r="AH421" s="91">
        <v>-7.9000000000000008E-3</v>
      </c>
      <c r="AI421" s="91"/>
      <c r="AJ421" s="91">
        <f>(F421*'Part 3 Portfolio Analysis'!$B$8+M421*'Part 3 Portfolio Analysis'!$C$8+T421*'Part 3 Portfolio Analysis'!$D$8+AA421*'Part 3 Portfolio Analysis'!$E$8+AH421*'Part 3 Portfolio Analysis'!$F$8)/100</f>
        <v>-4.4576006550449939E-3</v>
      </c>
      <c r="AK421" s="91">
        <f>'Part 3 Portfolio Analysis'!$B$107*F421+M421*'Part 3 Portfolio Analysis'!$C$107+T421*'Part 3 Portfolio Analysis'!$D$107+AA421*'Part 3 Portfolio Analysis'!$E$107+AH421*'Part 3 Portfolio Analysis'!$F$107</f>
        <v>-4.7036000000000005E-3</v>
      </c>
      <c r="AL421" s="91">
        <f>F421*'Part 3 Portfolio Analysis'!$B$121+M421*'Part 3 Portfolio Analysis'!$C$121+'Part 3 Portfolio Analysis'!$D$121*T421+AA421*'Part 3 Portfolio Analysis'!$E$121+'Part 3 Portfolio Analysis'!$F$121*AH421</f>
        <v>-2.4462399999999997E-3</v>
      </c>
      <c r="AM421" s="91"/>
      <c r="AN421" s="90">
        <v>45267</v>
      </c>
      <c r="AO421" s="91">
        <v>20932.400389999999</v>
      </c>
      <c r="AP421" s="91">
        <v>20901.150389999999</v>
      </c>
      <c r="AQ421" s="91">
        <v>20901.150389999999</v>
      </c>
      <c r="AR421" s="91">
        <v>275000</v>
      </c>
      <c r="AS421" s="91">
        <v>-1.6999999999999999E-3</v>
      </c>
    </row>
    <row r="422" spans="1:45" x14ac:dyDescent="0.55000000000000004">
      <c r="A422" s="90">
        <v>45268</v>
      </c>
      <c r="B422" s="91">
        <v>8370.0498050000006</v>
      </c>
      <c r="C422" s="91">
        <v>8365.8496090000008</v>
      </c>
      <c r="D422" s="91">
        <v>8192.4091800000006</v>
      </c>
      <c r="E422" s="91">
        <v>81159</v>
      </c>
      <c r="F422" s="91">
        <v>0</v>
      </c>
      <c r="H422" s="90">
        <v>45268</v>
      </c>
      <c r="I422" s="91">
        <v>1231.9250489999999</v>
      </c>
      <c r="J422" s="91">
        <v>1227.875</v>
      </c>
      <c r="K422" s="91">
        <v>1218.85376</v>
      </c>
      <c r="L422" s="91">
        <v>10204894</v>
      </c>
      <c r="M422" s="91">
        <v>-5.0000000000000001E-4</v>
      </c>
      <c r="O422" s="90">
        <v>45268</v>
      </c>
      <c r="P422" s="91">
        <v>815.22497559999999</v>
      </c>
      <c r="Q422" s="91">
        <v>826.59997559999999</v>
      </c>
      <c r="R422" s="91">
        <v>804.58886719999998</v>
      </c>
      <c r="S422" s="91">
        <v>33728038</v>
      </c>
      <c r="T422" s="91">
        <v>1.4E-2</v>
      </c>
      <c r="V422" s="90">
        <v>45268</v>
      </c>
      <c r="W422" s="91">
        <v>1470.400024</v>
      </c>
      <c r="X422" s="91">
        <v>1491.150024</v>
      </c>
      <c r="Y422" s="91">
        <v>1403.895264</v>
      </c>
      <c r="Z422" s="91">
        <v>6323433</v>
      </c>
      <c r="AA422" s="91">
        <v>1.72E-2</v>
      </c>
      <c r="AB422" s="91"/>
      <c r="AC422" s="90">
        <v>45268</v>
      </c>
      <c r="AD422" s="91">
        <v>2857.3000489999999</v>
      </c>
      <c r="AE422" s="91">
        <v>2841.3000489999999</v>
      </c>
      <c r="AF422" s="91">
        <v>2836.8942870000001</v>
      </c>
      <c r="AG422" s="91">
        <v>688323</v>
      </c>
      <c r="AH422" s="91">
        <v>-1.4E-3</v>
      </c>
      <c r="AI422" s="91"/>
      <c r="AJ422" s="91">
        <f>(F422*'Part 3 Portfolio Analysis'!$B$8+M422*'Part 3 Portfolio Analysis'!$C$8+T422*'Part 3 Portfolio Analysis'!$D$8+AA422*'Part 3 Portfolio Analysis'!$E$8+AH422*'Part 3 Portfolio Analysis'!$F$8)/100</f>
        <v>4.908512106271897E-3</v>
      </c>
      <c r="AK422" s="91">
        <f>'Part 3 Portfolio Analysis'!$B$107*F422+M422*'Part 3 Portfolio Analysis'!$C$107+T422*'Part 3 Portfolio Analysis'!$D$107+AA422*'Part 3 Portfolio Analysis'!$E$107+AH422*'Part 3 Portfolio Analysis'!$F$107</f>
        <v>3.3807000000000004E-3</v>
      </c>
      <c r="AL422" s="91">
        <f>F422*'Part 3 Portfolio Analysis'!$B$121+M422*'Part 3 Portfolio Analysis'!$C$121+'Part 3 Portfolio Analysis'!$D$121*T422+AA422*'Part 3 Portfolio Analysis'!$E$121+'Part 3 Portfolio Analysis'!$F$121*AH422</f>
        <v>7.0015200000000007E-3</v>
      </c>
      <c r="AM422" s="91"/>
      <c r="AN422" s="90">
        <v>45268</v>
      </c>
      <c r="AO422" s="91">
        <v>20934.099610000001</v>
      </c>
      <c r="AP422" s="91">
        <v>20969.400389999999</v>
      </c>
      <c r="AQ422" s="91">
        <v>20969.400389999999</v>
      </c>
      <c r="AR422" s="91">
        <v>292400</v>
      </c>
      <c r="AS422" s="91">
        <v>3.3E-3</v>
      </c>
    </row>
    <row r="423" spans="1:45" x14ac:dyDescent="0.55000000000000004">
      <c r="A423" s="90">
        <v>45271</v>
      </c>
      <c r="B423" s="91">
        <v>8401.7001949999994</v>
      </c>
      <c r="C423" s="91">
        <v>8446.25</v>
      </c>
      <c r="D423" s="91">
        <v>8271.1425780000009</v>
      </c>
      <c r="E423" s="91">
        <v>81052</v>
      </c>
      <c r="F423" s="91">
        <v>9.5999999999999992E-3</v>
      </c>
      <c r="H423" s="90">
        <v>45271</v>
      </c>
      <c r="I423" s="91">
        <v>1228</v>
      </c>
      <c r="J423" s="91">
        <v>1229.6750489999999</v>
      </c>
      <c r="K423" s="91">
        <v>1220.6405030000001</v>
      </c>
      <c r="L423" s="91">
        <v>7066138</v>
      </c>
      <c r="M423" s="91">
        <v>1.5E-3</v>
      </c>
      <c r="O423" s="90">
        <v>45271</v>
      </c>
      <c r="P423" s="91">
        <v>825.02502440000001</v>
      </c>
      <c r="Q423" s="91">
        <v>825.5</v>
      </c>
      <c r="R423" s="91">
        <v>803.51818849999995</v>
      </c>
      <c r="S423" s="91">
        <v>23187620</v>
      </c>
      <c r="T423" s="91">
        <v>-1.2999999999999999E-3</v>
      </c>
      <c r="V423" s="90">
        <v>45271</v>
      </c>
      <c r="W423" s="91">
        <v>1490</v>
      </c>
      <c r="X423" s="91">
        <v>1488.5</v>
      </c>
      <c r="Y423" s="91">
        <v>1401.4001459999999</v>
      </c>
      <c r="Z423" s="91">
        <v>3862018</v>
      </c>
      <c r="AA423" s="91">
        <v>-1.8E-3</v>
      </c>
      <c r="AB423" s="91"/>
      <c r="AC423" s="90">
        <v>45271</v>
      </c>
      <c r="AD423" s="91">
        <v>2858.9499510000001</v>
      </c>
      <c r="AE423" s="91">
        <v>2881.3999020000001</v>
      </c>
      <c r="AF423" s="91">
        <v>2876.931885</v>
      </c>
      <c r="AG423" s="91">
        <v>577553</v>
      </c>
      <c r="AH423" s="91">
        <v>1.41E-2</v>
      </c>
      <c r="AI423" s="91"/>
      <c r="AJ423" s="91">
        <f>(F423*'Part 3 Portfolio Analysis'!$B$8+M423*'Part 3 Portfolio Analysis'!$C$8+T423*'Part 3 Portfolio Analysis'!$D$8+AA423*'Part 3 Portfolio Analysis'!$E$8+AH423*'Part 3 Portfolio Analysis'!$F$8)/100</f>
        <v>3.0549909778740669E-3</v>
      </c>
      <c r="AK423" s="91">
        <f>'Part 3 Portfolio Analysis'!$B$107*F423+M423*'Part 3 Portfolio Analysis'!$C$107+T423*'Part 3 Portfolio Analysis'!$D$107+AA423*'Part 3 Portfolio Analysis'!$E$107+AH423*'Part 3 Portfolio Analysis'!$F$107</f>
        <v>5.3691999999999993E-3</v>
      </c>
      <c r="AL423" s="91">
        <f>F423*'Part 3 Portfolio Analysis'!$B$121+M423*'Part 3 Portfolio Analysis'!$C$121+'Part 3 Portfolio Analysis'!$D$121*T423+AA423*'Part 3 Portfolio Analysis'!$E$121+'Part 3 Portfolio Analysis'!$F$121*AH423</f>
        <v>1.07434E-3</v>
      </c>
      <c r="AM423" s="91"/>
      <c r="AN423" s="90">
        <v>45271</v>
      </c>
      <c r="AO423" s="91">
        <v>20965.300780000001</v>
      </c>
      <c r="AP423" s="91">
        <v>20997.099610000001</v>
      </c>
      <c r="AQ423" s="91">
        <v>20997.099610000001</v>
      </c>
      <c r="AR423" s="91">
        <v>212900</v>
      </c>
      <c r="AS423" s="91">
        <v>1.2999999999999999E-3</v>
      </c>
    </row>
    <row r="424" spans="1:45" x14ac:dyDescent="0.55000000000000004">
      <c r="A424" s="90">
        <v>45272</v>
      </c>
      <c r="B424" s="91">
        <v>8450.9003909999992</v>
      </c>
      <c r="C424" s="91">
        <v>8901.9003909999992</v>
      </c>
      <c r="D424" s="91">
        <v>8717.3466800000006</v>
      </c>
      <c r="E424" s="91">
        <v>957240</v>
      </c>
      <c r="F424" s="91">
        <v>5.3900000000000003E-2</v>
      </c>
      <c r="H424" s="90">
        <v>45272</v>
      </c>
      <c r="I424" s="91">
        <v>1230</v>
      </c>
      <c r="J424" s="91">
        <v>1212.025024</v>
      </c>
      <c r="K424" s="91">
        <v>1203.1202390000001</v>
      </c>
      <c r="L424" s="91">
        <v>9197124</v>
      </c>
      <c r="M424" s="91">
        <v>-1.44E-2</v>
      </c>
      <c r="O424" s="90">
        <v>45272</v>
      </c>
      <c r="P424" s="91">
        <v>827.09997559999999</v>
      </c>
      <c r="Q424" s="91">
        <v>817.29998780000005</v>
      </c>
      <c r="R424" s="91">
        <v>795.53649900000005</v>
      </c>
      <c r="S424" s="91">
        <v>36581476</v>
      </c>
      <c r="T424" s="91">
        <v>-9.9000000000000008E-3</v>
      </c>
      <c r="V424" s="90">
        <v>45272</v>
      </c>
      <c r="W424" s="91">
        <v>1477.5</v>
      </c>
      <c r="X424" s="91">
        <v>1476.0500489999999</v>
      </c>
      <c r="Y424" s="91">
        <v>1389.678711</v>
      </c>
      <c r="Z424" s="91">
        <v>6103494</v>
      </c>
      <c r="AA424" s="91">
        <v>-8.3999999999999995E-3</v>
      </c>
      <c r="AB424" s="91"/>
      <c r="AC424" s="90">
        <v>45272</v>
      </c>
      <c r="AD424" s="91">
        <v>2896.8999020000001</v>
      </c>
      <c r="AE424" s="91">
        <v>2883.5500489999999</v>
      </c>
      <c r="AF424" s="91">
        <v>2879.078857</v>
      </c>
      <c r="AG424" s="91">
        <v>462633</v>
      </c>
      <c r="AH424" s="91">
        <v>6.9999999999999999E-4</v>
      </c>
      <c r="AI424" s="91"/>
      <c r="AJ424" s="91">
        <f>(F424*'Part 3 Portfolio Analysis'!$B$8+M424*'Part 3 Portfolio Analysis'!$C$8+T424*'Part 3 Portfolio Analysis'!$D$8+AA424*'Part 3 Portfolio Analysis'!$E$8+AH424*'Part 3 Portfolio Analysis'!$F$8)/100</f>
        <v>7.9538398830567396E-3</v>
      </c>
      <c r="AK424" s="91">
        <f>'Part 3 Portfolio Analysis'!$B$107*F424+M424*'Part 3 Portfolio Analysis'!$C$107+T424*'Part 3 Portfolio Analysis'!$D$107+AA424*'Part 3 Portfolio Analysis'!$E$107+AH424*'Part 3 Portfolio Analysis'!$F$107</f>
        <v>2.9967000000000001E-3</v>
      </c>
      <c r="AL424" s="91">
        <f>F424*'Part 3 Portfolio Analysis'!$B$121+M424*'Part 3 Portfolio Analysis'!$C$121+'Part 3 Portfolio Analysis'!$D$121*T424+AA424*'Part 3 Portfolio Analysis'!$E$121+'Part 3 Portfolio Analysis'!$F$121*AH424</f>
        <v>-5.9661199999999992E-3</v>
      </c>
      <c r="AM424" s="91"/>
      <c r="AN424" s="90">
        <v>45272</v>
      </c>
      <c r="AO424" s="91">
        <v>21018.550780000001</v>
      </c>
      <c r="AP424" s="91">
        <v>20906.400389999999</v>
      </c>
      <c r="AQ424" s="91">
        <v>20906.400389999999</v>
      </c>
      <c r="AR424" s="91">
        <v>244900</v>
      </c>
      <c r="AS424" s="91">
        <v>-4.3E-3</v>
      </c>
    </row>
    <row r="425" spans="1:45" x14ac:dyDescent="0.55000000000000004">
      <c r="A425" s="90">
        <v>45273</v>
      </c>
      <c r="B425" s="91">
        <v>8892.25</v>
      </c>
      <c r="C425" s="91">
        <v>8858.75</v>
      </c>
      <c r="D425" s="91">
        <v>8675.0908199999994</v>
      </c>
      <c r="E425" s="91">
        <v>189094</v>
      </c>
      <c r="F425" s="91">
        <v>-4.7999999999999996E-3</v>
      </c>
      <c r="H425" s="90">
        <v>45273</v>
      </c>
      <c r="I425" s="91">
        <v>1211</v>
      </c>
      <c r="J425" s="91">
        <v>1216.974976</v>
      </c>
      <c r="K425" s="91">
        <v>1208.0336910000001</v>
      </c>
      <c r="L425" s="91">
        <v>10031182</v>
      </c>
      <c r="M425" s="91">
        <v>4.1000000000000003E-3</v>
      </c>
      <c r="O425" s="90">
        <v>45273</v>
      </c>
      <c r="P425" s="91">
        <v>816.22497559999999</v>
      </c>
      <c r="Q425" s="91">
        <v>815.45001219999995</v>
      </c>
      <c r="R425" s="91">
        <v>793.73577880000005</v>
      </c>
      <c r="S425" s="91">
        <v>29346914</v>
      </c>
      <c r="T425" s="91">
        <v>-2.3E-3</v>
      </c>
      <c r="V425" s="90">
        <v>45273</v>
      </c>
      <c r="W425" s="91">
        <v>1476</v>
      </c>
      <c r="X425" s="91">
        <v>1449</v>
      </c>
      <c r="Y425" s="91">
        <v>1364.211548</v>
      </c>
      <c r="Z425" s="91">
        <v>8549258</v>
      </c>
      <c r="AA425" s="91">
        <v>-1.83E-2</v>
      </c>
      <c r="AB425" s="91"/>
      <c r="AC425" s="90">
        <v>45273</v>
      </c>
      <c r="AD425" s="91">
        <v>2895</v>
      </c>
      <c r="AE425" s="91">
        <v>2963.4499510000001</v>
      </c>
      <c r="AF425" s="91">
        <v>2958.8549800000001</v>
      </c>
      <c r="AG425" s="91">
        <v>887243</v>
      </c>
      <c r="AH425" s="91">
        <v>2.7699999999999999E-2</v>
      </c>
      <c r="AI425" s="91"/>
      <c r="AJ425" s="91">
        <f>(F425*'Part 3 Portfolio Analysis'!$B$8+M425*'Part 3 Portfolio Analysis'!$C$8+T425*'Part 3 Portfolio Analysis'!$D$8+AA425*'Part 3 Portfolio Analysis'!$E$8+AH425*'Part 3 Portfolio Analysis'!$F$8)/100</f>
        <v>-3.0118563638028063E-3</v>
      </c>
      <c r="AK425" s="91">
        <f>'Part 3 Portfolio Analysis'!$B$107*F425+M425*'Part 3 Portfolio Analysis'!$C$107+T425*'Part 3 Portfolio Analysis'!$D$107+AA425*'Part 3 Portfolio Analysis'!$E$107+AH425*'Part 3 Portfolio Analysis'!$F$107</f>
        <v>5.2131999999999994E-3</v>
      </c>
      <c r="AL425" s="91">
        <f>F425*'Part 3 Portfolio Analysis'!$B$121+M425*'Part 3 Portfolio Analysis'!$C$121+'Part 3 Portfolio Analysis'!$D$121*T425+AA425*'Part 3 Portfolio Analysis'!$E$121+'Part 3 Portfolio Analysis'!$F$121*AH425</f>
        <v>-2.2340600000000004E-3</v>
      </c>
      <c r="AM425" s="91"/>
      <c r="AN425" s="90">
        <v>45273</v>
      </c>
      <c r="AO425" s="91">
        <v>20929.75</v>
      </c>
      <c r="AP425" s="91">
        <v>20926.349610000001</v>
      </c>
      <c r="AQ425" s="91">
        <v>20926.349610000001</v>
      </c>
      <c r="AR425" s="91">
        <v>260300</v>
      </c>
      <c r="AS425" s="91">
        <v>1E-3</v>
      </c>
    </row>
    <row r="426" spans="1:45" x14ac:dyDescent="0.55000000000000004">
      <c r="A426" s="90">
        <v>45274</v>
      </c>
      <c r="B426" s="91">
        <v>8949.9003909999992</v>
      </c>
      <c r="C426" s="91">
        <v>8985.6503909999992</v>
      </c>
      <c r="D426" s="91">
        <v>8799.3603519999997</v>
      </c>
      <c r="E426" s="91">
        <v>376386</v>
      </c>
      <c r="F426" s="91">
        <v>1.43E-2</v>
      </c>
      <c r="H426" s="90">
        <v>45274</v>
      </c>
      <c r="I426" s="91">
        <v>1227</v>
      </c>
      <c r="J426" s="91">
        <v>1232.0749510000001</v>
      </c>
      <c r="K426" s="91">
        <v>1223.022827</v>
      </c>
      <c r="L426" s="91">
        <v>16972354</v>
      </c>
      <c r="M426" s="91">
        <v>1.24E-2</v>
      </c>
      <c r="O426" s="90">
        <v>45274</v>
      </c>
      <c r="P426" s="91">
        <v>823</v>
      </c>
      <c r="Q426" s="91">
        <v>825.07501219999995</v>
      </c>
      <c r="R426" s="91">
        <v>803.10449219999998</v>
      </c>
      <c r="S426" s="91">
        <v>35172366</v>
      </c>
      <c r="T426" s="91">
        <v>1.18E-2</v>
      </c>
      <c r="V426" s="90">
        <v>45274</v>
      </c>
      <c r="W426" s="91">
        <v>1463.400024</v>
      </c>
      <c r="X426" s="91">
        <v>1501.4499510000001</v>
      </c>
      <c r="Y426" s="91">
        <v>1413.5924070000001</v>
      </c>
      <c r="Z426" s="91">
        <v>12489858</v>
      </c>
      <c r="AA426" s="91">
        <v>3.6200000000000003E-2</v>
      </c>
      <c r="AB426" s="91"/>
      <c r="AC426" s="90">
        <v>45274</v>
      </c>
      <c r="AD426" s="91">
        <v>2990.1999510000001</v>
      </c>
      <c r="AE426" s="91">
        <v>2984.75</v>
      </c>
      <c r="AF426" s="91">
        <v>2980.1218260000001</v>
      </c>
      <c r="AG426" s="91">
        <v>425400</v>
      </c>
      <c r="AH426" s="91">
        <v>7.1999999999999998E-3</v>
      </c>
      <c r="AI426" s="91"/>
      <c r="AJ426" s="91">
        <f>(F426*'Part 3 Portfolio Analysis'!$B$8+M426*'Part 3 Portfolio Analysis'!$C$8+T426*'Part 3 Portfolio Analysis'!$D$8+AA426*'Part 3 Portfolio Analysis'!$E$8+AH426*'Part 3 Portfolio Analysis'!$F$8)/100</f>
        <v>1.664930863982261E-2</v>
      </c>
      <c r="AK426" s="91">
        <f>'Part 3 Portfolio Analysis'!$B$107*F426+M426*'Part 3 Portfolio Analysis'!$C$107+T426*'Part 3 Portfolio Analysis'!$D$107+AA426*'Part 3 Portfolio Analysis'!$E$107+AH426*'Part 3 Portfolio Analysis'!$F$107</f>
        <v>1.3718599999999997E-2</v>
      </c>
      <c r="AL426" s="91">
        <f>F426*'Part 3 Portfolio Analysis'!$B$121+M426*'Part 3 Portfolio Analysis'!$C$121+'Part 3 Portfolio Analysis'!$D$121*T426+AA426*'Part 3 Portfolio Analysis'!$E$121+'Part 3 Portfolio Analysis'!$F$121*AH426</f>
        <v>1.7016739999999999E-2</v>
      </c>
      <c r="AM426" s="91"/>
      <c r="AN426" s="90">
        <v>45274</v>
      </c>
      <c r="AO426" s="91">
        <v>21110.400389999999</v>
      </c>
      <c r="AP426" s="91">
        <v>21182.699219999999</v>
      </c>
      <c r="AQ426" s="91">
        <v>21182.699219999999</v>
      </c>
      <c r="AR426" s="91">
        <v>334400</v>
      </c>
      <c r="AS426" s="91">
        <v>1.23E-2</v>
      </c>
    </row>
    <row r="427" spans="1:45" x14ac:dyDescent="0.55000000000000004">
      <c r="A427" s="90">
        <v>45275</v>
      </c>
      <c r="B427" s="91">
        <v>8985.0498050000006</v>
      </c>
      <c r="C427" s="91">
        <v>9053.5996090000008</v>
      </c>
      <c r="D427" s="91">
        <v>8865.9013670000004</v>
      </c>
      <c r="E427" s="91">
        <v>227532</v>
      </c>
      <c r="F427" s="91">
        <v>7.6E-3</v>
      </c>
      <c r="H427" s="90">
        <v>45275</v>
      </c>
      <c r="I427" s="91">
        <v>1239</v>
      </c>
      <c r="J427" s="91">
        <v>1247.8000489999999</v>
      </c>
      <c r="K427" s="91">
        <v>1238.6324460000001</v>
      </c>
      <c r="L427" s="91">
        <v>15932152</v>
      </c>
      <c r="M427" s="91">
        <v>1.2800000000000001E-2</v>
      </c>
      <c r="O427" s="90">
        <v>45275</v>
      </c>
      <c r="P427" s="91">
        <v>825</v>
      </c>
      <c r="Q427" s="91">
        <v>828.27502440000001</v>
      </c>
      <c r="R427" s="91">
        <v>806.21929929999999</v>
      </c>
      <c r="S427" s="91">
        <v>138837130</v>
      </c>
      <c r="T427" s="91">
        <v>3.8999999999999998E-3</v>
      </c>
      <c r="V427" s="90">
        <v>45275</v>
      </c>
      <c r="W427" s="91">
        <v>1523.0500489999999</v>
      </c>
      <c r="X427" s="91">
        <v>1578.400024</v>
      </c>
      <c r="Y427" s="91">
        <v>1486.0397949999999</v>
      </c>
      <c r="Z427" s="91">
        <v>18395389</v>
      </c>
      <c r="AA427" s="91">
        <v>5.1299999999999998E-2</v>
      </c>
      <c r="AB427" s="91"/>
      <c r="AC427" s="90">
        <v>45275</v>
      </c>
      <c r="AD427" s="91">
        <v>3000</v>
      </c>
      <c r="AE427" s="91">
        <v>2989.75</v>
      </c>
      <c r="AF427" s="91">
        <v>2985.1140140000002</v>
      </c>
      <c r="AG427" s="91">
        <v>682553</v>
      </c>
      <c r="AH427" s="91">
        <v>1.6999999999999999E-3</v>
      </c>
      <c r="AI427" s="91"/>
      <c r="AJ427" s="91">
        <f>(F427*'Part 3 Portfolio Analysis'!$B$8+M427*'Part 3 Portfolio Analysis'!$C$8+T427*'Part 3 Portfolio Analysis'!$D$8+AA427*'Part 3 Portfolio Analysis'!$E$8+AH427*'Part 3 Portfolio Analysis'!$F$8)/100</f>
        <v>1.5842822482515905E-2</v>
      </c>
      <c r="AK427" s="91">
        <f>'Part 3 Portfolio Analysis'!$B$107*F427+M427*'Part 3 Portfolio Analysis'!$C$107+T427*'Part 3 Portfolio Analysis'!$D$107+AA427*'Part 3 Portfolio Analysis'!$E$107+AH427*'Part 3 Portfolio Analysis'!$F$107</f>
        <v>1.15373E-2</v>
      </c>
      <c r="AL427" s="91">
        <f>F427*'Part 3 Portfolio Analysis'!$B$121+M427*'Part 3 Portfolio Analysis'!$C$121+'Part 3 Portfolio Analysis'!$D$121*T427+AA427*'Part 3 Portfolio Analysis'!$E$121+'Part 3 Portfolio Analysis'!$F$121*AH427</f>
        <v>1.7360939999999998E-2</v>
      </c>
      <c r="AM427" s="91"/>
      <c r="AN427" s="90">
        <v>45275</v>
      </c>
      <c r="AO427" s="91">
        <v>21287.449219999999</v>
      </c>
      <c r="AP427" s="91">
        <v>21456.650389999999</v>
      </c>
      <c r="AQ427" s="91">
        <v>21456.650389999999</v>
      </c>
      <c r="AR427" s="91">
        <v>508800</v>
      </c>
      <c r="AS427" s="91">
        <v>1.29E-2</v>
      </c>
    </row>
    <row r="428" spans="1:45" x14ac:dyDescent="0.55000000000000004">
      <c r="A428" s="90">
        <v>45278</v>
      </c>
      <c r="B428" s="91">
        <v>9060.0498050000006</v>
      </c>
      <c r="C428" s="91">
        <v>9087.3496090000008</v>
      </c>
      <c r="D428" s="91">
        <v>8898.9511719999991</v>
      </c>
      <c r="E428" s="91">
        <v>136439</v>
      </c>
      <c r="F428" s="91">
        <v>3.7000000000000002E-3</v>
      </c>
      <c r="H428" s="90">
        <v>45278</v>
      </c>
      <c r="I428" s="91">
        <v>1247.8000489999999</v>
      </c>
      <c r="J428" s="91">
        <v>1260.5</v>
      </c>
      <c r="K428" s="91">
        <v>1251.239014</v>
      </c>
      <c r="L428" s="91">
        <v>14165188</v>
      </c>
      <c r="M428" s="91">
        <v>1.0200000000000001E-2</v>
      </c>
      <c r="O428" s="90">
        <v>45278</v>
      </c>
      <c r="P428" s="91">
        <v>830.34997559999999</v>
      </c>
      <c r="Q428" s="91">
        <v>827.84997559999999</v>
      </c>
      <c r="R428" s="91">
        <v>805.80560300000002</v>
      </c>
      <c r="S428" s="91">
        <v>18014754</v>
      </c>
      <c r="T428" s="91">
        <v>-5.0000000000000001E-4</v>
      </c>
      <c r="V428" s="90">
        <v>45278</v>
      </c>
      <c r="W428" s="91">
        <v>1567.9499510000001</v>
      </c>
      <c r="X428" s="91">
        <v>1564.349976</v>
      </c>
      <c r="Y428" s="91">
        <v>1472.811768</v>
      </c>
      <c r="Z428" s="91">
        <v>6467243</v>
      </c>
      <c r="AA428" s="91">
        <v>-8.8999999999999999E-3</v>
      </c>
      <c r="AB428" s="91"/>
      <c r="AC428" s="90">
        <v>45278</v>
      </c>
      <c r="AD428" s="91">
        <v>2998.5500489999999</v>
      </c>
      <c r="AE428" s="91">
        <v>2971.4499510000001</v>
      </c>
      <c r="AF428" s="91">
        <v>2966.8422850000002</v>
      </c>
      <c r="AG428" s="91">
        <v>646708</v>
      </c>
      <c r="AH428" s="91">
        <v>-6.1000000000000004E-3</v>
      </c>
      <c r="AI428" s="91"/>
      <c r="AJ428" s="91">
        <f>(F428*'Part 3 Portfolio Analysis'!$B$8+M428*'Part 3 Portfolio Analysis'!$C$8+T428*'Part 3 Portfolio Analysis'!$D$8+AA428*'Part 3 Portfolio Analysis'!$E$8+AH428*'Part 3 Portfolio Analysis'!$F$8)/100</f>
        <v>3.2319632924874705E-3</v>
      </c>
      <c r="AK428" s="91">
        <f>'Part 3 Portfolio Analysis'!$B$107*F428+M428*'Part 3 Portfolio Analysis'!$C$107+T428*'Part 3 Portfolio Analysis'!$D$107+AA428*'Part 3 Portfolio Analysis'!$E$107+AH428*'Part 3 Portfolio Analysis'!$F$107</f>
        <v>1.3539000000000001E-3</v>
      </c>
      <c r="AL428" s="91">
        <f>F428*'Part 3 Portfolio Analysis'!$B$121+M428*'Part 3 Portfolio Analysis'!$C$121+'Part 3 Portfolio Analysis'!$D$121*T428+AA428*'Part 3 Portfolio Analysis'!$E$121+'Part 3 Portfolio Analysis'!$F$121*AH428</f>
        <v>2.5082399999999997E-3</v>
      </c>
      <c r="AM428" s="91"/>
      <c r="AN428" s="90">
        <v>45278</v>
      </c>
      <c r="AO428" s="91">
        <v>21434.800780000001</v>
      </c>
      <c r="AP428" s="91">
        <v>21418.650389999999</v>
      </c>
      <c r="AQ428" s="91">
        <v>21418.650389999999</v>
      </c>
      <c r="AR428" s="91">
        <v>249700</v>
      </c>
      <c r="AS428" s="91">
        <v>-1.8E-3</v>
      </c>
    </row>
    <row r="429" spans="1:45" x14ac:dyDescent="0.55000000000000004">
      <c r="A429" s="90">
        <v>45279</v>
      </c>
      <c r="B429" s="91">
        <v>9099</v>
      </c>
      <c r="C429" s="91">
        <v>8900.75</v>
      </c>
      <c r="D429" s="91">
        <v>8716.2197269999997</v>
      </c>
      <c r="E429" s="91">
        <v>145418</v>
      </c>
      <c r="F429" s="91">
        <v>-2.0500000000000001E-2</v>
      </c>
      <c r="H429" s="90">
        <v>45279</v>
      </c>
      <c r="I429" s="91">
        <v>1277.5</v>
      </c>
      <c r="J429" s="91">
        <v>1279.0500489999999</v>
      </c>
      <c r="K429" s="91">
        <v>1269.6527100000001</v>
      </c>
      <c r="L429" s="91">
        <v>16820604</v>
      </c>
      <c r="M429" s="91">
        <v>1.47E-2</v>
      </c>
      <c r="O429" s="90">
        <v>45279</v>
      </c>
      <c r="P429" s="91">
        <v>825</v>
      </c>
      <c r="Q429" s="91">
        <v>826.45001219999995</v>
      </c>
      <c r="R429" s="91">
        <v>804.44281009999997</v>
      </c>
      <c r="S429" s="91">
        <v>24008446</v>
      </c>
      <c r="T429" s="91">
        <v>-1.6999999999999999E-3</v>
      </c>
      <c r="V429" s="90">
        <v>45279</v>
      </c>
      <c r="W429" s="91">
        <v>1570.099976</v>
      </c>
      <c r="X429" s="91">
        <v>1558.3000489999999</v>
      </c>
      <c r="Y429" s="91">
        <v>1467.115967</v>
      </c>
      <c r="Z429" s="91">
        <v>4221721</v>
      </c>
      <c r="AA429" s="91">
        <v>-3.8999999999999998E-3</v>
      </c>
      <c r="AB429" s="91"/>
      <c r="AC429" s="90">
        <v>45279</v>
      </c>
      <c r="AD429" s="91">
        <v>2988</v>
      </c>
      <c r="AE429" s="91">
        <v>3000.8000489999999</v>
      </c>
      <c r="AF429" s="91">
        <v>2996.1469729999999</v>
      </c>
      <c r="AG429" s="91">
        <v>533290</v>
      </c>
      <c r="AH429" s="91">
        <v>9.9000000000000008E-3</v>
      </c>
      <c r="AI429" s="91"/>
      <c r="AJ429" s="91">
        <f>(F429*'Part 3 Portfolio Analysis'!$B$8+M429*'Part 3 Portfolio Analysis'!$C$8+T429*'Part 3 Portfolio Analysis'!$D$8+AA429*'Part 3 Portfolio Analysis'!$E$8+AH429*'Part 3 Portfolio Analysis'!$F$8)/100</f>
        <v>-1.6360059517841555E-3</v>
      </c>
      <c r="AK429" s="91">
        <f>'Part 3 Portfolio Analysis'!$B$107*F429+M429*'Part 3 Portfolio Analysis'!$C$107+T429*'Part 3 Portfolio Analysis'!$D$107+AA429*'Part 3 Portfolio Analysis'!$E$107+AH429*'Part 3 Portfolio Analysis'!$F$107</f>
        <v>2.7523999999999995E-3</v>
      </c>
      <c r="AL429" s="91">
        <f>F429*'Part 3 Portfolio Analysis'!$B$121+M429*'Part 3 Portfolio Analysis'!$C$121+'Part 3 Portfolio Analysis'!$D$121*T429+AA429*'Part 3 Portfolio Analysis'!$E$121+'Part 3 Portfolio Analysis'!$F$121*AH429</f>
        <v>3.4999999999999992E-3</v>
      </c>
      <c r="AM429" s="91"/>
      <c r="AN429" s="90">
        <v>45279</v>
      </c>
      <c r="AO429" s="91">
        <v>21477.650389999999</v>
      </c>
      <c r="AP429" s="91">
        <v>21453.099610000001</v>
      </c>
      <c r="AQ429" s="91">
        <v>21453.099610000001</v>
      </c>
      <c r="AR429" s="91">
        <v>249800</v>
      </c>
      <c r="AS429" s="91">
        <v>1.6000000000000001E-3</v>
      </c>
    </row>
    <row r="430" spans="1:45" x14ac:dyDescent="0.55000000000000004">
      <c r="A430" s="90">
        <v>45280</v>
      </c>
      <c r="B430" s="91">
        <v>8935</v>
      </c>
      <c r="C430" s="91">
        <v>8608.3496090000008</v>
      </c>
      <c r="D430" s="91">
        <v>8429.8818360000005</v>
      </c>
      <c r="E430" s="91">
        <v>140635</v>
      </c>
      <c r="F430" s="91">
        <v>-3.2899999999999999E-2</v>
      </c>
      <c r="H430" s="90">
        <v>45280</v>
      </c>
      <c r="I430" s="91">
        <v>1285.525024</v>
      </c>
      <c r="J430" s="91">
        <v>1263.5749510000001</v>
      </c>
      <c r="K430" s="91">
        <v>1254.2913820000001</v>
      </c>
      <c r="L430" s="91">
        <v>17736722</v>
      </c>
      <c r="M430" s="91">
        <v>-1.21E-2</v>
      </c>
      <c r="O430" s="90">
        <v>45280</v>
      </c>
      <c r="P430" s="91">
        <v>829</v>
      </c>
      <c r="Q430" s="91">
        <v>828.5</v>
      </c>
      <c r="R430" s="91">
        <v>806.43829349999999</v>
      </c>
      <c r="S430" s="91">
        <v>34232520</v>
      </c>
      <c r="T430" s="91">
        <v>2.5000000000000001E-3</v>
      </c>
      <c r="V430" s="90">
        <v>45280</v>
      </c>
      <c r="W430" s="91">
        <v>1565.0500489999999</v>
      </c>
      <c r="X430" s="91">
        <v>1536.400024</v>
      </c>
      <c r="Y430" s="91">
        <v>1446.497314</v>
      </c>
      <c r="Z430" s="91">
        <v>6592367</v>
      </c>
      <c r="AA430" s="91">
        <v>-1.41E-2</v>
      </c>
      <c r="AB430" s="91"/>
      <c r="AC430" s="90">
        <v>45280</v>
      </c>
      <c r="AD430" s="91">
        <v>3022</v>
      </c>
      <c r="AE430" s="91">
        <v>2948.9499510000001</v>
      </c>
      <c r="AF430" s="91">
        <v>2944.3771969999998</v>
      </c>
      <c r="AG430" s="91">
        <v>713170</v>
      </c>
      <c r="AH430" s="91">
        <v>-1.7299999999999999E-2</v>
      </c>
      <c r="AI430" s="91"/>
      <c r="AJ430" s="91">
        <f>(F430*'Part 3 Portfolio Analysis'!$B$8+M430*'Part 3 Portfolio Analysis'!$C$8+T430*'Part 3 Portfolio Analysis'!$D$8+AA430*'Part 3 Portfolio Analysis'!$E$8+AH430*'Part 3 Portfolio Analysis'!$F$8)/100</f>
        <v>-1.6277224416845759E-2</v>
      </c>
      <c r="AK430" s="91">
        <f>'Part 3 Portfolio Analysis'!$B$107*F430+M430*'Part 3 Portfolio Analysis'!$C$107+T430*'Part 3 Portfolio Analysis'!$D$107+AA430*'Part 3 Portfolio Analysis'!$E$107+AH430*'Part 3 Portfolio Analysis'!$F$107</f>
        <v>-1.5091399999999998E-2</v>
      </c>
      <c r="AL430" s="91">
        <f>F430*'Part 3 Portfolio Analysis'!$B$121+M430*'Part 3 Portfolio Analysis'!$C$121+'Part 3 Portfolio Analysis'!$D$121*T430+AA430*'Part 3 Portfolio Analysis'!$E$121+'Part 3 Portfolio Analysis'!$F$121*AH430</f>
        <v>-1.03748E-2</v>
      </c>
      <c r="AM430" s="91"/>
      <c r="AN430" s="90">
        <v>45280</v>
      </c>
      <c r="AO430" s="91">
        <v>21543.5</v>
      </c>
      <c r="AP430" s="91">
        <v>21150.150389999999</v>
      </c>
      <c r="AQ430" s="91">
        <v>21150.150389999999</v>
      </c>
      <c r="AR430" s="91">
        <v>363900</v>
      </c>
      <c r="AS430" s="91">
        <v>-1.41E-2</v>
      </c>
    </row>
    <row r="431" spans="1:45" x14ac:dyDescent="0.55000000000000004">
      <c r="A431" s="90">
        <v>45281</v>
      </c>
      <c r="B431" s="91">
        <v>8520</v>
      </c>
      <c r="C431" s="91">
        <v>8770.4501949999994</v>
      </c>
      <c r="D431" s="91">
        <v>8588.6220699999994</v>
      </c>
      <c r="E431" s="91">
        <v>169773</v>
      </c>
      <c r="F431" s="91">
        <v>1.8800000000000001E-2</v>
      </c>
      <c r="H431" s="90">
        <v>45281</v>
      </c>
      <c r="I431" s="91">
        <v>1263.5</v>
      </c>
      <c r="J431" s="91">
        <v>1281.275024</v>
      </c>
      <c r="K431" s="91">
        <v>1271.8614500000001</v>
      </c>
      <c r="L431" s="91">
        <v>13765454</v>
      </c>
      <c r="M431" s="91">
        <v>1.4E-2</v>
      </c>
      <c r="O431" s="90">
        <v>45281</v>
      </c>
      <c r="P431" s="91">
        <v>828.5</v>
      </c>
      <c r="Q431" s="91">
        <v>843.34997559999999</v>
      </c>
      <c r="R431" s="91">
        <v>820.8927612</v>
      </c>
      <c r="S431" s="91">
        <v>36589240</v>
      </c>
      <c r="T431" s="91">
        <v>1.7899999999999999E-2</v>
      </c>
      <c r="V431" s="90">
        <v>45281</v>
      </c>
      <c r="W431" s="91">
        <v>1521.25</v>
      </c>
      <c r="X431" s="91">
        <v>1536</v>
      </c>
      <c r="Y431" s="91">
        <v>1446.12085</v>
      </c>
      <c r="Z431" s="91">
        <v>5319038</v>
      </c>
      <c r="AA431" s="91">
        <v>-2.9999999999999997E-4</v>
      </c>
      <c r="AB431" s="91"/>
      <c r="AC431" s="90">
        <v>45281</v>
      </c>
      <c r="AD431" s="91">
        <v>2909.9499510000001</v>
      </c>
      <c r="AE431" s="91">
        <v>2955.1999510000001</v>
      </c>
      <c r="AF431" s="91">
        <v>2950.6176759999998</v>
      </c>
      <c r="AG431" s="91">
        <v>631420</v>
      </c>
      <c r="AH431" s="91">
        <v>2.0999999999999999E-3</v>
      </c>
      <c r="AI431" s="91"/>
      <c r="AJ431" s="91">
        <f>(F431*'Part 3 Portfolio Analysis'!$B$8+M431*'Part 3 Portfolio Analysis'!$C$8+T431*'Part 3 Portfolio Analysis'!$D$8+AA431*'Part 3 Portfolio Analysis'!$E$8+AH431*'Part 3 Portfolio Analysis'!$F$8)/100</f>
        <v>1.3672913680239812E-2</v>
      </c>
      <c r="AK431" s="91">
        <f>'Part 3 Portfolio Analysis'!$B$107*F431+M431*'Part 3 Portfolio Analysis'!$C$107+T431*'Part 3 Portfolio Analysis'!$D$107+AA431*'Part 3 Portfolio Analysis'!$E$107+AH431*'Part 3 Portfolio Analysis'!$F$107</f>
        <v>1.1039700000000001E-2</v>
      </c>
      <c r="AL431" s="91">
        <f>F431*'Part 3 Portfolio Analysis'!$B$121+M431*'Part 3 Portfolio Analysis'!$C$121+'Part 3 Portfolio Analysis'!$D$121*T431+AA431*'Part 3 Portfolio Analysis'!$E$121+'Part 3 Portfolio Analysis'!$F$121*AH431</f>
        <v>1.2283580000000001E-2</v>
      </c>
      <c r="AM431" s="91"/>
      <c r="AN431" s="90">
        <v>45281</v>
      </c>
      <c r="AO431" s="91">
        <v>21033.949219999999</v>
      </c>
      <c r="AP431" s="91">
        <v>21255.050780000001</v>
      </c>
      <c r="AQ431" s="91">
        <v>21255.050780000001</v>
      </c>
      <c r="AR431" s="91">
        <v>277500</v>
      </c>
      <c r="AS431" s="91">
        <v>5.0000000000000001E-3</v>
      </c>
    </row>
    <row r="432" spans="1:45" x14ac:dyDescent="0.55000000000000004">
      <c r="A432" s="90">
        <v>45282</v>
      </c>
      <c r="B432" s="91">
        <v>8770.4501949999994</v>
      </c>
      <c r="C432" s="91">
        <v>8870.6503909999992</v>
      </c>
      <c r="D432" s="91">
        <v>8686.7441409999992</v>
      </c>
      <c r="E432" s="91">
        <v>94150</v>
      </c>
      <c r="F432" s="91">
        <v>1.14E-2</v>
      </c>
      <c r="H432" s="90">
        <v>45282</v>
      </c>
      <c r="I432" s="91">
        <v>1279.8000489999999</v>
      </c>
      <c r="J432" s="91">
        <v>1282.525024</v>
      </c>
      <c r="K432" s="91">
        <v>1273.102173</v>
      </c>
      <c r="L432" s="91">
        <v>16541784</v>
      </c>
      <c r="M432" s="91">
        <v>1E-3</v>
      </c>
      <c r="O432" s="90">
        <v>45282</v>
      </c>
      <c r="P432" s="91">
        <v>841.79998780000005</v>
      </c>
      <c r="Q432" s="91">
        <v>835.42498780000005</v>
      </c>
      <c r="R432" s="91">
        <v>813.17883300000005</v>
      </c>
      <c r="S432" s="91">
        <v>48578850</v>
      </c>
      <c r="T432" s="91">
        <v>-9.4000000000000004E-3</v>
      </c>
      <c r="V432" s="90">
        <v>45282</v>
      </c>
      <c r="W432" s="91">
        <v>1534.9499510000001</v>
      </c>
      <c r="X432" s="91">
        <v>1562.900024</v>
      </c>
      <c r="Y432" s="91">
        <v>1471.446655</v>
      </c>
      <c r="Z432" s="91">
        <v>6741060</v>
      </c>
      <c r="AA432" s="91">
        <v>1.7500000000000002E-2</v>
      </c>
      <c r="AB432" s="91"/>
      <c r="AC432" s="90">
        <v>45282</v>
      </c>
      <c r="AD432" s="91">
        <v>2978.8000489999999</v>
      </c>
      <c r="AE432" s="91">
        <v>2965.5</v>
      </c>
      <c r="AF432" s="91">
        <v>2960.9016109999998</v>
      </c>
      <c r="AG432" s="91">
        <v>518707</v>
      </c>
      <c r="AH432" s="91">
        <v>3.5000000000000001E-3</v>
      </c>
      <c r="AI432" s="91"/>
      <c r="AJ432" s="91">
        <f>(F432*'Part 3 Portfolio Analysis'!$B$8+M432*'Part 3 Portfolio Analysis'!$C$8+T432*'Part 3 Portfolio Analysis'!$D$8+AA432*'Part 3 Portfolio Analysis'!$E$8+AH432*'Part 3 Portfolio Analysis'!$F$8)/100</f>
        <v>5.0649858107489568E-3</v>
      </c>
      <c r="AK432" s="91">
        <f>'Part 3 Portfolio Analysis'!$B$107*F432+M432*'Part 3 Portfolio Analysis'!$C$107+T432*'Part 3 Portfolio Analysis'!$D$107+AA432*'Part 3 Portfolio Analysis'!$E$107+AH432*'Part 3 Portfolio Analysis'!$F$107</f>
        <v>3.5400000000000002E-3</v>
      </c>
      <c r="AL432" s="91">
        <f>F432*'Part 3 Portfolio Analysis'!$B$121+M432*'Part 3 Portfolio Analysis'!$C$121+'Part 3 Portfolio Analysis'!$D$121*T432+AA432*'Part 3 Portfolio Analysis'!$E$121+'Part 3 Portfolio Analysis'!$F$121*AH432</f>
        <v>2.3915800000000004E-3</v>
      </c>
      <c r="AM432" s="91"/>
      <c r="AN432" s="90">
        <v>45282</v>
      </c>
      <c r="AO432" s="91">
        <v>21295.849610000001</v>
      </c>
      <c r="AP432" s="91">
        <v>21349.400389999999</v>
      </c>
      <c r="AQ432" s="91">
        <v>21349.400389999999</v>
      </c>
      <c r="AR432" s="91">
        <v>284700</v>
      </c>
      <c r="AS432" s="91">
        <v>4.4000000000000003E-3</v>
      </c>
    </row>
    <row r="433" spans="1:45" x14ac:dyDescent="0.55000000000000004">
      <c r="A433" s="90">
        <v>45286</v>
      </c>
      <c r="B433" s="91">
        <v>8914</v>
      </c>
      <c r="C433" s="91">
        <v>8860.2998050000006</v>
      </c>
      <c r="D433" s="91">
        <v>8676.609375</v>
      </c>
      <c r="E433" s="91">
        <v>59102</v>
      </c>
      <c r="F433" s="91">
        <v>-1.1999999999999999E-3</v>
      </c>
      <c r="H433" s="90">
        <v>45286</v>
      </c>
      <c r="I433" s="91">
        <v>1284</v>
      </c>
      <c r="J433" s="91">
        <v>1289.025024</v>
      </c>
      <c r="K433" s="91">
        <v>1279.554443</v>
      </c>
      <c r="L433" s="91">
        <v>7465664</v>
      </c>
      <c r="M433" s="91">
        <v>5.1000000000000004E-3</v>
      </c>
      <c r="O433" s="90">
        <v>45286</v>
      </c>
      <c r="P433" s="91">
        <v>836.625</v>
      </c>
      <c r="Q433" s="91">
        <v>841.22497559999999</v>
      </c>
      <c r="R433" s="91">
        <v>818.8244019</v>
      </c>
      <c r="S433" s="91">
        <v>18045856</v>
      </c>
      <c r="T433" s="91">
        <v>6.8999999999999999E-3</v>
      </c>
      <c r="V433" s="90">
        <v>45286</v>
      </c>
      <c r="W433" s="91">
        <v>1535</v>
      </c>
      <c r="X433" s="91">
        <v>1543.9499510000001</v>
      </c>
      <c r="Y433" s="91">
        <v>1453.6054690000001</v>
      </c>
      <c r="Z433" s="91">
        <v>6878067</v>
      </c>
      <c r="AA433" s="91">
        <v>-1.21E-2</v>
      </c>
      <c r="AB433" s="91"/>
      <c r="AC433" s="90">
        <v>45286</v>
      </c>
      <c r="AD433" s="91">
        <v>2986.1000979999999</v>
      </c>
      <c r="AE433" s="91">
        <v>2970</v>
      </c>
      <c r="AF433" s="91">
        <v>2965.3945309999999</v>
      </c>
      <c r="AG433" s="91">
        <v>315645</v>
      </c>
      <c r="AH433" s="91">
        <v>1.5E-3</v>
      </c>
      <c r="AI433" s="91"/>
      <c r="AJ433" s="91">
        <f>(F433*'Part 3 Portfolio Analysis'!$B$8+M433*'Part 3 Portfolio Analysis'!$C$8+T433*'Part 3 Portfolio Analysis'!$D$8+AA433*'Part 3 Portfolio Analysis'!$E$8+AH433*'Part 3 Portfolio Analysis'!$F$8)/100</f>
        <v>7.070205101155629E-4</v>
      </c>
      <c r="AK433" s="91">
        <f>'Part 3 Portfolio Analysis'!$B$107*F433+M433*'Part 3 Portfolio Analysis'!$C$107+T433*'Part 3 Portfolio Analysis'!$D$107+AA433*'Part 3 Portfolio Analysis'!$E$107+AH433*'Part 3 Portfolio Analysis'!$F$107</f>
        <v>1.6178000000000002E-3</v>
      </c>
      <c r="AL433" s="91">
        <f>F433*'Part 3 Portfolio Analysis'!$B$121+M433*'Part 3 Portfolio Analysis'!$C$121+'Part 3 Portfolio Analysis'!$D$121*T433+AA433*'Part 3 Portfolio Analysis'!$E$121+'Part 3 Portfolio Analysis'!$F$121*AH433</f>
        <v>1.5374200000000003E-3</v>
      </c>
      <c r="AM433" s="91"/>
      <c r="AN433" s="90">
        <v>45286</v>
      </c>
      <c r="AO433" s="91">
        <v>21365.199219999999</v>
      </c>
      <c r="AP433" s="91">
        <v>21441.349610000001</v>
      </c>
      <c r="AQ433" s="91">
        <v>21441.349610000001</v>
      </c>
      <c r="AR433" s="91">
        <v>219500</v>
      </c>
      <c r="AS433" s="91">
        <v>4.3E-3</v>
      </c>
    </row>
    <row r="434" spans="1:45" x14ac:dyDescent="0.55000000000000004">
      <c r="A434" s="90">
        <v>45287</v>
      </c>
      <c r="B434" s="91">
        <v>8897</v>
      </c>
      <c r="C434" s="91">
        <v>8801.5</v>
      </c>
      <c r="D434" s="91">
        <v>8619.0273440000001</v>
      </c>
      <c r="E434" s="91">
        <v>58680</v>
      </c>
      <c r="F434" s="91">
        <v>-6.6E-3</v>
      </c>
      <c r="H434" s="90">
        <v>45287</v>
      </c>
      <c r="I434" s="91">
        <v>1291</v>
      </c>
      <c r="J434" s="91">
        <v>1293.4250489999999</v>
      </c>
      <c r="K434" s="91">
        <v>1283.9221190000001</v>
      </c>
      <c r="L434" s="91">
        <v>9204156</v>
      </c>
      <c r="M434" s="91">
        <v>3.3999999999999998E-3</v>
      </c>
      <c r="O434" s="90">
        <v>45287</v>
      </c>
      <c r="P434" s="91">
        <v>840.75</v>
      </c>
      <c r="Q434" s="91">
        <v>851.65002440000001</v>
      </c>
      <c r="R434" s="91">
        <v>828.97186280000005</v>
      </c>
      <c r="S434" s="91">
        <v>27009078</v>
      </c>
      <c r="T434" s="91">
        <v>1.24E-2</v>
      </c>
      <c r="V434" s="90">
        <v>45287</v>
      </c>
      <c r="W434" s="91">
        <v>1544</v>
      </c>
      <c r="X434" s="91">
        <v>1567.099976</v>
      </c>
      <c r="Y434" s="91">
        <v>1475.400879</v>
      </c>
      <c r="Z434" s="91">
        <v>4225849</v>
      </c>
      <c r="AA434" s="91">
        <v>1.4999999999999999E-2</v>
      </c>
      <c r="AB434" s="91"/>
      <c r="AC434" s="90">
        <v>45287</v>
      </c>
      <c r="AD434" s="91">
        <v>2975.6499020000001</v>
      </c>
      <c r="AE434" s="91">
        <v>3010.75</v>
      </c>
      <c r="AF434" s="91">
        <v>3006.0815429999998</v>
      </c>
      <c r="AG434" s="91">
        <v>584065</v>
      </c>
      <c r="AH434" s="91">
        <v>1.37E-2</v>
      </c>
      <c r="AI434" s="91"/>
      <c r="AJ434" s="91">
        <f>(F434*'Part 3 Portfolio Analysis'!$B$8+M434*'Part 3 Portfolio Analysis'!$C$8+T434*'Part 3 Portfolio Analysis'!$D$8+AA434*'Part 3 Portfolio Analysis'!$E$8+AH434*'Part 3 Portfolio Analysis'!$F$8)/100</f>
        <v>3.8688117617484532E-3</v>
      </c>
      <c r="AK434" s="91">
        <f>'Part 3 Portfolio Analysis'!$B$107*F434+M434*'Part 3 Portfolio Analysis'!$C$107+T434*'Part 3 Portfolio Analysis'!$D$107+AA434*'Part 3 Portfolio Analysis'!$E$107+AH434*'Part 3 Portfolio Analysis'!$F$107</f>
        <v>6.7505999999999998E-3</v>
      </c>
      <c r="AL434" s="91">
        <f>F434*'Part 3 Portfolio Analysis'!$B$121+M434*'Part 3 Portfolio Analysis'!$C$121+'Part 3 Portfolio Analysis'!$D$121*T434+AA434*'Part 3 Portfolio Analysis'!$E$121+'Part 3 Portfolio Analysis'!$F$121*AH434</f>
        <v>7.6158600000000003E-3</v>
      </c>
      <c r="AM434" s="91"/>
      <c r="AN434" s="90">
        <v>45287</v>
      </c>
      <c r="AO434" s="91">
        <v>21497.650389999999</v>
      </c>
      <c r="AP434" s="91">
        <v>21654.75</v>
      </c>
      <c r="AQ434" s="91">
        <v>21654.75</v>
      </c>
      <c r="AR434" s="91">
        <v>256500</v>
      </c>
      <c r="AS434" s="91">
        <v>0.01</v>
      </c>
    </row>
    <row r="435" spans="1:45" x14ac:dyDescent="0.55000000000000004">
      <c r="A435" s="90">
        <v>45288</v>
      </c>
      <c r="B435" s="91">
        <v>8850</v>
      </c>
      <c r="C435" s="91">
        <v>8757.9501949999994</v>
      </c>
      <c r="D435" s="91">
        <v>8576.3808590000008</v>
      </c>
      <c r="E435" s="91">
        <v>52729</v>
      </c>
      <c r="F435" s="91">
        <v>-4.8999999999999998E-3</v>
      </c>
      <c r="H435" s="90">
        <v>45288</v>
      </c>
      <c r="I435" s="91">
        <v>1294.900024</v>
      </c>
      <c r="J435" s="91">
        <v>1302.775024</v>
      </c>
      <c r="K435" s="91">
        <v>1293.2033690000001</v>
      </c>
      <c r="L435" s="91">
        <v>12302636</v>
      </c>
      <c r="M435" s="91">
        <v>7.1999999999999998E-3</v>
      </c>
      <c r="O435" s="90">
        <v>45288</v>
      </c>
      <c r="P435" s="91">
        <v>854.65002440000001</v>
      </c>
      <c r="Q435" s="91">
        <v>852.625</v>
      </c>
      <c r="R435" s="91">
        <v>829.92083739999998</v>
      </c>
      <c r="S435" s="91">
        <v>44076470</v>
      </c>
      <c r="T435" s="91">
        <v>1.1000000000000001E-3</v>
      </c>
      <c r="V435" s="90">
        <v>45288</v>
      </c>
      <c r="W435" s="91">
        <v>1568.9499510000001</v>
      </c>
      <c r="X435" s="91">
        <v>1562.650024</v>
      </c>
      <c r="Y435" s="91">
        <v>1471.211182</v>
      </c>
      <c r="Z435" s="91">
        <v>5702253</v>
      </c>
      <c r="AA435" s="91">
        <v>-2.8E-3</v>
      </c>
      <c r="AB435" s="91"/>
      <c r="AC435" s="90">
        <v>45288</v>
      </c>
      <c r="AD435" s="91">
        <v>3025</v>
      </c>
      <c r="AE435" s="91">
        <v>3026</v>
      </c>
      <c r="AF435" s="91">
        <v>3021.3078609999998</v>
      </c>
      <c r="AG435" s="91">
        <v>503705</v>
      </c>
      <c r="AH435" s="91">
        <v>5.1000000000000004E-3</v>
      </c>
      <c r="AI435" s="91"/>
      <c r="AJ435" s="91">
        <f>(F435*'Part 3 Portfolio Analysis'!$B$8+M435*'Part 3 Portfolio Analysis'!$C$8+T435*'Part 3 Portfolio Analysis'!$D$8+AA435*'Part 3 Portfolio Analysis'!$E$8+AH435*'Part 3 Portfolio Analysis'!$F$8)/100</f>
        <v>9.2258227513342843E-4</v>
      </c>
      <c r="AK435" s="91">
        <f>'Part 3 Portfolio Analysis'!$B$107*F435+M435*'Part 3 Portfolio Analysis'!$C$107+T435*'Part 3 Portfolio Analysis'!$D$107+AA435*'Part 3 Portfolio Analysis'!$E$107+AH435*'Part 3 Portfolio Analysis'!$F$107</f>
        <v>2.5473000000000002E-3</v>
      </c>
      <c r="AL435" s="91">
        <f>F435*'Part 3 Portfolio Analysis'!$B$121+M435*'Part 3 Portfolio Analysis'!$C$121+'Part 3 Portfolio Analysis'!$D$121*T435+AA435*'Part 3 Portfolio Analysis'!$E$121+'Part 3 Portfolio Analysis'!$F$121*AH435</f>
        <v>2.4911599999999992E-3</v>
      </c>
      <c r="AM435" s="91"/>
      <c r="AN435" s="90">
        <v>45288</v>
      </c>
      <c r="AO435" s="91">
        <v>21715</v>
      </c>
      <c r="AP435" s="91">
        <v>21778.699219999999</v>
      </c>
      <c r="AQ435" s="91">
        <v>21778.699219999999</v>
      </c>
      <c r="AR435" s="91">
        <v>393100</v>
      </c>
      <c r="AS435" s="91">
        <v>5.7000000000000002E-3</v>
      </c>
    </row>
    <row r="436" spans="1:45" x14ac:dyDescent="0.55000000000000004">
      <c r="A436" s="90">
        <v>45289</v>
      </c>
      <c r="B436" s="91">
        <v>8799.1503909999992</v>
      </c>
      <c r="C436" s="91">
        <v>8753.4501949999994</v>
      </c>
      <c r="D436" s="91">
        <v>8571.9746090000008</v>
      </c>
      <c r="E436" s="91">
        <v>67924</v>
      </c>
      <c r="F436" s="91">
        <v>-5.0000000000000001E-4</v>
      </c>
      <c r="H436" s="90">
        <v>45289</v>
      </c>
      <c r="I436" s="91">
        <v>1305.5500489999999</v>
      </c>
      <c r="J436" s="91">
        <v>1292.474976</v>
      </c>
      <c r="K436" s="91">
        <v>1282.979126</v>
      </c>
      <c r="L436" s="91">
        <v>10864584</v>
      </c>
      <c r="M436" s="91">
        <v>-7.9000000000000008E-3</v>
      </c>
      <c r="O436" s="90">
        <v>45289</v>
      </c>
      <c r="P436" s="91">
        <v>848.5</v>
      </c>
      <c r="Q436" s="91">
        <v>854.625</v>
      </c>
      <c r="R436" s="91">
        <v>831.86755370000003</v>
      </c>
      <c r="S436" s="91">
        <v>25011426</v>
      </c>
      <c r="T436" s="91">
        <v>2.3E-3</v>
      </c>
      <c r="V436" s="90">
        <v>45289</v>
      </c>
      <c r="W436" s="91">
        <v>1541.0500489999999</v>
      </c>
      <c r="X436" s="91">
        <v>1542.900024</v>
      </c>
      <c r="Y436" s="91">
        <v>1452.616943</v>
      </c>
      <c r="Z436" s="91">
        <v>4388990</v>
      </c>
      <c r="AA436" s="91">
        <v>-1.26E-2</v>
      </c>
      <c r="AB436" s="91"/>
      <c r="AC436" s="90">
        <v>45289</v>
      </c>
      <c r="AD436" s="91">
        <v>3030.3000489999999</v>
      </c>
      <c r="AE436" s="91">
        <v>3054.9499510000001</v>
      </c>
      <c r="AF436" s="91">
        <v>3050.2128910000001</v>
      </c>
      <c r="AG436" s="91">
        <v>430702</v>
      </c>
      <c r="AH436" s="91">
        <v>9.5999999999999992E-3</v>
      </c>
      <c r="AI436" s="91"/>
      <c r="AJ436" s="91">
        <f>(F436*'Part 3 Portfolio Analysis'!$B$8+M436*'Part 3 Portfolio Analysis'!$C$8+T436*'Part 3 Portfolio Analysis'!$D$8+AA436*'Part 3 Portfolio Analysis'!$E$8+AH436*'Part 3 Portfolio Analysis'!$F$8)/100</f>
        <v>-4.5638602900041712E-3</v>
      </c>
      <c r="AK436" s="91">
        <f>'Part 3 Portfolio Analysis'!$B$107*F436+M436*'Part 3 Portfolio Analysis'!$C$107+T436*'Part 3 Portfolio Analysis'!$D$107+AA436*'Part 3 Portfolio Analysis'!$E$107+AH436*'Part 3 Portfolio Analysis'!$F$107</f>
        <v>-1.0470000000000002E-3</v>
      </c>
      <c r="AL436" s="91">
        <f>F436*'Part 3 Portfolio Analysis'!$B$121+M436*'Part 3 Portfolio Analysis'!$C$121+'Part 3 Portfolio Analysis'!$D$121*T436+AA436*'Part 3 Portfolio Analysis'!$E$121+'Part 3 Portfolio Analysis'!$F$121*AH436</f>
        <v>-4.998820000000001E-3</v>
      </c>
      <c r="AM436" s="91"/>
      <c r="AN436" s="90">
        <v>45289</v>
      </c>
      <c r="AO436" s="91">
        <v>21737.650389999999</v>
      </c>
      <c r="AP436" s="91">
        <v>21731.400389999999</v>
      </c>
      <c r="AQ436" s="91">
        <v>21731.400389999999</v>
      </c>
      <c r="AR436" s="91">
        <v>270900</v>
      </c>
      <c r="AS436" s="91">
        <v>-2.2000000000000001E-3</v>
      </c>
    </row>
    <row r="437" spans="1:45" x14ac:dyDescent="0.55000000000000004">
      <c r="A437" s="90">
        <v>45292</v>
      </c>
      <c r="B437" s="91">
        <v>8793</v>
      </c>
      <c r="C437" s="91">
        <v>8744.2001949999994</v>
      </c>
      <c r="D437" s="91">
        <v>8562.9160159999992</v>
      </c>
      <c r="E437" s="91">
        <v>34849</v>
      </c>
      <c r="F437" s="91">
        <v>-1.1000000000000001E-3</v>
      </c>
      <c r="H437" s="90">
        <v>45292</v>
      </c>
      <c r="I437" s="91">
        <v>1290.275024</v>
      </c>
      <c r="J437" s="91">
        <v>1295.125</v>
      </c>
      <c r="K437" s="91">
        <v>1285.609741</v>
      </c>
      <c r="L437" s="91">
        <v>4030540</v>
      </c>
      <c r="M437" s="91">
        <v>2.0999999999999999E-3</v>
      </c>
      <c r="O437" s="90">
        <v>45292</v>
      </c>
      <c r="P437" s="91">
        <v>853</v>
      </c>
      <c r="Q437" s="91">
        <v>849.04998780000005</v>
      </c>
      <c r="R437" s="91">
        <v>826.44104000000004</v>
      </c>
      <c r="S437" s="91">
        <v>14239686</v>
      </c>
      <c r="T437" s="91">
        <v>-6.4999999999999997E-3</v>
      </c>
      <c r="V437" s="90">
        <v>45292</v>
      </c>
      <c r="W437" s="91">
        <v>1539</v>
      </c>
      <c r="X437" s="91">
        <v>1551.349976</v>
      </c>
      <c r="Y437" s="91">
        <v>1460.5726320000001</v>
      </c>
      <c r="Z437" s="91">
        <v>2808451</v>
      </c>
      <c r="AA437" s="91">
        <v>5.4999999999999997E-3</v>
      </c>
      <c r="AB437" s="91"/>
      <c r="AC437" s="90">
        <v>45292</v>
      </c>
      <c r="AD437" s="91">
        <v>3061.8000489999999</v>
      </c>
      <c r="AE437" s="91">
        <v>3002.1000979999999</v>
      </c>
      <c r="AF437" s="91">
        <v>2997.445068</v>
      </c>
      <c r="AG437" s="91">
        <v>421730</v>
      </c>
      <c r="AH437" s="91">
        <v>-1.7299999999999999E-2</v>
      </c>
      <c r="AI437" s="91"/>
      <c r="AJ437" s="91">
        <f>(F437*'Part 3 Portfolio Analysis'!$B$8+M437*'Part 3 Portfolio Analysis'!$C$8+T437*'Part 3 Portfolio Analysis'!$D$8+AA437*'Part 3 Portfolio Analysis'!$E$8+AH437*'Part 3 Portfolio Analysis'!$F$8)/100</f>
        <v>6.2977135907305541E-5</v>
      </c>
      <c r="AK437" s="91">
        <f>'Part 3 Portfolio Analysis'!$B$107*F437+M437*'Part 3 Portfolio Analysis'!$C$107+T437*'Part 3 Portfolio Analysis'!$D$107+AA437*'Part 3 Portfolio Analysis'!$E$107+AH437*'Part 3 Portfolio Analysis'!$F$107</f>
        <v>-4.3578000000000002E-3</v>
      </c>
      <c r="AL437" s="91">
        <f>F437*'Part 3 Portfolio Analysis'!$B$121+M437*'Part 3 Portfolio Analysis'!$C$121+'Part 3 Portfolio Analysis'!$D$121*T437+AA437*'Part 3 Portfolio Analysis'!$E$121+'Part 3 Portfolio Analysis'!$F$121*AH437</f>
        <v>-3.3052000000000011E-4</v>
      </c>
      <c r="AM437" s="91"/>
      <c r="AN437" s="90">
        <v>45292</v>
      </c>
      <c r="AO437" s="91">
        <v>21727.75</v>
      </c>
      <c r="AP437" s="91">
        <v>21741.900389999999</v>
      </c>
      <c r="AQ437" s="91">
        <v>21741.900389999999</v>
      </c>
      <c r="AR437" s="91">
        <v>154000</v>
      </c>
      <c r="AS437" s="91">
        <v>5.0000000000000001E-4</v>
      </c>
    </row>
    <row r="438" spans="1:45" x14ac:dyDescent="0.55000000000000004">
      <c r="A438" s="90">
        <v>45293</v>
      </c>
      <c r="B438" s="91">
        <v>8740</v>
      </c>
      <c r="C438" s="91">
        <v>8711.4501949999994</v>
      </c>
      <c r="D438" s="91">
        <v>8530.8457030000009</v>
      </c>
      <c r="E438" s="91">
        <v>47188</v>
      </c>
      <c r="F438" s="91">
        <v>-3.7000000000000002E-3</v>
      </c>
      <c r="H438" s="90">
        <v>45293</v>
      </c>
      <c r="I438" s="91">
        <v>1292.5</v>
      </c>
      <c r="J438" s="91">
        <v>1305.849976</v>
      </c>
      <c r="K438" s="91">
        <v>1296.2558590000001</v>
      </c>
      <c r="L438" s="91">
        <v>7448800</v>
      </c>
      <c r="M438" s="91">
        <v>8.3000000000000001E-3</v>
      </c>
      <c r="O438" s="90">
        <v>45293</v>
      </c>
      <c r="P438" s="91">
        <v>849.40002440000001</v>
      </c>
      <c r="Q438" s="91">
        <v>849.54998780000005</v>
      </c>
      <c r="R438" s="91">
        <v>826.92767330000004</v>
      </c>
      <c r="S438" s="91">
        <v>29242092</v>
      </c>
      <c r="T438" s="91">
        <v>5.9999999999999995E-4</v>
      </c>
      <c r="V438" s="90">
        <v>45293</v>
      </c>
      <c r="W438" s="91">
        <v>1546</v>
      </c>
      <c r="X438" s="91">
        <v>1534.400024</v>
      </c>
      <c r="Y438" s="91">
        <v>1444.6142580000001</v>
      </c>
      <c r="Z438" s="91">
        <v>5396313</v>
      </c>
      <c r="AA438" s="91">
        <v>-1.09E-2</v>
      </c>
      <c r="AB438" s="91"/>
      <c r="AC438" s="90">
        <v>45293</v>
      </c>
      <c r="AD438" s="91">
        <v>3015.4499510000001</v>
      </c>
      <c r="AE438" s="91">
        <v>2995.1999510000001</v>
      </c>
      <c r="AF438" s="91">
        <v>2990.5554200000001</v>
      </c>
      <c r="AG438" s="91">
        <v>408928</v>
      </c>
      <c r="AH438" s="91">
        <v>-2.3E-3</v>
      </c>
      <c r="AI438" s="91"/>
      <c r="AJ438" s="91">
        <f>(F438*'Part 3 Portfolio Analysis'!$B$8+M438*'Part 3 Portfolio Analysis'!$C$8+T438*'Part 3 Portfolio Analysis'!$D$8+AA438*'Part 3 Portfolio Analysis'!$E$8+AH438*'Part 3 Portfolio Analysis'!$F$8)/100</f>
        <v>2.2201753858270244E-4</v>
      </c>
      <c r="AK438" s="91">
        <f>'Part 3 Portfolio Analysis'!$B$107*F438+M438*'Part 3 Portfolio Analysis'!$C$107+T438*'Part 3 Portfolio Analysis'!$D$107+AA438*'Part 3 Portfolio Analysis'!$E$107+AH438*'Part 3 Portfolio Analysis'!$F$107</f>
        <v>3.5530000000000045E-4</v>
      </c>
      <c r="AL438" s="91">
        <f>F438*'Part 3 Portfolio Analysis'!$B$121+M438*'Part 3 Portfolio Analysis'!$C$121+'Part 3 Portfolio Analysis'!$D$121*T438+AA438*'Part 3 Portfolio Analysis'!$E$121+'Part 3 Portfolio Analysis'!$F$121*AH438</f>
        <v>1.1014799999999997E-3</v>
      </c>
      <c r="AM438" s="91"/>
      <c r="AN438" s="90">
        <v>45293</v>
      </c>
      <c r="AO438" s="91">
        <v>21751.349610000001</v>
      </c>
      <c r="AP438" s="91">
        <v>21665.800780000001</v>
      </c>
      <c r="AQ438" s="91">
        <v>21665.800780000001</v>
      </c>
      <c r="AR438" s="91">
        <v>263700</v>
      </c>
      <c r="AS438" s="91">
        <v>-3.5000000000000001E-3</v>
      </c>
    </row>
    <row r="439" spans="1:45" x14ac:dyDescent="0.55000000000000004">
      <c r="A439" s="90">
        <v>45294</v>
      </c>
      <c r="B439" s="91">
        <v>8722.9501949999994</v>
      </c>
      <c r="C439" s="91">
        <v>8607.5498050000006</v>
      </c>
      <c r="D439" s="91">
        <v>8429.0986329999996</v>
      </c>
      <c r="E439" s="91">
        <v>53427</v>
      </c>
      <c r="F439" s="91">
        <v>-1.1900000000000001E-2</v>
      </c>
      <c r="H439" s="90">
        <v>45294</v>
      </c>
      <c r="I439" s="91">
        <v>1305</v>
      </c>
      <c r="J439" s="91">
        <v>1291.650024</v>
      </c>
      <c r="K439" s="91">
        <v>1282.1601559999999</v>
      </c>
      <c r="L439" s="91">
        <v>9037536</v>
      </c>
      <c r="M439" s="91">
        <v>-1.09E-2</v>
      </c>
      <c r="O439" s="90">
        <v>45294</v>
      </c>
      <c r="P439" s="91">
        <v>851</v>
      </c>
      <c r="Q439" s="91">
        <v>836.45001219999995</v>
      </c>
      <c r="R439" s="91">
        <v>814.17651369999999</v>
      </c>
      <c r="S439" s="91">
        <v>28389762</v>
      </c>
      <c r="T439" s="91">
        <v>-1.54E-2</v>
      </c>
      <c r="V439" s="90">
        <v>45294</v>
      </c>
      <c r="W439" s="91">
        <v>1519.9499510000001</v>
      </c>
      <c r="X439" s="91">
        <v>1490</v>
      </c>
      <c r="Y439" s="91">
        <v>1402.8123780000001</v>
      </c>
      <c r="Z439" s="91">
        <v>7550363</v>
      </c>
      <c r="AA439" s="91">
        <v>-2.8899999999999999E-2</v>
      </c>
      <c r="AB439" s="91"/>
      <c r="AC439" s="90">
        <v>45294</v>
      </c>
      <c r="AD439" s="91">
        <v>3009</v>
      </c>
      <c r="AE439" s="91">
        <v>3058.3500979999999</v>
      </c>
      <c r="AF439" s="91">
        <v>3053.6076659999999</v>
      </c>
      <c r="AG439" s="91">
        <v>714968</v>
      </c>
      <c r="AH439" s="91">
        <v>2.1100000000000001E-2</v>
      </c>
      <c r="AI439" s="91"/>
      <c r="AJ439" s="91">
        <f>(F439*'Part 3 Portfolio Analysis'!$B$8+M439*'Part 3 Portfolio Analysis'!$C$8+T439*'Part 3 Portfolio Analysis'!$D$8+AA439*'Part 3 Portfolio Analysis'!$E$8+AH439*'Part 3 Portfolio Analysis'!$F$8)/100</f>
        <v>-1.4534706312291392E-2</v>
      </c>
      <c r="AK439" s="91">
        <f>'Part 3 Portfolio Analysis'!$B$107*F439+M439*'Part 3 Portfolio Analysis'!$C$107+T439*'Part 3 Portfolio Analysis'!$D$107+AA439*'Part 3 Portfolio Analysis'!$E$107+AH439*'Part 3 Portfolio Analysis'!$F$107</f>
        <v>-5.5135000000000002E-3</v>
      </c>
      <c r="AL439" s="91">
        <f>F439*'Part 3 Portfolio Analysis'!$B$121+M439*'Part 3 Portfolio Analysis'!$C$121+'Part 3 Portfolio Analysis'!$D$121*T439+AA439*'Part 3 Portfolio Analysis'!$E$121+'Part 3 Portfolio Analysis'!$F$121*AH439</f>
        <v>-1.4967799999999998E-2</v>
      </c>
      <c r="AM439" s="91"/>
      <c r="AN439" s="90">
        <v>45294</v>
      </c>
      <c r="AO439" s="91">
        <v>21661.099610000001</v>
      </c>
      <c r="AP439" s="91">
        <v>21517.349610000001</v>
      </c>
      <c r="AQ439" s="91">
        <v>21517.349610000001</v>
      </c>
      <c r="AR439" s="91">
        <v>311900</v>
      </c>
      <c r="AS439" s="91">
        <v>-6.8999999999999999E-3</v>
      </c>
    </row>
    <row r="440" spans="1:45" x14ac:dyDescent="0.55000000000000004">
      <c r="A440" s="90">
        <v>45295</v>
      </c>
      <c r="B440" s="91">
        <v>8607.5498050000006</v>
      </c>
      <c r="C440" s="91">
        <v>8639.6503909999992</v>
      </c>
      <c r="D440" s="91">
        <v>8460.5332030000009</v>
      </c>
      <c r="E440" s="91">
        <v>51866</v>
      </c>
      <c r="F440" s="91">
        <v>3.7000000000000002E-3</v>
      </c>
      <c r="H440" s="90">
        <v>45295</v>
      </c>
      <c r="I440" s="91">
        <v>1294</v>
      </c>
      <c r="J440" s="91">
        <v>1298.3249510000001</v>
      </c>
      <c r="K440" s="91">
        <v>1288.7860109999999</v>
      </c>
      <c r="L440" s="91">
        <v>9612778</v>
      </c>
      <c r="M440" s="91">
        <v>5.1999999999999998E-3</v>
      </c>
      <c r="O440" s="90">
        <v>45295</v>
      </c>
      <c r="P440" s="91">
        <v>839</v>
      </c>
      <c r="Q440" s="91">
        <v>845.42498780000005</v>
      </c>
      <c r="R440" s="91">
        <v>822.91253659999995</v>
      </c>
      <c r="S440" s="91">
        <v>26734056</v>
      </c>
      <c r="T440" s="91">
        <v>1.0699999999999999E-2</v>
      </c>
      <c r="V440" s="90">
        <v>45295</v>
      </c>
      <c r="W440" s="91">
        <v>1504.9499510000001</v>
      </c>
      <c r="X440" s="91">
        <v>1512.6999510000001</v>
      </c>
      <c r="Y440" s="91">
        <v>1424.184082</v>
      </c>
      <c r="Z440" s="91">
        <v>7056038</v>
      </c>
      <c r="AA440" s="91">
        <v>1.52E-2</v>
      </c>
      <c r="AB440" s="91"/>
      <c r="AC440" s="90">
        <v>45295</v>
      </c>
      <c r="AD440" s="91">
        <v>3074</v>
      </c>
      <c r="AE440" s="91">
        <v>3067.8500979999999</v>
      </c>
      <c r="AF440" s="91">
        <v>3063.093018</v>
      </c>
      <c r="AG440" s="91">
        <v>299498</v>
      </c>
      <c r="AH440" s="91">
        <v>3.0999999999999999E-3</v>
      </c>
      <c r="AI440" s="91"/>
      <c r="AJ440" s="91">
        <f>(F440*'Part 3 Portfolio Analysis'!$B$8+M440*'Part 3 Portfolio Analysis'!$C$8+T440*'Part 3 Portfolio Analysis'!$D$8+AA440*'Part 3 Portfolio Analysis'!$E$8+AH440*'Part 3 Portfolio Analysis'!$F$8)/100</f>
        <v>7.2562809980281804E-3</v>
      </c>
      <c r="AK440" s="91">
        <f>'Part 3 Portfolio Analysis'!$B$107*F440+M440*'Part 3 Portfolio Analysis'!$C$107+T440*'Part 3 Portfolio Analysis'!$D$107+AA440*'Part 3 Portfolio Analysis'!$E$107+AH440*'Part 3 Portfolio Analysis'!$F$107</f>
        <v>6.2533000000000007E-3</v>
      </c>
      <c r="AL440" s="91">
        <f>F440*'Part 3 Portfolio Analysis'!$B$121+M440*'Part 3 Portfolio Analysis'!$C$121+'Part 3 Portfolio Analysis'!$D$121*T440+AA440*'Part 3 Portfolio Analysis'!$E$121+'Part 3 Portfolio Analysis'!$F$121*AH440</f>
        <v>8.5176799999999997E-3</v>
      </c>
      <c r="AM440" s="91"/>
      <c r="AN440" s="90">
        <v>45295</v>
      </c>
      <c r="AO440" s="91">
        <v>21605.800780000001</v>
      </c>
      <c r="AP440" s="91">
        <v>21658.599610000001</v>
      </c>
      <c r="AQ440" s="91">
        <v>21658.599610000001</v>
      </c>
      <c r="AR440" s="91">
        <v>339200</v>
      </c>
      <c r="AS440" s="91">
        <v>6.6E-3</v>
      </c>
    </row>
    <row r="441" spans="1:45" x14ac:dyDescent="0.55000000000000004">
      <c r="A441" s="90">
        <v>45296</v>
      </c>
      <c r="B441" s="91">
        <v>8677.9501949999994</v>
      </c>
      <c r="C441" s="91">
        <v>8645.8496090000008</v>
      </c>
      <c r="D441" s="91">
        <v>8466.6044920000004</v>
      </c>
      <c r="E441" s="91">
        <v>48283</v>
      </c>
      <c r="F441" s="91">
        <v>6.9999999999999999E-4</v>
      </c>
      <c r="H441" s="90">
        <v>45296</v>
      </c>
      <c r="I441" s="91">
        <v>1301.4499510000001</v>
      </c>
      <c r="J441" s="91">
        <v>1303.849976</v>
      </c>
      <c r="K441" s="91">
        <v>1294.2705080000001</v>
      </c>
      <c r="L441" s="91">
        <v>8086406</v>
      </c>
      <c r="M441" s="91">
        <v>4.3E-3</v>
      </c>
      <c r="O441" s="90">
        <v>45296</v>
      </c>
      <c r="P441" s="91">
        <v>843.57501219999995</v>
      </c>
      <c r="Q441" s="91">
        <v>841.09997559999999</v>
      </c>
      <c r="R441" s="91">
        <v>818.70269780000001</v>
      </c>
      <c r="S441" s="91">
        <v>31889470</v>
      </c>
      <c r="T441" s="91">
        <v>-5.1000000000000004E-3</v>
      </c>
      <c r="V441" s="90">
        <v>45296</v>
      </c>
      <c r="W441" s="91">
        <v>1506.75</v>
      </c>
      <c r="X441" s="91">
        <v>1532.5500489999999</v>
      </c>
      <c r="Y441" s="91">
        <v>1442.8725589999999</v>
      </c>
      <c r="Z441" s="91">
        <v>8895403</v>
      </c>
      <c r="AA441" s="91">
        <v>1.3100000000000001E-2</v>
      </c>
      <c r="AB441" s="91"/>
      <c r="AC441" s="90">
        <v>45296</v>
      </c>
      <c r="AD441" s="91">
        <v>3085.4499510000001</v>
      </c>
      <c r="AE441" s="91">
        <v>3065.5500489999999</v>
      </c>
      <c r="AF441" s="91">
        <v>3060.7966310000002</v>
      </c>
      <c r="AG441" s="91">
        <v>258565</v>
      </c>
      <c r="AH441" s="91">
        <v>-6.9999999999999999E-4</v>
      </c>
      <c r="AI441" s="91"/>
      <c r="AJ441" s="91">
        <f>(F441*'Part 3 Portfolio Analysis'!$B$8+M441*'Part 3 Portfolio Analysis'!$C$8+T441*'Part 3 Portfolio Analysis'!$D$8+AA441*'Part 3 Portfolio Analysis'!$E$8+AH441*'Part 3 Portfolio Analysis'!$F$8)/100</f>
        <v>3.0193080469691088E-3</v>
      </c>
      <c r="AK441" s="91">
        <f>'Part 3 Portfolio Analysis'!$B$107*F441+M441*'Part 3 Portfolio Analysis'!$C$107+T441*'Part 3 Portfolio Analysis'!$D$107+AA441*'Part 3 Portfolio Analysis'!$E$107+AH441*'Part 3 Portfolio Analysis'!$F$107</f>
        <v>1.815E-3</v>
      </c>
      <c r="AL441" s="91">
        <f>F441*'Part 3 Portfolio Analysis'!$B$121+M441*'Part 3 Portfolio Analysis'!$C$121+'Part 3 Portfolio Analysis'!$D$121*T441+AA441*'Part 3 Portfolio Analysis'!$E$121+'Part 3 Portfolio Analysis'!$F$121*AH441</f>
        <v>3.0762800000000002E-3</v>
      </c>
      <c r="AM441" s="91"/>
      <c r="AN441" s="90">
        <v>45296</v>
      </c>
      <c r="AO441" s="91">
        <v>21705.75</v>
      </c>
      <c r="AP441" s="91">
        <v>21710.800780000001</v>
      </c>
      <c r="AQ441" s="91">
        <v>21710.800780000001</v>
      </c>
      <c r="AR441" s="91">
        <v>309300</v>
      </c>
      <c r="AS441" s="91">
        <v>2.3999999999999998E-3</v>
      </c>
    </row>
    <row r="442" spans="1:45" x14ac:dyDescent="0.55000000000000004">
      <c r="A442" s="90">
        <v>45299</v>
      </c>
      <c r="B442" s="91">
        <v>8647.7001949999994</v>
      </c>
      <c r="C442" s="91">
        <v>8584.1503909999992</v>
      </c>
      <c r="D442" s="91">
        <v>8406.1845699999994</v>
      </c>
      <c r="E442" s="91">
        <v>43107</v>
      </c>
      <c r="F442" s="91">
        <v>-7.1000000000000004E-3</v>
      </c>
      <c r="H442" s="90">
        <v>45299</v>
      </c>
      <c r="I442" s="91">
        <v>1305</v>
      </c>
      <c r="J442" s="91">
        <v>1293.6750489999999</v>
      </c>
      <c r="K442" s="91">
        <v>1284.1704099999999</v>
      </c>
      <c r="L442" s="91">
        <v>7734652</v>
      </c>
      <c r="M442" s="91">
        <v>-7.7999999999999996E-3</v>
      </c>
      <c r="O442" s="90">
        <v>45299</v>
      </c>
      <c r="P442" s="91">
        <v>839.25</v>
      </c>
      <c r="Q442" s="91">
        <v>831.72497559999999</v>
      </c>
      <c r="R442" s="91">
        <v>809.57739260000005</v>
      </c>
      <c r="S442" s="91">
        <v>17998470</v>
      </c>
      <c r="T442" s="91">
        <v>-1.11E-2</v>
      </c>
      <c r="V442" s="90">
        <v>45299</v>
      </c>
      <c r="W442" s="91">
        <v>1528.9499510000001</v>
      </c>
      <c r="X442" s="91">
        <v>1522.8000489999999</v>
      </c>
      <c r="Y442" s="91">
        <v>1433.693237</v>
      </c>
      <c r="Z442" s="91">
        <v>4440136</v>
      </c>
      <c r="AA442" s="91">
        <v>-6.4000000000000003E-3</v>
      </c>
      <c r="AB442" s="91"/>
      <c r="AC442" s="90">
        <v>45299</v>
      </c>
      <c r="AD442" s="91">
        <v>3080.9499510000001</v>
      </c>
      <c r="AE442" s="91">
        <v>3044.5500489999999</v>
      </c>
      <c r="AF442" s="91">
        <v>3039.8291020000001</v>
      </c>
      <c r="AG442" s="91">
        <v>303947</v>
      </c>
      <c r="AH442" s="91">
        <v>-6.8999999999999999E-3</v>
      </c>
      <c r="AI442" s="91"/>
      <c r="AJ442" s="91">
        <f>(F442*'Part 3 Portfolio Analysis'!$B$8+M442*'Part 3 Portfolio Analysis'!$C$8+T442*'Part 3 Portfolio Analysis'!$D$8+AA442*'Part 3 Portfolio Analysis'!$E$8+AH442*'Part 3 Portfolio Analysis'!$F$8)/100</f>
        <v>-7.9063786764545611E-3</v>
      </c>
      <c r="AK442" s="91">
        <f>'Part 3 Portfolio Analysis'!$B$107*F442+M442*'Part 3 Portfolio Analysis'!$C$107+T442*'Part 3 Portfolio Analysis'!$D$107+AA442*'Part 3 Portfolio Analysis'!$E$107+AH442*'Part 3 Portfolio Analysis'!$F$107</f>
        <v>-7.8186999999999996E-3</v>
      </c>
      <c r="AL442" s="91">
        <f>F442*'Part 3 Portfolio Analysis'!$B$121+M442*'Part 3 Portfolio Analysis'!$C$121+'Part 3 Portfolio Analysis'!$D$121*T442+AA442*'Part 3 Portfolio Analysis'!$E$121+'Part 3 Portfolio Analysis'!$F$121*AH442</f>
        <v>-8.3364800000000003E-3</v>
      </c>
      <c r="AM442" s="91"/>
      <c r="AN442" s="90">
        <v>45299</v>
      </c>
      <c r="AO442" s="91">
        <v>21747.599610000001</v>
      </c>
      <c r="AP442" s="91">
        <v>21513</v>
      </c>
      <c r="AQ442" s="91">
        <v>21513</v>
      </c>
      <c r="AR442" s="91">
        <v>231500</v>
      </c>
      <c r="AS442" s="91">
        <v>-9.1000000000000004E-3</v>
      </c>
    </row>
    <row r="443" spans="1:45" x14ac:dyDescent="0.55000000000000004">
      <c r="A443" s="90">
        <v>45300</v>
      </c>
      <c r="B443" s="91">
        <v>8650</v>
      </c>
      <c r="C443" s="91">
        <v>8643.5996090000008</v>
      </c>
      <c r="D443" s="91">
        <v>8464.4013670000004</v>
      </c>
      <c r="E443" s="91">
        <v>75444</v>
      </c>
      <c r="F443" s="91">
        <v>6.8999999999999999E-3</v>
      </c>
      <c r="H443" s="90">
        <v>45300</v>
      </c>
      <c r="I443" s="91">
        <v>1300</v>
      </c>
      <c r="J443" s="91">
        <v>1290.25</v>
      </c>
      <c r="K443" s="91">
        <v>1280.7703859999999</v>
      </c>
      <c r="L443" s="91">
        <v>5403074</v>
      </c>
      <c r="M443" s="91">
        <v>-2.5999999999999999E-3</v>
      </c>
      <c r="O443" s="90">
        <v>45300</v>
      </c>
      <c r="P443" s="91">
        <v>833.57501219999995</v>
      </c>
      <c r="Q443" s="91">
        <v>825.25</v>
      </c>
      <c r="R443" s="91">
        <v>803.27478029999997</v>
      </c>
      <c r="S443" s="91">
        <v>25326888</v>
      </c>
      <c r="T443" s="91">
        <v>-7.7999999999999996E-3</v>
      </c>
      <c r="V443" s="90">
        <v>45300</v>
      </c>
      <c r="W443" s="91">
        <v>1541.900024</v>
      </c>
      <c r="X443" s="91">
        <v>1529.3000489999999</v>
      </c>
      <c r="Y443" s="91">
        <v>1439.8127440000001</v>
      </c>
      <c r="Z443" s="91">
        <v>4412074</v>
      </c>
      <c r="AA443" s="91">
        <v>4.3E-3</v>
      </c>
      <c r="AB443" s="91"/>
      <c r="AC443" s="90">
        <v>45300</v>
      </c>
      <c r="AD443" s="91">
        <v>3069</v>
      </c>
      <c r="AE443" s="91">
        <v>3115.4499510000001</v>
      </c>
      <c r="AF443" s="91">
        <v>3110.6191410000001</v>
      </c>
      <c r="AG443" s="91">
        <v>723237</v>
      </c>
      <c r="AH443" s="91">
        <v>2.3300000000000001E-2</v>
      </c>
      <c r="AI443" s="91"/>
      <c r="AJ443" s="91">
        <f>(F443*'Part 3 Portfolio Analysis'!$B$8+M443*'Part 3 Portfolio Analysis'!$C$8+T443*'Part 3 Portfolio Analysis'!$D$8+AA443*'Part 3 Portfolio Analysis'!$E$8+AH443*'Part 3 Portfolio Analysis'!$F$8)/100</f>
        <v>7.4615174724679126E-4</v>
      </c>
      <c r="AK443" s="91">
        <f>'Part 3 Portfolio Analysis'!$B$107*F443+M443*'Part 3 Portfolio Analysis'!$C$107+T443*'Part 3 Portfolio Analysis'!$D$107+AA443*'Part 3 Portfolio Analysis'!$E$107+AH443*'Part 3 Portfolio Analysis'!$F$107</f>
        <v>5.5208000000000002E-3</v>
      </c>
      <c r="AL443" s="91">
        <f>F443*'Part 3 Portfolio Analysis'!$B$121+M443*'Part 3 Portfolio Analysis'!$C$121+'Part 3 Portfolio Analysis'!$D$121*T443+AA443*'Part 3 Portfolio Analysis'!$E$121+'Part 3 Portfolio Analysis'!$F$121*AH443</f>
        <v>-1.1749199999999999E-3</v>
      </c>
      <c r="AM443" s="91"/>
      <c r="AN443" s="90">
        <v>45300</v>
      </c>
      <c r="AO443" s="91">
        <v>21653.599610000001</v>
      </c>
      <c r="AP443" s="91">
        <v>21544.849610000001</v>
      </c>
      <c r="AQ443" s="91">
        <v>21544.849610000001</v>
      </c>
      <c r="AR443" s="91">
        <v>228600</v>
      </c>
      <c r="AS443" s="91">
        <v>1.5E-3</v>
      </c>
    </row>
    <row r="444" spans="1:45" x14ac:dyDescent="0.55000000000000004">
      <c r="A444" s="90">
        <v>45301</v>
      </c>
      <c r="B444" s="91">
        <v>8679</v>
      </c>
      <c r="C444" s="91">
        <v>8755.4501949999994</v>
      </c>
      <c r="D444" s="91">
        <v>8573.9326170000004</v>
      </c>
      <c r="E444" s="91">
        <v>63726</v>
      </c>
      <c r="F444" s="91">
        <v>1.29E-2</v>
      </c>
      <c r="H444" s="90">
        <v>45301</v>
      </c>
      <c r="I444" s="91">
        <v>1288.5</v>
      </c>
      <c r="J444" s="91">
        <v>1325.0500489999999</v>
      </c>
      <c r="K444" s="91">
        <v>1315.3148189999999</v>
      </c>
      <c r="L444" s="91">
        <v>11102740</v>
      </c>
      <c r="M444" s="91">
        <v>2.7E-2</v>
      </c>
      <c r="O444" s="90">
        <v>45301</v>
      </c>
      <c r="P444" s="91">
        <v>821.5</v>
      </c>
      <c r="Q444" s="91">
        <v>827.97497559999999</v>
      </c>
      <c r="R444" s="91">
        <v>805.92724610000005</v>
      </c>
      <c r="S444" s="91">
        <v>16115824</v>
      </c>
      <c r="T444" s="91">
        <v>3.3E-3</v>
      </c>
      <c r="V444" s="90">
        <v>45301</v>
      </c>
      <c r="W444" s="91">
        <v>1524.9499510000001</v>
      </c>
      <c r="X444" s="91">
        <v>1519.900024</v>
      </c>
      <c r="Y444" s="91">
        <v>1430.962769</v>
      </c>
      <c r="Z444" s="91">
        <v>4096845</v>
      </c>
      <c r="AA444" s="91">
        <v>-6.1000000000000004E-3</v>
      </c>
      <c r="AB444" s="91"/>
      <c r="AC444" s="90">
        <v>45301</v>
      </c>
      <c r="AD444" s="91">
        <v>3126.5</v>
      </c>
      <c r="AE444" s="91">
        <v>3173.6000979999999</v>
      </c>
      <c r="AF444" s="91">
        <v>3168.6789549999999</v>
      </c>
      <c r="AG444" s="91">
        <v>951897</v>
      </c>
      <c r="AH444" s="91">
        <v>1.8700000000000001E-2</v>
      </c>
      <c r="AI444" s="91"/>
      <c r="AJ444" s="91">
        <f>(F444*'Part 3 Portfolio Analysis'!$B$8+M444*'Part 3 Portfolio Analysis'!$C$8+T444*'Part 3 Portfolio Analysis'!$D$8+AA444*'Part 3 Portfolio Analysis'!$E$8+AH444*'Part 3 Portfolio Analysis'!$F$8)/100</f>
        <v>1.3408516982782545E-2</v>
      </c>
      <c r="AK444" s="91">
        <f>'Part 3 Portfolio Analysis'!$B$107*F444+M444*'Part 3 Portfolio Analysis'!$C$107+T444*'Part 3 Portfolio Analysis'!$D$107+AA444*'Part 3 Portfolio Analysis'!$E$107+AH444*'Part 3 Portfolio Analysis'!$F$107</f>
        <v>1.53869E-2</v>
      </c>
      <c r="AL444" s="91">
        <f>F444*'Part 3 Portfolio Analysis'!$B$121+M444*'Part 3 Portfolio Analysis'!$C$121+'Part 3 Portfolio Analysis'!$D$121*T444+AA444*'Part 3 Portfolio Analysis'!$E$121+'Part 3 Portfolio Analysis'!$F$121*AH444</f>
        <v>1.2557119999999998E-2</v>
      </c>
      <c r="AM444" s="91"/>
      <c r="AN444" s="90">
        <v>45301</v>
      </c>
      <c r="AO444" s="91">
        <v>21529.300780000001</v>
      </c>
      <c r="AP444" s="91">
        <v>21618.699219999999</v>
      </c>
      <c r="AQ444" s="91">
        <v>21618.699219999999</v>
      </c>
      <c r="AR444" s="91">
        <v>217000</v>
      </c>
      <c r="AS444" s="91">
        <v>3.3999999999999998E-3</v>
      </c>
    </row>
    <row r="445" spans="1:45" x14ac:dyDescent="0.55000000000000004">
      <c r="A445" s="90">
        <v>45302</v>
      </c>
      <c r="B445" s="91">
        <v>8800</v>
      </c>
      <c r="C445" s="91">
        <v>8720.7998050000006</v>
      </c>
      <c r="D445" s="91">
        <v>8540.0009769999997</v>
      </c>
      <c r="E445" s="91">
        <v>79837</v>
      </c>
      <c r="F445" s="91">
        <v>-4.0000000000000001E-3</v>
      </c>
      <c r="H445" s="90">
        <v>45302</v>
      </c>
      <c r="I445" s="91">
        <v>1329.5</v>
      </c>
      <c r="J445" s="91">
        <v>1359.900024</v>
      </c>
      <c r="K445" s="91">
        <v>1349.908813</v>
      </c>
      <c r="L445" s="91">
        <v>23725852</v>
      </c>
      <c r="M445" s="91">
        <v>2.63E-2</v>
      </c>
      <c r="O445" s="90">
        <v>45302</v>
      </c>
      <c r="P445" s="91">
        <v>830</v>
      </c>
      <c r="Q445" s="91">
        <v>824.5</v>
      </c>
      <c r="R445" s="91">
        <v>802.54479979999996</v>
      </c>
      <c r="S445" s="91">
        <v>18314010</v>
      </c>
      <c r="T445" s="91">
        <v>-4.1999999999999997E-3</v>
      </c>
      <c r="V445" s="90">
        <v>45302</v>
      </c>
      <c r="W445" s="91">
        <v>1524.900024</v>
      </c>
      <c r="X445" s="91">
        <v>1494.1999510000001</v>
      </c>
      <c r="Y445" s="91">
        <v>1406.7666019999999</v>
      </c>
      <c r="Z445" s="91">
        <v>11296088</v>
      </c>
      <c r="AA445" s="91">
        <v>-1.6899999999999998E-2</v>
      </c>
      <c r="AB445" s="91"/>
      <c r="AC445" s="90">
        <v>45302</v>
      </c>
      <c r="AD445" s="91">
        <v>3190</v>
      </c>
      <c r="AE445" s="91">
        <v>3175.8000489999999</v>
      </c>
      <c r="AF445" s="91">
        <v>3170.8754880000001</v>
      </c>
      <c r="AG445" s="91">
        <v>485141</v>
      </c>
      <c r="AH445" s="91">
        <v>6.9999999999999999E-4</v>
      </c>
      <c r="AI445" s="91"/>
      <c r="AJ445" s="91">
        <f>(F445*'Part 3 Portfolio Analysis'!$B$8+M445*'Part 3 Portfolio Analysis'!$C$8+T445*'Part 3 Portfolio Analysis'!$D$8+AA445*'Part 3 Portfolio Analysis'!$E$8+AH445*'Part 3 Portfolio Analysis'!$F$8)/100</f>
        <v>4.919678339196481E-3</v>
      </c>
      <c r="AK445" s="91">
        <f>'Part 3 Portfolio Analysis'!$B$107*F445+M445*'Part 3 Portfolio Analysis'!$C$107+T445*'Part 3 Portfolio Analysis'!$D$107+AA445*'Part 3 Portfolio Analysis'!$E$107+AH445*'Part 3 Portfolio Analysis'!$F$107</f>
        <v>5.347300000000001E-3</v>
      </c>
      <c r="AL445" s="91">
        <f>F445*'Part 3 Portfolio Analysis'!$B$121+M445*'Part 3 Portfolio Analysis'!$C$121+'Part 3 Portfolio Analysis'!$D$121*T445+AA445*'Part 3 Portfolio Analysis'!$E$121+'Part 3 Portfolio Analysis'!$F$121*AH445</f>
        <v>6.2026200000000007E-3</v>
      </c>
      <c r="AM445" s="91"/>
      <c r="AN445" s="90">
        <v>45302</v>
      </c>
      <c r="AO445" s="91">
        <v>21688</v>
      </c>
      <c r="AP445" s="91">
        <v>21647.199219999999</v>
      </c>
      <c r="AQ445" s="91">
        <v>21647.199219999999</v>
      </c>
      <c r="AR445" s="91">
        <v>212500</v>
      </c>
      <c r="AS445" s="91">
        <v>1.2999999999999999E-3</v>
      </c>
    </row>
    <row r="446" spans="1:45" x14ac:dyDescent="0.55000000000000004">
      <c r="A446" s="90">
        <v>45303</v>
      </c>
      <c r="B446" s="91">
        <v>8799.9003909999992</v>
      </c>
      <c r="C446" s="91">
        <v>8737.25</v>
      </c>
      <c r="D446" s="91">
        <v>8556.109375</v>
      </c>
      <c r="E446" s="91">
        <v>156840</v>
      </c>
      <c r="F446" s="91">
        <v>1.9E-3</v>
      </c>
      <c r="H446" s="90">
        <v>45303</v>
      </c>
      <c r="I446" s="91">
        <v>1359.900024</v>
      </c>
      <c r="J446" s="91">
        <v>1370.724976</v>
      </c>
      <c r="K446" s="91">
        <v>1360.6541749999999</v>
      </c>
      <c r="L446" s="91">
        <v>15012164</v>
      </c>
      <c r="M446" s="91">
        <v>8.0000000000000002E-3</v>
      </c>
      <c r="O446" s="90">
        <v>45303</v>
      </c>
      <c r="P446" s="91">
        <v>826</v>
      </c>
      <c r="Q446" s="91">
        <v>820.59997559999999</v>
      </c>
      <c r="R446" s="91">
        <v>798.74859619999995</v>
      </c>
      <c r="S446" s="91">
        <v>19773552</v>
      </c>
      <c r="T446" s="91">
        <v>-4.7000000000000002E-3</v>
      </c>
      <c r="V446" s="90">
        <v>45303</v>
      </c>
      <c r="W446" s="91">
        <v>1562</v>
      </c>
      <c r="X446" s="91">
        <v>1612.75</v>
      </c>
      <c r="Y446" s="91">
        <v>1518.3797609999999</v>
      </c>
      <c r="Z446" s="91">
        <v>26754401</v>
      </c>
      <c r="AA446" s="91">
        <v>7.9299999999999995E-2</v>
      </c>
      <c r="AB446" s="91"/>
      <c r="AC446" s="90">
        <v>45303</v>
      </c>
      <c r="AD446" s="91">
        <v>3203</v>
      </c>
      <c r="AE446" s="91">
        <v>3212.1499020000001</v>
      </c>
      <c r="AF446" s="91">
        <v>3207.1689449999999</v>
      </c>
      <c r="AG446" s="91">
        <v>597455</v>
      </c>
      <c r="AH446" s="91">
        <v>1.14E-2</v>
      </c>
      <c r="AI446" s="91"/>
      <c r="AJ446" s="91">
        <f>(F446*'Part 3 Portfolio Analysis'!$B$8+M446*'Part 3 Portfolio Analysis'!$C$8+T446*'Part 3 Portfolio Analysis'!$D$8+AA446*'Part 3 Portfolio Analysis'!$E$8+AH446*'Part 3 Portfolio Analysis'!$F$8)/100</f>
        <v>1.5559272467040686E-2</v>
      </c>
      <c r="AK446" s="91">
        <f>'Part 3 Portfolio Analysis'!$B$107*F446+M446*'Part 3 Portfolio Analysis'!$C$107+T446*'Part 3 Portfolio Analysis'!$D$107+AA446*'Part 3 Portfolio Analysis'!$E$107+AH446*'Part 3 Portfolio Analysis'!$F$107</f>
        <v>1.2920299999999999E-2</v>
      </c>
      <c r="AL446" s="91">
        <f>F446*'Part 3 Portfolio Analysis'!$B$121+M446*'Part 3 Portfolio Analysis'!$C$121+'Part 3 Portfolio Analysis'!$D$121*T446+AA446*'Part 3 Portfolio Analysis'!$E$121+'Part 3 Portfolio Analysis'!$F$121*AH446</f>
        <v>1.8393259999999998E-2</v>
      </c>
      <c r="AM446" s="91"/>
      <c r="AN446" s="90">
        <v>45303</v>
      </c>
      <c r="AO446" s="91">
        <v>21773.550780000001</v>
      </c>
      <c r="AP446" s="91">
        <v>21894.550780000001</v>
      </c>
      <c r="AQ446" s="91">
        <v>21894.550780000001</v>
      </c>
      <c r="AR446" s="91">
        <v>294700</v>
      </c>
      <c r="AS446" s="91">
        <v>1.14E-2</v>
      </c>
    </row>
    <row r="447" spans="1:45" x14ac:dyDescent="0.55000000000000004">
      <c r="A447" s="90">
        <v>45306</v>
      </c>
      <c r="B447" s="91">
        <v>8797.4501949999994</v>
      </c>
      <c r="C447" s="91">
        <v>8716.6503909999992</v>
      </c>
      <c r="D447" s="91">
        <v>8535.9375</v>
      </c>
      <c r="E447" s="91">
        <v>75064</v>
      </c>
      <c r="F447" s="91">
        <v>-2.3999999999999998E-3</v>
      </c>
      <c r="H447" s="90">
        <v>45306</v>
      </c>
      <c r="I447" s="91">
        <v>1375</v>
      </c>
      <c r="J447" s="91">
        <v>1394.125</v>
      </c>
      <c r="K447" s="91">
        <v>1383.882202</v>
      </c>
      <c r="L447" s="91">
        <v>8610594</v>
      </c>
      <c r="M447" s="91">
        <v>1.7100000000000001E-2</v>
      </c>
      <c r="O447" s="90">
        <v>45306</v>
      </c>
      <c r="P447" s="91">
        <v>823.84997559999999</v>
      </c>
      <c r="Q447" s="91">
        <v>836.40002440000001</v>
      </c>
      <c r="R447" s="91">
        <v>814.12786870000002</v>
      </c>
      <c r="S447" s="91">
        <v>28320356</v>
      </c>
      <c r="T447" s="91">
        <v>1.9300000000000001E-2</v>
      </c>
      <c r="V447" s="90">
        <v>45306</v>
      </c>
      <c r="W447" s="91">
        <v>1644.9499510000001</v>
      </c>
      <c r="X447" s="91">
        <v>1652.099976</v>
      </c>
      <c r="Y447" s="91">
        <v>1555.427124</v>
      </c>
      <c r="Z447" s="91">
        <v>13228305</v>
      </c>
      <c r="AA447" s="91">
        <v>2.4400000000000002E-2</v>
      </c>
      <c r="AB447" s="91"/>
      <c r="AC447" s="90">
        <v>45306</v>
      </c>
      <c r="AD447" s="91">
        <v>3238</v>
      </c>
      <c r="AE447" s="91">
        <v>3193.3000489999999</v>
      </c>
      <c r="AF447" s="91">
        <v>3188.3483890000002</v>
      </c>
      <c r="AG447" s="91">
        <v>381958</v>
      </c>
      <c r="AH447" s="91">
        <v>-5.8999999999999999E-3</v>
      </c>
      <c r="AI447" s="91"/>
      <c r="AJ447" s="91">
        <f>(F447*'Part 3 Portfolio Analysis'!$B$8+M447*'Part 3 Portfolio Analysis'!$C$8+T447*'Part 3 Portfolio Analysis'!$D$8+AA447*'Part 3 Portfolio Analysis'!$E$8+AH447*'Part 3 Portfolio Analysis'!$F$8)/100</f>
        <v>1.2567010274674257E-2</v>
      </c>
      <c r="AK447" s="91">
        <f>'Part 3 Portfolio Analysis'!$B$107*F447+M447*'Part 3 Portfolio Analysis'!$C$107+T447*'Part 3 Portfolio Analysis'!$D$107+AA447*'Part 3 Portfolio Analysis'!$E$107+AH447*'Part 3 Portfolio Analysis'!$F$107</f>
        <v>8.8650000000000014E-3</v>
      </c>
      <c r="AL447" s="91">
        <f>F447*'Part 3 Portfolio Analysis'!$B$121+M447*'Part 3 Portfolio Analysis'!$C$121+'Part 3 Portfolio Analysis'!$D$121*T447+AA447*'Part 3 Portfolio Analysis'!$E$121+'Part 3 Portfolio Analysis'!$F$121*AH447</f>
        <v>1.69529E-2</v>
      </c>
      <c r="AM447" s="91"/>
      <c r="AN447" s="90">
        <v>45306</v>
      </c>
      <c r="AO447" s="91">
        <v>22053.150389999999</v>
      </c>
      <c r="AP447" s="91">
        <v>22097.449219999999</v>
      </c>
      <c r="AQ447" s="91">
        <v>22097.449219999999</v>
      </c>
      <c r="AR447" s="91">
        <v>345500</v>
      </c>
      <c r="AS447" s="91">
        <v>9.2999999999999992E-3</v>
      </c>
    </row>
    <row r="448" spans="1:45" x14ac:dyDescent="0.55000000000000004">
      <c r="A448" s="90">
        <v>45307</v>
      </c>
      <c r="B448" s="91">
        <v>8719.9003909999992</v>
      </c>
      <c r="C448" s="91">
        <v>8604.5498050000006</v>
      </c>
      <c r="D448" s="91">
        <v>8426.1611329999996</v>
      </c>
      <c r="E448" s="91">
        <v>61082</v>
      </c>
      <c r="F448" s="91">
        <v>-1.29E-2</v>
      </c>
      <c r="H448" s="90">
        <v>45307</v>
      </c>
      <c r="I448" s="91">
        <v>1389.974976</v>
      </c>
      <c r="J448" s="91">
        <v>1374.625</v>
      </c>
      <c r="K448" s="91">
        <v>1364.525513</v>
      </c>
      <c r="L448" s="91">
        <v>9069024</v>
      </c>
      <c r="M448" s="91">
        <v>-1.4E-2</v>
      </c>
      <c r="O448" s="90">
        <v>45307</v>
      </c>
      <c r="P448" s="91">
        <v>836.5</v>
      </c>
      <c r="Q448" s="91">
        <v>839.57501219999995</v>
      </c>
      <c r="R448" s="91">
        <v>817.21832280000001</v>
      </c>
      <c r="S448" s="91">
        <v>25322500</v>
      </c>
      <c r="T448" s="91">
        <v>3.8E-3</v>
      </c>
      <c r="V448" s="90">
        <v>45307</v>
      </c>
      <c r="W448" s="91">
        <v>1644.8000489999999</v>
      </c>
      <c r="X448" s="91">
        <v>1631.5500489999999</v>
      </c>
      <c r="Y448" s="91">
        <v>1536.0795900000001</v>
      </c>
      <c r="Z448" s="91">
        <v>6500917</v>
      </c>
      <c r="AA448" s="91">
        <v>-1.24E-2</v>
      </c>
      <c r="AB448" s="91"/>
      <c r="AC448" s="90">
        <v>45307</v>
      </c>
      <c r="AD448" s="91">
        <v>3203.5500489999999</v>
      </c>
      <c r="AE448" s="91">
        <v>3166.1000979999999</v>
      </c>
      <c r="AF448" s="91">
        <v>3161.1906739999999</v>
      </c>
      <c r="AG448" s="91">
        <v>370700</v>
      </c>
      <c r="AH448" s="91">
        <v>-8.5000000000000006E-3</v>
      </c>
      <c r="AI448" s="91"/>
      <c r="AJ448" s="91">
        <f>(F448*'Part 3 Portfolio Analysis'!$B$8+M448*'Part 3 Portfolio Analysis'!$C$8+T448*'Part 3 Portfolio Analysis'!$D$8+AA448*'Part 3 Portfolio Analysis'!$E$8+AH448*'Part 3 Portfolio Analysis'!$F$8)/100</f>
        <v>-1.038948543803591E-2</v>
      </c>
      <c r="AK448" s="91">
        <f>'Part 3 Portfolio Analysis'!$B$107*F448+M448*'Part 3 Portfolio Analysis'!$C$107+T448*'Part 3 Portfolio Analysis'!$D$107+AA448*'Part 3 Portfolio Analysis'!$E$107+AH448*'Part 3 Portfolio Analysis'!$F$107</f>
        <v>-9.4970000000000002E-3</v>
      </c>
      <c r="AL448" s="91">
        <f>F448*'Part 3 Portfolio Analysis'!$B$121+M448*'Part 3 Portfolio Analysis'!$C$121+'Part 3 Portfolio Analysis'!$D$121*T448+AA448*'Part 3 Portfolio Analysis'!$E$121+'Part 3 Portfolio Analysis'!$F$121*AH448</f>
        <v>-8.6038799999999995E-3</v>
      </c>
      <c r="AM448" s="91"/>
      <c r="AN448" s="90">
        <v>45307</v>
      </c>
      <c r="AO448" s="91">
        <v>22080.5</v>
      </c>
      <c r="AP448" s="91">
        <v>22032.300780000001</v>
      </c>
      <c r="AQ448" s="91">
        <v>22032.300780000001</v>
      </c>
      <c r="AR448" s="91">
        <v>292400</v>
      </c>
      <c r="AS448" s="91">
        <v>-2.8999999999999998E-3</v>
      </c>
    </row>
    <row r="449" spans="1:45" x14ac:dyDescent="0.55000000000000004">
      <c r="A449" s="90">
        <v>45308</v>
      </c>
      <c r="B449" s="91">
        <v>8599</v>
      </c>
      <c r="C449" s="91">
        <v>8597.7998050000006</v>
      </c>
      <c r="D449" s="91">
        <v>8419.5507809999999</v>
      </c>
      <c r="E449" s="91">
        <v>73451</v>
      </c>
      <c r="F449" s="91">
        <v>-8.0000000000000004E-4</v>
      </c>
      <c r="H449" s="90">
        <v>45308</v>
      </c>
      <c r="I449" s="91">
        <v>1359.5</v>
      </c>
      <c r="J449" s="91">
        <v>1361.5749510000001</v>
      </c>
      <c r="K449" s="91">
        <v>1351.5714109999999</v>
      </c>
      <c r="L449" s="91">
        <v>12197382</v>
      </c>
      <c r="M449" s="91">
        <v>-9.4999999999999998E-3</v>
      </c>
      <c r="O449" s="90">
        <v>45308</v>
      </c>
      <c r="P449" s="91">
        <v>785</v>
      </c>
      <c r="Q449" s="91">
        <v>768.75</v>
      </c>
      <c r="R449" s="91">
        <v>748.27929689999996</v>
      </c>
      <c r="S449" s="91">
        <v>170145236</v>
      </c>
      <c r="T449" s="91">
        <v>-8.4400000000000003E-2</v>
      </c>
      <c r="V449" s="90">
        <v>45308</v>
      </c>
      <c r="W449" s="91">
        <v>1620.25</v>
      </c>
      <c r="X449" s="91">
        <v>1640.1999510000001</v>
      </c>
      <c r="Y449" s="91">
        <v>1544.223389</v>
      </c>
      <c r="Z449" s="91">
        <v>9209876</v>
      </c>
      <c r="AA449" s="91">
        <v>5.3E-3</v>
      </c>
      <c r="AB449" s="91"/>
      <c r="AC449" s="90">
        <v>45308</v>
      </c>
      <c r="AD449" s="91">
        <v>3153</v>
      </c>
      <c r="AE449" s="91">
        <v>3147.8500979999999</v>
      </c>
      <c r="AF449" s="91">
        <v>3142.9689939999998</v>
      </c>
      <c r="AG449" s="91">
        <v>420338</v>
      </c>
      <c r="AH449" s="91">
        <v>-5.7999999999999996E-3</v>
      </c>
      <c r="AI449" s="91"/>
      <c r="AJ449" s="91">
        <f>(F449*'Part 3 Portfolio Analysis'!$B$8+M449*'Part 3 Portfolio Analysis'!$C$8+T449*'Part 3 Portfolio Analysis'!$D$8+AA449*'Part 3 Portfolio Analysis'!$E$8+AH449*'Part 3 Portfolio Analysis'!$F$8)/100</f>
        <v>-1.6966292119843591E-2</v>
      </c>
      <c r="AK449" s="91">
        <f>'Part 3 Portfolio Analysis'!$B$107*F449+M449*'Part 3 Portfolio Analysis'!$C$107+T449*'Part 3 Portfolio Analysis'!$D$107+AA449*'Part 3 Portfolio Analysis'!$E$107+AH449*'Part 3 Portfolio Analysis'!$F$107</f>
        <v>-1.71311E-2</v>
      </c>
      <c r="AL449" s="91">
        <f>F449*'Part 3 Portfolio Analysis'!$B$121+M449*'Part 3 Portfolio Analysis'!$C$121+'Part 3 Portfolio Analysis'!$D$121*T449+AA449*'Part 3 Portfolio Analysis'!$E$121+'Part 3 Portfolio Analysis'!$F$121*AH449</f>
        <v>-2.6100720000000004E-2</v>
      </c>
      <c r="AM449" s="91"/>
      <c r="AN449" s="90">
        <v>45308</v>
      </c>
      <c r="AO449" s="91">
        <v>21647.25</v>
      </c>
      <c r="AP449" s="91">
        <v>21571.949219999999</v>
      </c>
      <c r="AQ449" s="91">
        <v>21571.949219999999</v>
      </c>
      <c r="AR449" s="91">
        <v>456000</v>
      </c>
      <c r="AS449" s="91">
        <v>-2.0899999999999998E-2</v>
      </c>
    </row>
    <row r="450" spans="1:45" x14ac:dyDescent="0.55000000000000004">
      <c r="A450" s="90">
        <v>45309</v>
      </c>
      <c r="B450" s="91">
        <v>8550</v>
      </c>
      <c r="C450" s="91">
        <v>8310.7001949999994</v>
      </c>
      <c r="D450" s="91">
        <v>8138.4033200000003</v>
      </c>
      <c r="E450" s="91">
        <v>306055</v>
      </c>
      <c r="F450" s="91">
        <v>-3.3399999999999999E-2</v>
      </c>
      <c r="H450" s="90">
        <v>45309</v>
      </c>
      <c r="I450" s="91">
        <v>1351.400024</v>
      </c>
      <c r="J450" s="91">
        <v>1367.9499510000001</v>
      </c>
      <c r="K450" s="91">
        <v>1357.8995359999999</v>
      </c>
      <c r="L450" s="91">
        <v>10279438</v>
      </c>
      <c r="M450" s="91">
        <v>4.7000000000000002E-3</v>
      </c>
      <c r="O450" s="90">
        <v>45309</v>
      </c>
      <c r="P450" s="91">
        <v>747</v>
      </c>
      <c r="Q450" s="91">
        <v>743.07501219999995</v>
      </c>
      <c r="R450" s="91">
        <v>723.28802489999998</v>
      </c>
      <c r="S450" s="91">
        <v>161070930</v>
      </c>
      <c r="T450" s="91">
        <v>-3.3399999999999999E-2</v>
      </c>
      <c r="V450" s="90">
        <v>45309</v>
      </c>
      <c r="W450" s="91">
        <v>1642.650024</v>
      </c>
      <c r="X450" s="91">
        <v>1642.599976</v>
      </c>
      <c r="Y450" s="91">
        <v>1546.4830320000001</v>
      </c>
      <c r="Z450" s="91">
        <v>6375464</v>
      </c>
      <c r="AA450" s="91">
        <v>1.5E-3</v>
      </c>
      <c r="AB450" s="91"/>
      <c r="AC450" s="90">
        <v>45309</v>
      </c>
      <c r="AD450" s="91">
        <v>3138</v>
      </c>
      <c r="AE450" s="91">
        <v>3151.75</v>
      </c>
      <c r="AF450" s="91">
        <v>3146.8627929999998</v>
      </c>
      <c r="AG450" s="91">
        <v>439730</v>
      </c>
      <c r="AH450" s="91">
        <v>1.1999999999999999E-3</v>
      </c>
      <c r="AI450" s="91"/>
      <c r="AJ450" s="91">
        <f>(F450*'Part 3 Portfolio Analysis'!$B$8+M450*'Part 3 Portfolio Analysis'!$C$8+T450*'Part 3 Portfolio Analysis'!$D$8+AA450*'Part 3 Portfolio Analysis'!$E$8+AH450*'Part 3 Portfolio Analysis'!$F$8)/100</f>
        <v>-1.3634758898978054E-2</v>
      </c>
      <c r="AK450" s="91">
        <f>'Part 3 Portfolio Analysis'!$B$107*F450+M450*'Part 3 Portfolio Analysis'!$C$107+T450*'Part 3 Portfolio Analysis'!$D$107+AA450*'Part 3 Portfolio Analysis'!$E$107+AH450*'Part 3 Portfolio Analysis'!$F$107</f>
        <v>-9.2654999999999994E-3</v>
      </c>
      <c r="AL450" s="91">
        <f>F450*'Part 3 Portfolio Analysis'!$B$121+M450*'Part 3 Portfolio Analysis'!$C$121+'Part 3 Portfolio Analysis'!$D$121*T450+AA450*'Part 3 Portfolio Analysis'!$E$121+'Part 3 Portfolio Analysis'!$F$121*AH450</f>
        <v>-9.5267200000000007E-3</v>
      </c>
      <c r="AM450" s="91"/>
      <c r="AN450" s="90">
        <v>45309</v>
      </c>
      <c r="AO450" s="91">
        <v>21414.199219999999</v>
      </c>
      <c r="AP450" s="91">
        <v>21462.25</v>
      </c>
      <c r="AQ450" s="91">
        <v>21462.25</v>
      </c>
      <c r="AR450" s="91">
        <v>387300</v>
      </c>
      <c r="AS450" s="91">
        <v>-5.1000000000000004E-3</v>
      </c>
    </row>
    <row r="451" spans="1:45" x14ac:dyDescent="0.55000000000000004">
      <c r="A451" s="90">
        <v>45310</v>
      </c>
      <c r="B451" s="91">
        <v>8409</v>
      </c>
      <c r="C451" s="91">
        <v>8307.2998050000006</v>
      </c>
      <c r="D451" s="91">
        <v>8135.0737300000001</v>
      </c>
      <c r="E451" s="91">
        <v>97841</v>
      </c>
      <c r="F451" s="91">
        <v>-4.0000000000000002E-4</v>
      </c>
      <c r="H451" s="90">
        <v>45310</v>
      </c>
      <c r="I451" s="91">
        <v>1376</v>
      </c>
      <c r="J451" s="91">
        <v>1367.4499510000001</v>
      </c>
      <c r="K451" s="91">
        <v>1357.403198</v>
      </c>
      <c r="L451" s="91">
        <v>10422704</v>
      </c>
      <c r="M451" s="91">
        <v>-4.0000000000000002E-4</v>
      </c>
      <c r="O451" s="90">
        <v>45310</v>
      </c>
      <c r="P451" s="91">
        <v>752.97497559999999</v>
      </c>
      <c r="Q451" s="91">
        <v>735.32501219999995</v>
      </c>
      <c r="R451" s="91">
        <v>715.74438480000003</v>
      </c>
      <c r="S451" s="91">
        <v>109600538</v>
      </c>
      <c r="T451" s="91">
        <v>-1.04E-2</v>
      </c>
      <c r="V451" s="90">
        <v>45310</v>
      </c>
      <c r="W451" s="91">
        <v>1651.599976</v>
      </c>
      <c r="X451" s="91">
        <v>1659.1999510000001</v>
      </c>
      <c r="Y451" s="91">
        <v>1562.111572</v>
      </c>
      <c r="Z451" s="91">
        <v>4522736</v>
      </c>
      <c r="AA451" s="91">
        <v>1.01E-2</v>
      </c>
      <c r="AB451" s="91"/>
      <c r="AC451" s="90">
        <v>45310</v>
      </c>
      <c r="AD451" s="91">
        <v>3169.9499510000001</v>
      </c>
      <c r="AE451" s="91">
        <v>3210.0500489999999</v>
      </c>
      <c r="AF451" s="91">
        <v>3205.07251</v>
      </c>
      <c r="AG451" s="91">
        <v>406436</v>
      </c>
      <c r="AH451" s="91">
        <v>1.8499999999999999E-2</v>
      </c>
      <c r="AI451" s="91"/>
      <c r="AJ451" s="91">
        <f>(F451*'Part 3 Portfolio Analysis'!$B$8+M451*'Part 3 Portfolio Analysis'!$C$8+T451*'Part 3 Portfolio Analysis'!$D$8+AA451*'Part 3 Portfolio Analysis'!$E$8+AH451*'Part 3 Portfolio Analysis'!$F$8)/100</f>
        <v>-1.9360354084658904E-4</v>
      </c>
      <c r="AK451" s="91">
        <f>'Part 3 Portfolio Analysis'!$B$107*F451+M451*'Part 3 Portfolio Analysis'!$C$107+T451*'Part 3 Portfolio Analysis'!$D$107+AA451*'Part 3 Portfolio Analysis'!$E$107+AH451*'Part 3 Portfolio Analysis'!$F$107</f>
        <v>3.8627999999999996E-3</v>
      </c>
      <c r="AL451" s="91">
        <f>F451*'Part 3 Portfolio Analysis'!$B$121+M451*'Part 3 Portfolio Analysis'!$C$121+'Part 3 Portfolio Analysis'!$D$121*T451+AA451*'Part 3 Portfolio Analysis'!$E$121+'Part 3 Portfolio Analysis'!$F$121*AH451</f>
        <v>-5.2482000000000028E-4</v>
      </c>
      <c r="AM451" s="91"/>
      <c r="AN451" s="90">
        <v>45310</v>
      </c>
      <c r="AO451" s="91">
        <v>21615.199219999999</v>
      </c>
      <c r="AP451" s="91">
        <v>21622.400389999999</v>
      </c>
      <c r="AQ451" s="91">
        <v>21622.400389999999</v>
      </c>
      <c r="AR451" s="91">
        <v>343100</v>
      </c>
      <c r="AS451" s="91">
        <v>7.4999999999999997E-3</v>
      </c>
    </row>
    <row r="452" spans="1:45" x14ac:dyDescent="0.55000000000000004">
      <c r="A452" s="90">
        <v>45314</v>
      </c>
      <c r="B452" s="91">
        <v>8300</v>
      </c>
      <c r="C452" s="91">
        <v>8195.7001949999994</v>
      </c>
      <c r="D452" s="91">
        <v>8025.7871089999999</v>
      </c>
      <c r="E452" s="91">
        <v>117490</v>
      </c>
      <c r="F452" s="91">
        <v>-1.34E-2</v>
      </c>
      <c r="H452" s="90">
        <v>45314</v>
      </c>
      <c r="I452" s="91">
        <v>1371.75</v>
      </c>
      <c r="J452" s="91">
        <v>1328.5749510000001</v>
      </c>
      <c r="K452" s="91">
        <v>1318.8138429999999</v>
      </c>
      <c r="L452" s="91">
        <v>20055420</v>
      </c>
      <c r="M452" s="91">
        <v>-2.8400000000000002E-2</v>
      </c>
      <c r="O452" s="90">
        <v>45314</v>
      </c>
      <c r="P452" s="91">
        <v>732.5</v>
      </c>
      <c r="Q452" s="91">
        <v>713.67498780000005</v>
      </c>
      <c r="R452" s="91">
        <v>694.67089840000006</v>
      </c>
      <c r="S452" s="91">
        <v>115469402</v>
      </c>
      <c r="T452" s="91">
        <v>-2.9399999999999999E-2</v>
      </c>
      <c r="V452" s="90">
        <v>45314</v>
      </c>
      <c r="W452" s="91">
        <v>1650.099976</v>
      </c>
      <c r="X452" s="91">
        <v>1642.150024</v>
      </c>
      <c r="Y452" s="91">
        <v>1546.059448</v>
      </c>
      <c r="Z452" s="91">
        <v>9401255</v>
      </c>
      <c r="AA452" s="91">
        <v>-1.03E-2</v>
      </c>
      <c r="AB452" s="91"/>
      <c r="AC452" s="90">
        <v>45314</v>
      </c>
      <c r="AD452" s="91">
        <v>3207</v>
      </c>
      <c r="AE452" s="91">
        <v>3164.1499020000001</v>
      </c>
      <c r="AF452" s="91">
        <v>3159.2434079999998</v>
      </c>
      <c r="AG452" s="91">
        <v>344687</v>
      </c>
      <c r="AH452" s="91">
        <v>-1.43E-2</v>
      </c>
      <c r="AI452" s="91"/>
      <c r="AJ452" s="91">
        <f>(F452*'Part 3 Portfolio Analysis'!$B$8+M452*'Part 3 Portfolio Analysis'!$C$8+T452*'Part 3 Portfolio Analysis'!$D$8+AA452*'Part 3 Portfolio Analysis'!$E$8+AH452*'Part 3 Portfolio Analysis'!$F$8)/100</f>
        <v>-2.1016107370418643E-2</v>
      </c>
      <c r="AK452" s="91">
        <f>'Part 3 Portfolio Analysis'!$B$107*F452+M452*'Part 3 Portfolio Analysis'!$C$107+T452*'Part 3 Portfolio Analysis'!$D$107+AA452*'Part 3 Portfolio Analysis'!$E$107+AH452*'Part 3 Portfolio Analysis'!$F$107</f>
        <v>-2.0491799999999998E-2</v>
      </c>
      <c r="AL452" s="91">
        <f>F452*'Part 3 Portfolio Analysis'!$B$121+M452*'Part 3 Portfolio Analysis'!$C$121+'Part 3 Portfolio Analysis'!$D$121*T452+AA452*'Part 3 Portfolio Analysis'!$E$121+'Part 3 Portfolio Analysis'!$F$121*AH452</f>
        <v>-2.3449579999999998E-2</v>
      </c>
      <c r="AM452" s="91"/>
      <c r="AN452" s="90">
        <v>45314</v>
      </c>
      <c r="AO452" s="91">
        <v>21716.699219999999</v>
      </c>
      <c r="AP452" s="91">
        <v>21238.800780000001</v>
      </c>
      <c r="AQ452" s="91">
        <v>21238.800780000001</v>
      </c>
      <c r="AR452" s="91">
        <v>449700</v>
      </c>
      <c r="AS452" s="91">
        <v>-1.77E-2</v>
      </c>
    </row>
    <row r="453" spans="1:45" x14ac:dyDescent="0.55000000000000004">
      <c r="A453" s="90">
        <v>45315</v>
      </c>
      <c r="B453" s="91">
        <v>8000</v>
      </c>
      <c r="C453" s="91">
        <v>7768.4501950000003</v>
      </c>
      <c r="D453" s="91">
        <v>7607.3950199999999</v>
      </c>
      <c r="E453" s="91">
        <v>400343</v>
      </c>
      <c r="F453" s="91">
        <v>-5.21E-2</v>
      </c>
      <c r="H453" s="90">
        <v>45315</v>
      </c>
      <c r="I453" s="91">
        <v>1335.224976</v>
      </c>
      <c r="J453" s="91">
        <v>1343.875</v>
      </c>
      <c r="K453" s="91">
        <v>1334.0014650000001</v>
      </c>
      <c r="L453" s="91">
        <v>21919128</v>
      </c>
      <c r="M453" s="91">
        <v>1.15E-2</v>
      </c>
      <c r="O453" s="90">
        <v>45315</v>
      </c>
      <c r="P453" s="91">
        <v>690.125</v>
      </c>
      <c r="Q453" s="91">
        <v>727.95001219999995</v>
      </c>
      <c r="R453" s="91">
        <v>708.56579590000001</v>
      </c>
      <c r="S453" s="91">
        <v>86004404</v>
      </c>
      <c r="T453" s="91">
        <v>0.02</v>
      </c>
      <c r="V453" s="90">
        <v>45315</v>
      </c>
      <c r="W453" s="91">
        <v>1659.900024</v>
      </c>
      <c r="X453" s="91">
        <v>1675.400024</v>
      </c>
      <c r="Y453" s="91">
        <v>1577.3637699999999</v>
      </c>
      <c r="Z453" s="91">
        <v>8999681</v>
      </c>
      <c r="AA453" s="91">
        <v>2.0199999999999999E-2</v>
      </c>
      <c r="AB453" s="91"/>
      <c r="AC453" s="90">
        <v>45315</v>
      </c>
      <c r="AD453" s="91">
        <v>3164.1000979999999</v>
      </c>
      <c r="AE453" s="91">
        <v>3222.75</v>
      </c>
      <c r="AF453" s="91">
        <v>3217.7526859999998</v>
      </c>
      <c r="AG453" s="91">
        <v>339968</v>
      </c>
      <c r="AH453" s="91">
        <v>1.8499999999999999E-2</v>
      </c>
      <c r="AI453" s="91"/>
      <c r="AJ453" s="91">
        <f>(F453*'Part 3 Portfolio Analysis'!$B$8+M453*'Part 3 Portfolio Analysis'!$C$8+T453*'Part 3 Portfolio Analysis'!$D$8+AA453*'Part 3 Portfolio Analysis'!$E$8+AH453*'Part 3 Portfolio Analysis'!$F$8)/100</f>
        <v>-4.6935548106138199E-3</v>
      </c>
      <c r="AK453" s="91">
        <f>'Part 3 Portfolio Analysis'!$B$107*F453+M453*'Part 3 Portfolio Analysis'!$C$107+T453*'Part 3 Portfolio Analysis'!$D$107+AA453*'Part 3 Portfolio Analysis'!$E$107+AH453*'Part 3 Portfolio Analysis'!$F$107</f>
        <v>4.0035000000000001E-3</v>
      </c>
      <c r="AL453" s="91">
        <f>F453*'Part 3 Portfolio Analysis'!$B$121+M453*'Part 3 Portfolio Analysis'!$C$121+'Part 3 Portfolio Analysis'!$D$121*T453+AA453*'Part 3 Portfolio Analysis'!$E$121+'Part 3 Portfolio Analysis'!$F$121*AH453</f>
        <v>1.050748E-2</v>
      </c>
      <c r="AM453" s="91"/>
      <c r="AN453" s="90">
        <v>45315</v>
      </c>
      <c r="AO453" s="91">
        <v>21185.25</v>
      </c>
      <c r="AP453" s="91">
        <v>21453.949219999999</v>
      </c>
      <c r="AQ453" s="91">
        <v>21453.949219999999</v>
      </c>
      <c r="AR453" s="91">
        <v>407500</v>
      </c>
      <c r="AS453" s="91">
        <v>1.01E-2</v>
      </c>
    </row>
    <row r="454" spans="1:45" x14ac:dyDescent="0.55000000000000004">
      <c r="A454" s="90">
        <v>45316</v>
      </c>
      <c r="B454" s="91">
        <v>7952.4501950000003</v>
      </c>
      <c r="C454" s="91">
        <v>7667.1499020000001</v>
      </c>
      <c r="D454" s="91">
        <v>7508.1948240000002</v>
      </c>
      <c r="E454" s="91">
        <v>184113</v>
      </c>
      <c r="F454" s="91">
        <v>-1.2999999999999999E-2</v>
      </c>
      <c r="H454" s="90">
        <v>45316</v>
      </c>
      <c r="I454" s="91">
        <v>1342.9499510000001</v>
      </c>
      <c r="J454" s="91">
        <v>1353.0749510000001</v>
      </c>
      <c r="K454" s="91">
        <v>1343.133789</v>
      </c>
      <c r="L454" s="91">
        <v>11808872</v>
      </c>
      <c r="M454" s="91">
        <v>6.7999999999999996E-3</v>
      </c>
      <c r="O454" s="90">
        <v>45316</v>
      </c>
      <c r="P454" s="91">
        <v>726.25</v>
      </c>
      <c r="Q454" s="91">
        <v>717.45001219999995</v>
      </c>
      <c r="R454" s="91">
        <v>698.34539789999997</v>
      </c>
      <c r="S454" s="91">
        <v>98941852</v>
      </c>
      <c r="T454" s="91">
        <v>-1.44E-2</v>
      </c>
      <c r="V454" s="90">
        <v>45316</v>
      </c>
      <c r="W454" s="91">
        <v>1672.9499510000001</v>
      </c>
      <c r="X454" s="91">
        <v>1669.099976</v>
      </c>
      <c r="Y454" s="91">
        <v>1571.4323730000001</v>
      </c>
      <c r="Z454" s="91">
        <v>8865304</v>
      </c>
      <c r="AA454" s="91">
        <v>-3.8E-3</v>
      </c>
      <c r="AB454" s="91"/>
      <c r="AC454" s="90">
        <v>45316</v>
      </c>
      <c r="AD454" s="91">
        <v>3223.0500489999999</v>
      </c>
      <c r="AE454" s="91">
        <v>3231.8000489999999</v>
      </c>
      <c r="AF454" s="91">
        <v>3226.788818</v>
      </c>
      <c r="AG454" s="91">
        <v>489321</v>
      </c>
      <c r="AH454" s="91">
        <v>2.8E-3</v>
      </c>
      <c r="AI454" s="91"/>
      <c r="AJ454" s="91">
        <f>(F454*'Part 3 Portfolio Analysis'!$B$8+M454*'Part 3 Portfolio Analysis'!$C$8+T454*'Part 3 Portfolio Analysis'!$D$8+AA454*'Part 3 Portfolio Analysis'!$E$8+AH454*'Part 3 Portfolio Analysis'!$F$8)/100</f>
        <v>-4.4214194772717701E-3</v>
      </c>
      <c r="AK454" s="91">
        <f>'Part 3 Portfolio Analysis'!$B$107*F454+M454*'Part 3 Portfolio Analysis'!$C$107+T454*'Part 3 Portfolio Analysis'!$D$107+AA454*'Part 3 Portfolio Analysis'!$E$107+AH454*'Part 3 Portfolio Analysis'!$F$107</f>
        <v>-2.1180000000000001E-3</v>
      </c>
      <c r="AL454" s="91">
        <f>F454*'Part 3 Portfolio Analysis'!$B$121+M454*'Part 3 Portfolio Analysis'!$C$121+'Part 3 Portfolio Analysis'!$D$121*T454+AA454*'Part 3 Portfolio Analysis'!$E$121+'Part 3 Portfolio Analysis'!$F$121*AH454</f>
        <v>-2.8187599999999996E-3</v>
      </c>
      <c r="AM454" s="91"/>
      <c r="AN454" s="90">
        <v>45316</v>
      </c>
      <c r="AO454" s="91">
        <v>21454.599610000001</v>
      </c>
      <c r="AP454" s="91">
        <v>21352.599610000001</v>
      </c>
      <c r="AQ454" s="91">
        <v>21352.599610000001</v>
      </c>
      <c r="AR454" s="91">
        <v>418100</v>
      </c>
      <c r="AS454" s="91">
        <v>-4.7000000000000002E-3</v>
      </c>
    </row>
    <row r="455" spans="1:45" x14ac:dyDescent="0.55000000000000004">
      <c r="A455" s="90">
        <v>45320</v>
      </c>
      <c r="B455" s="91">
        <v>7677</v>
      </c>
      <c r="C455" s="91">
        <v>7694</v>
      </c>
      <c r="D455" s="91">
        <v>7534.4882809999999</v>
      </c>
      <c r="E455" s="91">
        <v>100972</v>
      </c>
      <c r="F455" s="91">
        <v>3.5000000000000001E-3</v>
      </c>
      <c r="H455" s="90">
        <v>45320</v>
      </c>
      <c r="I455" s="91">
        <v>1364.5</v>
      </c>
      <c r="J455" s="91">
        <v>1448.0500489999999</v>
      </c>
      <c r="K455" s="91">
        <v>1437.4111330000001</v>
      </c>
      <c r="L455" s="91">
        <v>23893438</v>
      </c>
      <c r="M455" s="91">
        <v>7.0199999999999999E-2</v>
      </c>
      <c r="O455" s="90">
        <v>45320</v>
      </c>
      <c r="P455" s="91">
        <v>724.02502440000001</v>
      </c>
      <c r="Q455" s="91">
        <v>727.32501219999995</v>
      </c>
      <c r="R455" s="91">
        <v>707.95739749999996</v>
      </c>
      <c r="S455" s="91">
        <v>65645498</v>
      </c>
      <c r="T455" s="91">
        <v>1.38E-2</v>
      </c>
      <c r="V455" s="90">
        <v>45320</v>
      </c>
      <c r="W455" s="91">
        <v>1665.150024</v>
      </c>
      <c r="X455" s="91">
        <v>1656.599976</v>
      </c>
      <c r="Y455" s="91">
        <v>1559.6639399999999</v>
      </c>
      <c r="Z455" s="91">
        <v>4253785</v>
      </c>
      <c r="AA455" s="91">
        <v>-7.4999999999999997E-3</v>
      </c>
      <c r="AB455" s="91"/>
      <c r="AC455" s="90">
        <v>45320</v>
      </c>
      <c r="AD455" s="91">
        <v>3248</v>
      </c>
      <c r="AE455" s="91">
        <v>3246.3999020000001</v>
      </c>
      <c r="AF455" s="91">
        <v>3241.3659670000002</v>
      </c>
      <c r="AG455" s="91">
        <v>604096</v>
      </c>
      <c r="AH455" s="91">
        <v>4.4999999999999997E-3</v>
      </c>
      <c r="AI455" s="91"/>
      <c r="AJ455" s="91">
        <f>(F455*'Part 3 Portfolio Analysis'!$B$8+M455*'Part 3 Portfolio Analysis'!$C$8+T455*'Part 3 Portfolio Analysis'!$D$8+AA455*'Part 3 Portfolio Analysis'!$E$8+AH455*'Part 3 Portfolio Analysis'!$F$8)/100</f>
        <v>2.7635100004795139E-2</v>
      </c>
      <c r="AK455" s="91">
        <f>'Part 3 Portfolio Analysis'!$B$107*F455+M455*'Part 3 Portfolio Analysis'!$C$107+T455*'Part 3 Portfolio Analysis'!$D$107+AA455*'Part 3 Portfolio Analysis'!$E$107+AH455*'Part 3 Portfolio Analysis'!$F$107</f>
        <v>2.5125599999999994E-2</v>
      </c>
      <c r="AL455" s="91">
        <f>F455*'Part 3 Portfolio Analysis'!$B$121+M455*'Part 3 Portfolio Analysis'!$C$121+'Part 3 Portfolio Analysis'!$D$121*T455+AA455*'Part 3 Portfolio Analysis'!$E$121+'Part 3 Portfolio Analysis'!$F$121*AH455</f>
        <v>3.211511999999999E-2</v>
      </c>
      <c r="AM455" s="91"/>
      <c r="AN455" s="90">
        <v>45320</v>
      </c>
      <c r="AO455" s="91">
        <v>21433.099610000001</v>
      </c>
      <c r="AP455" s="91">
        <v>21737.599610000001</v>
      </c>
      <c r="AQ455" s="91">
        <v>21737.599610000001</v>
      </c>
      <c r="AR455" s="91">
        <v>376700</v>
      </c>
      <c r="AS455" s="91">
        <v>1.7999999999999999E-2</v>
      </c>
    </row>
    <row r="456" spans="1:45" x14ac:dyDescent="0.55000000000000004">
      <c r="A456" s="90">
        <v>45321</v>
      </c>
      <c r="B456" s="91">
        <v>7721</v>
      </c>
      <c r="C456" s="91">
        <v>7594.7998049999997</v>
      </c>
      <c r="D456" s="91">
        <v>7437.3447269999997</v>
      </c>
      <c r="E456" s="91">
        <v>135861</v>
      </c>
      <c r="F456" s="91">
        <v>-1.29E-2</v>
      </c>
      <c r="H456" s="90">
        <v>45321</v>
      </c>
      <c r="I456" s="91">
        <v>1459.9499510000001</v>
      </c>
      <c r="J456" s="91">
        <v>1407.625</v>
      </c>
      <c r="K456" s="91">
        <v>1397.283081</v>
      </c>
      <c r="L456" s="91">
        <v>14093978</v>
      </c>
      <c r="M456" s="91">
        <v>-2.7900000000000001E-2</v>
      </c>
      <c r="O456" s="90">
        <v>45321</v>
      </c>
      <c r="P456" s="91">
        <v>727.27502440000001</v>
      </c>
      <c r="Q456" s="91">
        <v>722.15002440000001</v>
      </c>
      <c r="R456" s="91">
        <v>702.92022710000003</v>
      </c>
      <c r="S456" s="91">
        <v>41728768</v>
      </c>
      <c r="T456" s="91">
        <v>-7.1000000000000004E-3</v>
      </c>
      <c r="V456" s="90">
        <v>45321</v>
      </c>
      <c r="W456" s="91">
        <v>1662.4499510000001</v>
      </c>
      <c r="X456" s="91">
        <v>1651.4499510000001</v>
      </c>
      <c r="Y456" s="91">
        <v>1554.815063</v>
      </c>
      <c r="Z456" s="91">
        <v>4995943</v>
      </c>
      <c r="AA456" s="91">
        <v>-3.0999999999999999E-3</v>
      </c>
      <c r="AB456" s="91"/>
      <c r="AC456" s="90">
        <v>45321</v>
      </c>
      <c r="AD456" s="91">
        <v>3263</v>
      </c>
      <c r="AE456" s="91">
        <v>3054.9499510000001</v>
      </c>
      <c r="AF456" s="91">
        <v>3050.2128910000001</v>
      </c>
      <c r="AG456" s="91">
        <v>1206541</v>
      </c>
      <c r="AH456" s="91">
        <v>-5.8999999999999997E-2</v>
      </c>
      <c r="AI456" s="91"/>
      <c r="AJ456" s="91">
        <f>(F456*'Part 3 Portfolio Analysis'!$B$8+M456*'Part 3 Portfolio Analysis'!$C$8+T456*'Part 3 Portfolio Analysis'!$D$8+AA456*'Part 3 Portfolio Analysis'!$E$8+AH456*'Part 3 Portfolio Analysis'!$F$8)/100</f>
        <v>-1.6243102158248292E-2</v>
      </c>
      <c r="AK456" s="91">
        <f>'Part 3 Portfolio Analysis'!$B$107*F456+M456*'Part 3 Portfolio Analysis'!$C$107+T456*'Part 3 Portfolio Analysis'!$D$107+AA456*'Part 3 Portfolio Analysis'!$E$107+AH456*'Part 3 Portfolio Analysis'!$F$107</f>
        <v>-2.7333200000000002E-2</v>
      </c>
      <c r="AL456" s="91">
        <f>F456*'Part 3 Portfolio Analysis'!$B$121+M456*'Part 3 Portfolio Analysis'!$C$121+'Part 3 Portfolio Analysis'!$D$121*T456+AA456*'Part 3 Portfolio Analysis'!$E$121+'Part 3 Portfolio Analysis'!$F$121*AH456</f>
        <v>-1.6864219999999999E-2</v>
      </c>
      <c r="AM456" s="91"/>
      <c r="AN456" s="90">
        <v>45321</v>
      </c>
      <c r="AO456" s="91">
        <v>21775.75</v>
      </c>
      <c r="AP456" s="91">
        <v>21522.099610000001</v>
      </c>
      <c r="AQ456" s="91">
        <v>21522.099610000001</v>
      </c>
      <c r="AR456" s="91">
        <v>375100</v>
      </c>
      <c r="AS456" s="91">
        <v>-9.9000000000000008E-3</v>
      </c>
    </row>
    <row r="457" spans="1:45" x14ac:dyDescent="0.55000000000000004">
      <c r="A457" s="90">
        <v>45322</v>
      </c>
      <c r="B457" s="91">
        <v>7600</v>
      </c>
      <c r="C457" s="91">
        <v>7605.1499020000001</v>
      </c>
      <c r="D457" s="91">
        <v>7447.4804690000001</v>
      </c>
      <c r="E457" s="91">
        <v>141141</v>
      </c>
      <c r="F457" s="91">
        <v>1.4E-3</v>
      </c>
      <c r="H457" s="90">
        <v>45322</v>
      </c>
      <c r="I457" s="91">
        <v>1404</v>
      </c>
      <c r="J457" s="91">
        <v>1426.625</v>
      </c>
      <c r="K457" s="91">
        <v>1416.143433</v>
      </c>
      <c r="L457" s="91">
        <v>15130226</v>
      </c>
      <c r="M457" s="91">
        <v>1.35E-2</v>
      </c>
      <c r="O457" s="90">
        <v>45322</v>
      </c>
      <c r="P457" s="91">
        <v>719.75</v>
      </c>
      <c r="Q457" s="91">
        <v>731.27502440000001</v>
      </c>
      <c r="R457" s="91">
        <v>711.80224610000005</v>
      </c>
      <c r="S457" s="91">
        <v>65761040</v>
      </c>
      <c r="T457" s="91">
        <v>1.26E-2</v>
      </c>
      <c r="V457" s="90">
        <v>45322</v>
      </c>
      <c r="W457" s="91">
        <v>1648.25</v>
      </c>
      <c r="X457" s="91">
        <v>1660.900024</v>
      </c>
      <c r="Y457" s="91">
        <v>1563.71228</v>
      </c>
      <c r="Z457" s="91">
        <v>6763779</v>
      </c>
      <c r="AA457" s="91">
        <v>5.7000000000000002E-3</v>
      </c>
      <c r="AB457" s="91"/>
      <c r="AC457" s="90">
        <v>45322</v>
      </c>
      <c r="AD457" s="91">
        <v>3054</v>
      </c>
      <c r="AE457" s="91">
        <v>3086.9499510000001</v>
      </c>
      <c r="AF457" s="91">
        <v>3082.1633299999999</v>
      </c>
      <c r="AG457" s="91">
        <v>986931</v>
      </c>
      <c r="AH457" s="91">
        <v>1.0500000000000001E-2</v>
      </c>
      <c r="AI457" s="91"/>
      <c r="AJ457" s="91">
        <f>(F457*'Part 3 Portfolio Analysis'!$B$8+M457*'Part 3 Portfolio Analysis'!$C$8+T457*'Part 3 Portfolio Analysis'!$D$8+AA457*'Part 3 Portfolio Analysis'!$E$8+AH457*'Part 3 Portfolio Analysis'!$F$8)/100</f>
        <v>8.4352659340276095E-3</v>
      </c>
      <c r="AK457" s="91">
        <f>'Part 3 Portfolio Analysis'!$B$107*F457+M457*'Part 3 Portfolio Analysis'!$C$107+T457*'Part 3 Portfolio Analysis'!$D$107+AA457*'Part 3 Portfolio Analysis'!$E$107+AH457*'Part 3 Portfolio Analysis'!$F$107</f>
        <v>9.6465000000000006E-3</v>
      </c>
      <c r="AL457" s="91">
        <f>F457*'Part 3 Portfolio Analysis'!$B$121+M457*'Part 3 Portfolio Analysis'!$C$121+'Part 3 Portfolio Analysis'!$D$121*T457+AA457*'Part 3 Portfolio Analysis'!$E$121+'Part 3 Portfolio Analysis'!$F$121*AH457</f>
        <v>1.0621980000000001E-2</v>
      </c>
      <c r="AM457" s="91"/>
      <c r="AN457" s="90">
        <v>45322</v>
      </c>
      <c r="AO457" s="91">
        <v>21487.25</v>
      </c>
      <c r="AP457" s="91">
        <v>21725.699219999999</v>
      </c>
      <c r="AQ457" s="91">
        <v>21725.699219999999</v>
      </c>
      <c r="AR457" s="91">
        <v>410600</v>
      </c>
      <c r="AS457" s="91">
        <v>9.4999999999999998E-3</v>
      </c>
    </row>
    <row r="458" spans="1:45" x14ac:dyDescent="0.55000000000000004">
      <c r="A458" s="90">
        <v>45323</v>
      </c>
      <c r="B458" s="91">
        <v>7610</v>
      </c>
      <c r="C458" s="91">
        <v>7640.8999020000001</v>
      </c>
      <c r="D458" s="91">
        <v>7482.4892579999996</v>
      </c>
      <c r="E458" s="91">
        <v>81838</v>
      </c>
      <c r="F458" s="91">
        <v>4.7000000000000002E-3</v>
      </c>
      <c r="H458" s="90">
        <v>45323</v>
      </c>
      <c r="I458" s="91">
        <v>1435</v>
      </c>
      <c r="J458" s="91">
        <v>1426.650024</v>
      </c>
      <c r="K458" s="91">
        <v>1416.1683350000001</v>
      </c>
      <c r="L458" s="91">
        <v>13349362</v>
      </c>
      <c r="M458" s="91">
        <v>0</v>
      </c>
      <c r="O458" s="90">
        <v>45323</v>
      </c>
      <c r="P458" s="91">
        <v>732.52502440000001</v>
      </c>
      <c r="Q458" s="91">
        <v>733.17498780000005</v>
      </c>
      <c r="R458" s="91">
        <v>713.65161130000001</v>
      </c>
      <c r="S458" s="91">
        <v>32690740</v>
      </c>
      <c r="T458" s="91">
        <v>2.5999999999999999E-3</v>
      </c>
      <c r="V458" s="90">
        <v>45323</v>
      </c>
      <c r="W458" s="91">
        <v>1659.5500489999999</v>
      </c>
      <c r="X458" s="91">
        <v>1657.0500489999999</v>
      </c>
      <c r="Y458" s="91">
        <v>1560.087524</v>
      </c>
      <c r="Z458" s="91">
        <v>5760011</v>
      </c>
      <c r="AA458" s="91">
        <v>-2.3E-3</v>
      </c>
      <c r="AB458" s="91"/>
      <c r="AC458" s="90">
        <v>45323</v>
      </c>
      <c r="AD458" s="91">
        <v>3089</v>
      </c>
      <c r="AE458" s="91">
        <v>3102.8000489999999</v>
      </c>
      <c r="AF458" s="91">
        <v>3097.9887699999999</v>
      </c>
      <c r="AG458" s="91">
        <v>742113</v>
      </c>
      <c r="AH458" s="91">
        <v>5.1000000000000004E-3</v>
      </c>
      <c r="AI458" s="91"/>
      <c r="AJ458" s="91">
        <f>(F458*'Part 3 Portfolio Analysis'!$B$8+M458*'Part 3 Portfolio Analysis'!$C$8+T458*'Part 3 Portfolio Analysis'!$D$8+AA458*'Part 3 Portfolio Analysis'!$E$8+AH458*'Part 3 Portfolio Analysis'!$F$8)/100</f>
        <v>1.523411154073616E-3</v>
      </c>
      <c r="AK458" s="91">
        <f>'Part 3 Portfolio Analysis'!$B$107*F458+M458*'Part 3 Portfolio Analysis'!$C$107+T458*'Part 3 Portfolio Analysis'!$D$107+AA458*'Part 3 Portfolio Analysis'!$E$107+AH458*'Part 3 Portfolio Analysis'!$F$107</f>
        <v>2.3042000000000002E-3</v>
      </c>
      <c r="AL458" s="91">
        <f>F458*'Part 3 Portfolio Analysis'!$B$121+M458*'Part 3 Portfolio Analysis'!$C$121+'Part 3 Portfolio Analysis'!$D$121*T458+AA458*'Part 3 Portfolio Analysis'!$E$121+'Part 3 Portfolio Analysis'!$F$121*AH458</f>
        <v>7.6716000000000002E-4</v>
      </c>
      <c r="AM458" s="91"/>
      <c r="AN458" s="90">
        <v>45323</v>
      </c>
      <c r="AO458" s="91">
        <v>21780.650389999999</v>
      </c>
      <c r="AP458" s="91">
        <v>21697.449219999999</v>
      </c>
      <c r="AQ458" s="91">
        <v>21697.449219999999</v>
      </c>
      <c r="AR458" s="91">
        <v>332500</v>
      </c>
      <c r="AS458" s="91">
        <v>-1.2999999999999999E-3</v>
      </c>
    </row>
    <row r="459" spans="1:45" x14ac:dyDescent="0.55000000000000004">
      <c r="A459" s="90">
        <v>45324</v>
      </c>
      <c r="B459" s="91">
        <v>7695</v>
      </c>
      <c r="C459" s="91">
        <v>7641</v>
      </c>
      <c r="D459" s="91">
        <v>7482.5869140000004</v>
      </c>
      <c r="E459" s="91">
        <v>102021</v>
      </c>
      <c r="F459" s="91">
        <v>0</v>
      </c>
      <c r="H459" s="90">
        <v>45324</v>
      </c>
      <c r="I459" s="91">
        <v>1433.1750489999999</v>
      </c>
      <c r="J459" s="91">
        <v>1457.6999510000001</v>
      </c>
      <c r="K459" s="91">
        <v>1446.9902340000001</v>
      </c>
      <c r="L459" s="91">
        <v>19652588</v>
      </c>
      <c r="M459" s="91">
        <v>2.18E-2</v>
      </c>
      <c r="O459" s="90">
        <v>45324</v>
      </c>
      <c r="P459" s="91">
        <v>737.5</v>
      </c>
      <c r="Q459" s="91">
        <v>723.07501219999995</v>
      </c>
      <c r="R459" s="91">
        <v>703.82061769999996</v>
      </c>
      <c r="S459" s="91">
        <v>44867754</v>
      </c>
      <c r="T459" s="91">
        <v>-1.38E-2</v>
      </c>
      <c r="V459" s="90">
        <v>45324</v>
      </c>
      <c r="W459" s="91">
        <v>1666.0500489999999</v>
      </c>
      <c r="X459" s="91">
        <v>1693.349976</v>
      </c>
      <c r="Y459" s="91">
        <v>1594.2633060000001</v>
      </c>
      <c r="Z459" s="91">
        <v>7858483</v>
      </c>
      <c r="AA459" s="91">
        <v>2.1899999999999999E-2</v>
      </c>
      <c r="AB459" s="91"/>
      <c r="AC459" s="90">
        <v>45324</v>
      </c>
      <c r="AD459" s="91">
        <v>3130</v>
      </c>
      <c r="AE459" s="91">
        <v>3126.0500489999999</v>
      </c>
      <c r="AF459" s="91">
        <v>3121.2026369999999</v>
      </c>
      <c r="AG459" s="91">
        <v>892545</v>
      </c>
      <c r="AH459" s="91">
        <v>7.4999999999999997E-3</v>
      </c>
      <c r="AI459" s="91"/>
      <c r="AJ459" s="91">
        <f>(F459*'Part 3 Portfolio Analysis'!$B$8+M459*'Part 3 Portfolio Analysis'!$C$8+T459*'Part 3 Portfolio Analysis'!$D$8+AA459*'Part 3 Portfolio Analysis'!$E$8+AH459*'Part 3 Portfolio Analysis'!$F$8)/100</f>
        <v>9.1977987872658533E-3</v>
      </c>
      <c r="AK459" s="91">
        <f>'Part 3 Portfolio Analysis'!$B$107*F459+M459*'Part 3 Portfolio Analysis'!$C$107+T459*'Part 3 Portfolio Analysis'!$D$107+AA459*'Part 3 Portfolio Analysis'!$E$107+AH459*'Part 3 Portfolio Analysis'!$F$107</f>
        <v>8.7644000000000003E-3</v>
      </c>
      <c r="AL459" s="91">
        <f>F459*'Part 3 Portfolio Analysis'!$B$121+M459*'Part 3 Portfolio Analysis'!$C$121+'Part 3 Portfolio Analysis'!$D$121*T459+AA459*'Part 3 Portfolio Analysis'!$E$121+'Part 3 Portfolio Analysis'!$F$121*AH459</f>
        <v>9.9701800000000004E-3</v>
      </c>
      <c r="AM459" s="91"/>
      <c r="AN459" s="90">
        <v>45324</v>
      </c>
      <c r="AO459" s="91">
        <v>21812.75</v>
      </c>
      <c r="AP459" s="91">
        <v>21853.800780000001</v>
      </c>
      <c r="AQ459" s="91">
        <v>21853.800780000001</v>
      </c>
      <c r="AR459" s="91">
        <v>442800</v>
      </c>
      <c r="AS459" s="91">
        <v>7.1999999999999998E-3</v>
      </c>
    </row>
    <row r="460" spans="1:45" x14ac:dyDescent="0.55000000000000004">
      <c r="A460" s="90">
        <v>45327</v>
      </c>
      <c r="B460" s="91">
        <v>7641.0498049999997</v>
      </c>
      <c r="C460" s="91">
        <v>7601</v>
      </c>
      <c r="D460" s="91">
        <v>7443.4165039999998</v>
      </c>
      <c r="E460" s="91">
        <v>82526</v>
      </c>
      <c r="F460" s="91">
        <v>-5.1999999999999998E-3</v>
      </c>
      <c r="H460" s="90">
        <v>45327</v>
      </c>
      <c r="I460" s="91">
        <v>1460.75</v>
      </c>
      <c r="J460" s="91">
        <v>1439.025024</v>
      </c>
      <c r="K460" s="91">
        <v>1428.452393</v>
      </c>
      <c r="L460" s="91">
        <v>8814432</v>
      </c>
      <c r="M460" s="91">
        <v>-1.2800000000000001E-2</v>
      </c>
      <c r="O460" s="90">
        <v>45327</v>
      </c>
      <c r="P460" s="91">
        <v>723</v>
      </c>
      <c r="Q460" s="91">
        <v>722.42498780000005</v>
      </c>
      <c r="R460" s="91">
        <v>703.18792719999999</v>
      </c>
      <c r="S460" s="91">
        <v>38605046</v>
      </c>
      <c r="T460" s="91">
        <v>-8.9999999999999998E-4</v>
      </c>
      <c r="V460" s="90">
        <v>45327</v>
      </c>
      <c r="W460" s="91">
        <v>1694.75</v>
      </c>
      <c r="X460" s="91">
        <v>1687.1999510000001</v>
      </c>
      <c r="Y460" s="91">
        <v>1588.4732670000001</v>
      </c>
      <c r="Z460" s="91">
        <v>3634135</v>
      </c>
      <c r="AA460" s="91">
        <v>-3.5999999999999999E-3</v>
      </c>
      <c r="AB460" s="91"/>
      <c r="AC460" s="90">
        <v>45327</v>
      </c>
      <c r="AD460" s="91">
        <v>3175</v>
      </c>
      <c r="AE460" s="91">
        <v>3027.1499020000001</v>
      </c>
      <c r="AF460" s="91">
        <v>3022.4560550000001</v>
      </c>
      <c r="AG460" s="91">
        <v>808544</v>
      </c>
      <c r="AH460" s="91">
        <v>-3.1600000000000003E-2</v>
      </c>
      <c r="AI460" s="91"/>
      <c r="AJ460" s="91">
        <f>(F460*'Part 3 Portfolio Analysis'!$B$8+M460*'Part 3 Portfolio Analysis'!$C$8+T460*'Part 3 Portfolio Analysis'!$D$8+AA460*'Part 3 Portfolio Analysis'!$E$8+AH460*'Part 3 Portfolio Analysis'!$F$8)/100</f>
        <v>-7.2380836417479302E-3</v>
      </c>
      <c r="AK460" s="91">
        <f>'Part 3 Portfolio Analysis'!$B$107*F460+M460*'Part 3 Portfolio Analysis'!$C$107+T460*'Part 3 Portfolio Analysis'!$D$107+AA460*'Part 3 Portfolio Analysis'!$E$107+AH460*'Part 3 Portfolio Analysis'!$F$107</f>
        <v>-1.34051E-2</v>
      </c>
      <c r="AL460" s="91">
        <f>F460*'Part 3 Portfolio Analysis'!$B$121+M460*'Part 3 Portfolio Analysis'!$C$121+'Part 3 Portfolio Analysis'!$D$121*T460+AA460*'Part 3 Portfolio Analysis'!$E$121+'Part 3 Portfolio Analysis'!$F$121*AH460</f>
        <v>-7.5910400000000003E-3</v>
      </c>
      <c r="AM460" s="91"/>
      <c r="AN460" s="90">
        <v>45327</v>
      </c>
      <c r="AO460" s="91">
        <v>21921.050780000001</v>
      </c>
      <c r="AP460" s="91">
        <v>21771.699219999999</v>
      </c>
      <c r="AQ460" s="91">
        <v>21771.699219999999</v>
      </c>
      <c r="AR460" s="91">
        <v>440800</v>
      </c>
      <c r="AS460" s="91">
        <v>-3.8E-3</v>
      </c>
    </row>
    <row r="461" spans="1:45" x14ac:dyDescent="0.55000000000000004">
      <c r="A461" s="90">
        <v>45328</v>
      </c>
      <c r="B461" s="91">
        <v>7697.9501950000003</v>
      </c>
      <c r="C461" s="91">
        <v>7721.7998049999997</v>
      </c>
      <c r="D461" s="91">
        <v>7561.7119140000004</v>
      </c>
      <c r="E461" s="91">
        <v>154874</v>
      </c>
      <c r="F461" s="91">
        <v>1.5900000000000001E-2</v>
      </c>
      <c r="H461" s="90">
        <v>45328</v>
      </c>
      <c r="I461" s="91">
        <v>1441.849976</v>
      </c>
      <c r="J461" s="91">
        <v>1427.8000489999999</v>
      </c>
      <c r="K461" s="91">
        <v>1417.309937</v>
      </c>
      <c r="L461" s="91">
        <v>9047984</v>
      </c>
      <c r="M461" s="91">
        <v>-7.7999999999999996E-3</v>
      </c>
      <c r="O461" s="90">
        <v>45328</v>
      </c>
      <c r="P461" s="91">
        <v>722.77502440000001</v>
      </c>
      <c r="Q461" s="91">
        <v>722.04998780000005</v>
      </c>
      <c r="R461" s="91">
        <v>702.82287599999995</v>
      </c>
      <c r="S461" s="91">
        <v>41075740</v>
      </c>
      <c r="T461" s="91">
        <v>-5.0000000000000001E-4</v>
      </c>
      <c r="V461" s="90">
        <v>45328</v>
      </c>
      <c r="W461" s="91">
        <v>1686.75</v>
      </c>
      <c r="X461" s="91">
        <v>1729.4499510000001</v>
      </c>
      <c r="Y461" s="91">
        <v>1628.2508539999999</v>
      </c>
      <c r="Z461" s="91">
        <v>7694265</v>
      </c>
      <c r="AA461" s="91">
        <v>2.5000000000000001E-2</v>
      </c>
      <c r="AB461" s="91"/>
      <c r="AC461" s="90">
        <v>45328</v>
      </c>
      <c r="AD461" s="91">
        <v>3025</v>
      </c>
      <c r="AE461" s="91">
        <v>3035</v>
      </c>
      <c r="AF461" s="91">
        <v>3030.2939449999999</v>
      </c>
      <c r="AG461" s="91">
        <v>718388</v>
      </c>
      <c r="AH461" s="91">
        <v>2.5999999999999999E-3</v>
      </c>
      <c r="AI461" s="91"/>
      <c r="AJ461" s="91">
        <f>(F461*'Part 3 Portfolio Analysis'!$B$8+M461*'Part 3 Portfolio Analysis'!$C$8+T461*'Part 3 Portfolio Analysis'!$D$8+AA461*'Part 3 Portfolio Analysis'!$E$8+AH461*'Part 3 Portfolio Analysis'!$F$8)/100</f>
        <v>5.9079992124348125E-3</v>
      </c>
      <c r="AK461" s="91">
        <f>'Part 3 Portfolio Analysis'!$B$107*F461+M461*'Part 3 Portfolio Analysis'!$C$107+T461*'Part 3 Portfolio Analysis'!$D$107+AA461*'Part 3 Portfolio Analysis'!$E$107+AH461*'Part 3 Portfolio Analysis'!$F$107</f>
        <v>3.4983000000000006E-3</v>
      </c>
      <c r="AL461" s="91">
        <f>F461*'Part 3 Portfolio Analysis'!$B$121+M461*'Part 3 Portfolio Analysis'!$C$121+'Part 3 Portfolio Analysis'!$D$121*T461+AA461*'Part 3 Portfolio Analysis'!$E$121+'Part 3 Portfolio Analysis'!$F$121*AH461</f>
        <v>2.9662200000000016E-3</v>
      </c>
      <c r="AM461" s="91"/>
      <c r="AN461" s="90">
        <v>45328</v>
      </c>
      <c r="AO461" s="91">
        <v>21825.199219999999</v>
      </c>
      <c r="AP461" s="91">
        <v>21929.400389999999</v>
      </c>
      <c r="AQ461" s="91">
        <v>21929.400389999999</v>
      </c>
      <c r="AR461" s="91">
        <v>371000</v>
      </c>
      <c r="AS461" s="91">
        <v>7.1999999999999998E-3</v>
      </c>
    </row>
    <row r="462" spans="1:45" x14ac:dyDescent="0.55000000000000004">
      <c r="A462" s="90">
        <v>45329</v>
      </c>
      <c r="B462" s="91">
        <v>7800</v>
      </c>
      <c r="C462" s="91">
        <v>7790.1499020000001</v>
      </c>
      <c r="D462" s="91">
        <v>7628.6450199999999</v>
      </c>
      <c r="E462" s="91">
        <v>76592</v>
      </c>
      <c r="F462" s="91">
        <v>8.8999999999999999E-3</v>
      </c>
      <c r="H462" s="90">
        <v>45329</v>
      </c>
      <c r="I462" s="91">
        <v>1435.9250489999999</v>
      </c>
      <c r="J462" s="91">
        <v>1442.150024</v>
      </c>
      <c r="K462" s="91">
        <v>1431.554443</v>
      </c>
      <c r="L462" s="91">
        <v>9296568</v>
      </c>
      <c r="M462" s="91">
        <v>1.01E-2</v>
      </c>
      <c r="O462" s="90">
        <v>45329</v>
      </c>
      <c r="P462" s="91">
        <v>726.5</v>
      </c>
      <c r="Q462" s="91">
        <v>714.97497559999999</v>
      </c>
      <c r="R462" s="91">
        <v>695.93621829999995</v>
      </c>
      <c r="S462" s="91">
        <v>54837086</v>
      </c>
      <c r="T462" s="91">
        <v>-9.7999999999999997E-3</v>
      </c>
      <c r="V462" s="90">
        <v>45329</v>
      </c>
      <c r="W462" s="91">
        <v>1729</v>
      </c>
      <c r="X462" s="91">
        <v>1693.75</v>
      </c>
      <c r="Y462" s="91">
        <v>1594.639893</v>
      </c>
      <c r="Z462" s="91">
        <v>4613877</v>
      </c>
      <c r="AA462" s="91">
        <v>-2.06E-2</v>
      </c>
      <c r="AB462" s="91"/>
      <c r="AC462" s="90">
        <v>45329</v>
      </c>
      <c r="AD462" s="91">
        <v>3080</v>
      </c>
      <c r="AE462" s="91">
        <v>3607.5</v>
      </c>
      <c r="AF462" s="91">
        <v>3601.90625</v>
      </c>
      <c r="AG462" s="91">
        <v>5846891</v>
      </c>
      <c r="AH462" s="91">
        <v>0.18859999999999999</v>
      </c>
      <c r="AI462" s="91"/>
      <c r="AJ462" s="91">
        <f>(F462*'Part 3 Portfolio Analysis'!$B$8+M462*'Part 3 Portfolio Analysis'!$C$8+T462*'Part 3 Portfolio Analysis'!$D$8+AA462*'Part 3 Portfolio Analysis'!$E$8+AH462*'Part 3 Portfolio Analysis'!$F$8)/100</f>
        <v>3.2243536952355199E-3</v>
      </c>
      <c r="AK462" s="91">
        <f>'Part 3 Portfolio Analysis'!$B$107*F462+M462*'Part 3 Portfolio Analysis'!$C$107+T462*'Part 3 Portfolio Analysis'!$D$107+AA462*'Part 3 Portfolio Analysis'!$E$107+AH462*'Part 3 Portfolio Analysis'!$F$107</f>
        <v>4.8711499999999998E-2</v>
      </c>
      <c r="AL462" s="91">
        <f>F462*'Part 3 Portfolio Analysis'!$B$121+M462*'Part 3 Portfolio Analysis'!$C$121+'Part 3 Portfolio Analysis'!$D$121*T462+AA462*'Part 3 Portfolio Analysis'!$E$121+'Part 3 Portfolio Analysis'!$F$121*AH462</f>
        <v>3.1252599999999991E-3</v>
      </c>
      <c r="AM462" s="91"/>
      <c r="AN462" s="90">
        <v>45329</v>
      </c>
      <c r="AO462" s="91">
        <v>22045.050780000001</v>
      </c>
      <c r="AP462" s="91">
        <v>21930.5</v>
      </c>
      <c r="AQ462" s="91">
        <v>21930.5</v>
      </c>
      <c r="AR462" s="91">
        <v>346300</v>
      </c>
      <c r="AS462" s="91">
        <v>1E-4</v>
      </c>
    </row>
    <row r="463" spans="1:45" x14ac:dyDescent="0.55000000000000004">
      <c r="A463" s="90">
        <v>45330</v>
      </c>
      <c r="B463" s="91">
        <v>7848</v>
      </c>
      <c r="C463" s="91">
        <v>7726.3999020000001</v>
      </c>
      <c r="D463" s="91">
        <v>7566.216797</v>
      </c>
      <c r="E463" s="91">
        <v>70163</v>
      </c>
      <c r="F463" s="91">
        <v>-8.2000000000000007E-3</v>
      </c>
      <c r="H463" s="90">
        <v>45330</v>
      </c>
      <c r="I463" s="91">
        <v>1450</v>
      </c>
      <c r="J463" s="91">
        <v>1450.125</v>
      </c>
      <c r="K463" s="91">
        <v>1439.4708250000001</v>
      </c>
      <c r="L463" s="91">
        <v>14694634</v>
      </c>
      <c r="M463" s="91">
        <v>5.4999999999999997E-3</v>
      </c>
      <c r="O463" s="90">
        <v>45330</v>
      </c>
      <c r="P463" s="91">
        <v>714.92498780000005</v>
      </c>
      <c r="Q463" s="91">
        <v>701.52502440000001</v>
      </c>
      <c r="R463" s="91">
        <v>682.84442139999999</v>
      </c>
      <c r="S463" s="91">
        <v>69106124</v>
      </c>
      <c r="T463" s="91">
        <v>-1.8800000000000001E-2</v>
      </c>
      <c r="V463" s="90">
        <v>45330</v>
      </c>
      <c r="W463" s="91">
        <v>1698</v>
      </c>
      <c r="X463" s="91">
        <v>1692.099976</v>
      </c>
      <c r="Y463" s="91">
        <v>1593.086548</v>
      </c>
      <c r="Z463" s="91">
        <v>5919715</v>
      </c>
      <c r="AA463" s="91">
        <v>-1E-3</v>
      </c>
      <c r="AB463" s="91"/>
      <c r="AC463" s="90">
        <v>45330</v>
      </c>
      <c r="AD463" s="91">
        <v>3735.3500979999999</v>
      </c>
      <c r="AE463" s="91">
        <v>3841.9499510000001</v>
      </c>
      <c r="AF463" s="91">
        <v>3835.992432</v>
      </c>
      <c r="AG463" s="91">
        <v>7374486</v>
      </c>
      <c r="AH463" s="91">
        <v>6.5000000000000002E-2</v>
      </c>
      <c r="AI463" s="91"/>
      <c r="AJ463" s="91">
        <f>(F463*'Part 3 Portfolio Analysis'!$B$8+M463*'Part 3 Portfolio Analysis'!$C$8+T463*'Part 3 Portfolio Analysis'!$D$8+AA463*'Part 3 Portfolio Analysis'!$E$8+AH463*'Part 3 Portfolio Analysis'!$F$8)/100</f>
        <v>-3.1280878149715858E-3</v>
      </c>
      <c r="AK463" s="91">
        <f>'Part 3 Portfolio Analysis'!$B$107*F463+M463*'Part 3 Portfolio Analysis'!$C$107+T463*'Part 3 Portfolio Analysis'!$D$107+AA463*'Part 3 Portfolio Analysis'!$E$107+AH463*'Part 3 Portfolio Analysis'!$F$107</f>
        <v>1.3611500000000002E-2</v>
      </c>
      <c r="AL463" s="91">
        <f>F463*'Part 3 Portfolio Analysis'!$B$121+M463*'Part 3 Portfolio Analysis'!$C$121+'Part 3 Portfolio Analysis'!$D$121*T463+AA463*'Part 3 Portfolio Analysis'!$E$121+'Part 3 Portfolio Analysis'!$F$121*AH463</f>
        <v>-1.9768400000000005E-3</v>
      </c>
      <c r="AM463" s="91"/>
      <c r="AN463" s="90">
        <v>45330</v>
      </c>
      <c r="AO463" s="91">
        <v>22009.650389999999</v>
      </c>
      <c r="AP463" s="91">
        <v>21717.949219999999</v>
      </c>
      <c r="AQ463" s="91">
        <v>21717.949219999999</v>
      </c>
      <c r="AR463" s="91">
        <v>491100</v>
      </c>
      <c r="AS463" s="91">
        <v>-9.7000000000000003E-3</v>
      </c>
    </row>
    <row r="464" spans="1:45" x14ac:dyDescent="0.55000000000000004">
      <c r="A464" s="90">
        <v>45331</v>
      </c>
      <c r="B464" s="91">
        <v>7734.9501950000003</v>
      </c>
      <c r="C464" s="91">
        <v>7629.3500979999999</v>
      </c>
      <c r="D464" s="91">
        <v>7471.1787109999996</v>
      </c>
      <c r="E464" s="91">
        <v>111039</v>
      </c>
      <c r="F464" s="91">
        <v>-1.26E-2</v>
      </c>
      <c r="H464" s="90">
        <v>45331</v>
      </c>
      <c r="I464" s="91">
        <v>1454</v>
      </c>
      <c r="J464" s="91">
        <v>1460.75</v>
      </c>
      <c r="K464" s="91">
        <v>1450.0177000000001</v>
      </c>
      <c r="L464" s="91">
        <v>12556798</v>
      </c>
      <c r="M464" s="91">
        <v>7.3000000000000001E-3</v>
      </c>
      <c r="O464" s="90">
        <v>45331</v>
      </c>
      <c r="P464" s="91">
        <v>696.07501219999995</v>
      </c>
      <c r="Q464" s="91">
        <v>701.79998780000005</v>
      </c>
      <c r="R464" s="91">
        <v>683.11206049999998</v>
      </c>
      <c r="S464" s="91">
        <v>56642124</v>
      </c>
      <c r="T464" s="91">
        <v>4.0000000000000002E-4</v>
      </c>
      <c r="V464" s="90">
        <v>45331</v>
      </c>
      <c r="W464" s="91">
        <v>1684.6999510000001</v>
      </c>
      <c r="X464" s="91">
        <v>1669.349976</v>
      </c>
      <c r="Y464" s="91">
        <v>1571.667725</v>
      </c>
      <c r="Z464" s="91">
        <v>4600004</v>
      </c>
      <c r="AA464" s="91">
        <v>-1.34E-2</v>
      </c>
      <c r="AB464" s="91"/>
      <c r="AC464" s="90">
        <v>45331</v>
      </c>
      <c r="AD464" s="91">
        <v>3800</v>
      </c>
      <c r="AE464" s="91">
        <v>3759.5500489999999</v>
      </c>
      <c r="AF464" s="91">
        <v>3753.7204590000001</v>
      </c>
      <c r="AG464" s="91">
        <v>2001715</v>
      </c>
      <c r="AH464" s="91">
        <v>-2.1399999999999999E-2</v>
      </c>
      <c r="AI464" s="91"/>
      <c r="AJ464" s="91">
        <f>(F464*'Part 3 Portfolio Analysis'!$B$8+M464*'Part 3 Portfolio Analysis'!$C$8+T464*'Part 3 Portfolio Analysis'!$D$8+AA464*'Part 3 Portfolio Analysis'!$E$8+AH464*'Part 3 Portfolio Analysis'!$F$8)/100</f>
        <v>-3.4328347580707269E-3</v>
      </c>
      <c r="AK464" s="91">
        <f>'Part 3 Portfolio Analysis'!$B$107*F464+M464*'Part 3 Portfolio Analysis'!$C$107+T464*'Part 3 Portfolio Analysis'!$D$107+AA464*'Part 3 Portfolio Analysis'!$E$107+AH464*'Part 3 Portfolio Analysis'!$F$107</f>
        <v>-6.6538999999999999E-3</v>
      </c>
      <c r="AL464" s="91">
        <f>F464*'Part 3 Portfolio Analysis'!$B$121+M464*'Part 3 Portfolio Analysis'!$C$121+'Part 3 Portfolio Analysis'!$D$121*T464+AA464*'Part 3 Portfolio Analysis'!$E$121+'Part 3 Portfolio Analysis'!$F$121*AH464</f>
        <v>-1.1045200000000003E-3</v>
      </c>
      <c r="AM464" s="91"/>
      <c r="AN464" s="90">
        <v>45331</v>
      </c>
      <c r="AO464" s="91">
        <v>21727</v>
      </c>
      <c r="AP464" s="91">
        <v>21782.5</v>
      </c>
      <c r="AQ464" s="91">
        <v>21782.5</v>
      </c>
      <c r="AR464" s="91">
        <v>349200</v>
      </c>
      <c r="AS464" s="91">
        <v>3.0000000000000001E-3</v>
      </c>
    </row>
    <row r="465" spans="1:45" x14ac:dyDescent="0.55000000000000004">
      <c r="A465" s="90">
        <v>45334</v>
      </c>
      <c r="B465" s="91">
        <v>7720.9501950000003</v>
      </c>
      <c r="C465" s="91">
        <v>7498.6000979999999</v>
      </c>
      <c r="D465" s="91">
        <v>7343.1396480000003</v>
      </c>
      <c r="E465" s="91">
        <v>97038</v>
      </c>
      <c r="F465" s="91">
        <v>-1.7100000000000001E-2</v>
      </c>
      <c r="H465" s="90">
        <v>45334</v>
      </c>
      <c r="I465" s="91">
        <v>1460.75</v>
      </c>
      <c r="J465" s="91">
        <v>1452.349976</v>
      </c>
      <c r="K465" s="91">
        <v>1441.679443</v>
      </c>
      <c r="L465" s="91">
        <v>6674430</v>
      </c>
      <c r="M465" s="91">
        <v>-5.7999999999999996E-3</v>
      </c>
      <c r="O465" s="90">
        <v>45334</v>
      </c>
      <c r="P465" s="91">
        <v>699.82501219999995</v>
      </c>
      <c r="Q465" s="91">
        <v>695</v>
      </c>
      <c r="R465" s="91">
        <v>676.49316409999994</v>
      </c>
      <c r="S465" s="91">
        <v>34447812</v>
      </c>
      <c r="T465" s="91">
        <v>-9.7000000000000003E-3</v>
      </c>
      <c r="V465" s="90">
        <v>45334</v>
      </c>
      <c r="W465" s="91">
        <v>1670.349976</v>
      </c>
      <c r="X465" s="91">
        <v>1680.099976</v>
      </c>
      <c r="Y465" s="91">
        <v>1581.7886960000001</v>
      </c>
      <c r="Z465" s="91">
        <v>3555808</v>
      </c>
      <c r="AA465" s="91">
        <v>6.4000000000000003E-3</v>
      </c>
      <c r="AB465" s="91"/>
      <c r="AC465" s="90">
        <v>45334</v>
      </c>
      <c r="AD465" s="91">
        <v>3767.8000489999999</v>
      </c>
      <c r="AE465" s="91">
        <v>3802.0500489999999</v>
      </c>
      <c r="AF465" s="91">
        <v>3796.1545409999999</v>
      </c>
      <c r="AG465" s="91">
        <v>1087518</v>
      </c>
      <c r="AH465" s="91">
        <v>1.1299999999999999E-2</v>
      </c>
      <c r="AI465" s="91"/>
      <c r="AJ465" s="91">
        <f>(F465*'Part 3 Portfolio Analysis'!$B$8+M465*'Part 3 Portfolio Analysis'!$C$8+T465*'Part 3 Portfolio Analysis'!$D$8+AA465*'Part 3 Portfolio Analysis'!$E$8+AH465*'Part 3 Portfolio Analysis'!$F$8)/100</f>
        <v>-7.7100514736332757E-3</v>
      </c>
      <c r="AK465" s="91">
        <f>'Part 3 Portfolio Analysis'!$B$107*F465+M465*'Part 3 Portfolio Analysis'!$C$107+T465*'Part 3 Portfolio Analysis'!$D$107+AA465*'Part 3 Portfolio Analysis'!$E$107+AH465*'Part 3 Portfolio Analysis'!$F$107</f>
        <v>-2.9093000000000005E-3</v>
      </c>
      <c r="AL465" s="91">
        <f>F465*'Part 3 Portfolio Analysis'!$B$121+M465*'Part 3 Portfolio Analysis'!$C$121+'Part 3 Portfolio Analysis'!$D$121*T465+AA465*'Part 3 Portfolio Analysis'!$E$121+'Part 3 Portfolio Analysis'!$F$121*AH465</f>
        <v>-4.9016399999999996E-3</v>
      </c>
      <c r="AM465" s="91"/>
      <c r="AN465" s="90">
        <v>45334</v>
      </c>
      <c r="AO465" s="91">
        <v>21800.800780000001</v>
      </c>
      <c r="AP465" s="91">
        <v>21616.050780000001</v>
      </c>
      <c r="AQ465" s="91">
        <v>21616.050780000001</v>
      </c>
      <c r="AR465" s="91">
        <v>287400</v>
      </c>
      <c r="AS465" s="91">
        <v>-7.6E-3</v>
      </c>
    </row>
    <row r="466" spans="1:45" x14ac:dyDescent="0.55000000000000004">
      <c r="A466" s="90">
        <v>45335</v>
      </c>
      <c r="B466" s="91">
        <v>7539.9501950000003</v>
      </c>
      <c r="C466" s="91">
        <v>7443.2998049999997</v>
      </c>
      <c r="D466" s="91">
        <v>7288.9853519999997</v>
      </c>
      <c r="E466" s="91">
        <v>73951</v>
      </c>
      <c r="F466" s="91">
        <v>-7.4000000000000003E-3</v>
      </c>
      <c r="H466" s="90">
        <v>45335</v>
      </c>
      <c r="I466" s="91">
        <v>1455.5</v>
      </c>
      <c r="J466" s="91">
        <v>1465.099976</v>
      </c>
      <c r="K466" s="91">
        <v>1454.335693</v>
      </c>
      <c r="L466" s="91">
        <v>7715594</v>
      </c>
      <c r="M466" s="91">
        <v>8.8000000000000005E-3</v>
      </c>
      <c r="O466" s="90">
        <v>45335</v>
      </c>
      <c r="P466" s="91">
        <v>695.97497559999999</v>
      </c>
      <c r="Q466" s="91">
        <v>697.22497559999999</v>
      </c>
      <c r="R466" s="91">
        <v>678.65893549999998</v>
      </c>
      <c r="S466" s="91">
        <v>57580994</v>
      </c>
      <c r="T466" s="91">
        <v>3.2000000000000002E-3</v>
      </c>
      <c r="V466" s="90">
        <v>45335</v>
      </c>
      <c r="W466" s="91">
        <v>1683</v>
      </c>
      <c r="X466" s="91">
        <v>1684.5500489999999</v>
      </c>
      <c r="Y466" s="91">
        <v>1585.9782709999999</v>
      </c>
      <c r="Z466" s="91">
        <v>2696481</v>
      </c>
      <c r="AA466" s="91">
        <v>2.5999999999999999E-3</v>
      </c>
      <c r="AB466" s="91"/>
      <c r="AC466" s="90">
        <v>45335</v>
      </c>
      <c r="AD466" s="91">
        <v>3785</v>
      </c>
      <c r="AE466" s="91">
        <v>3851.25</v>
      </c>
      <c r="AF466" s="91">
        <v>3845.2780760000001</v>
      </c>
      <c r="AG466" s="91">
        <v>1288707</v>
      </c>
      <c r="AH466" s="91">
        <v>1.29E-2</v>
      </c>
      <c r="AI466" s="91"/>
      <c r="AJ466" s="91">
        <f>(F466*'Part 3 Portfolio Analysis'!$B$8+M466*'Part 3 Portfolio Analysis'!$C$8+T466*'Part 3 Portfolio Analysis'!$D$8+AA466*'Part 3 Portfolio Analysis'!$E$8+AH466*'Part 3 Portfolio Analysis'!$F$8)/100</f>
        <v>2.0481324911326266E-3</v>
      </c>
      <c r="AK466" s="91">
        <f>'Part 3 Portfolio Analysis'!$B$107*F466+M466*'Part 3 Portfolio Analysis'!$C$107+T466*'Part 3 Portfolio Analysis'!$D$107+AA466*'Part 3 Portfolio Analysis'!$E$107+AH466*'Part 3 Portfolio Analysis'!$F$107</f>
        <v>5.4292000000000003E-3</v>
      </c>
      <c r="AL466" s="91">
        <f>F466*'Part 3 Portfolio Analysis'!$B$121+M466*'Part 3 Portfolio Analysis'!$C$121+'Part 3 Portfolio Analysis'!$D$121*T466+AA466*'Part 3 Portfolio Analysis'!$E$121+'Part 3 Portfolio Analysis'!$F$121*AH466</f>
        <v>4.8125799999999995E-3</v>
      </c>
      <c r="AM466" s="91"/>
      <c r="AN466" s="90">
        <v>45335</v>
      </c>
      <c r="AO466" s="91">
        <v>21664.300780000001</v>
      </c>
      <c r="AP466" s="91">
        <v>21743.25</v>
      </c>
      <c r="AQ466" s="91">
        <v>21743.25</v>
      </c>
      <c r="AR466" s="91">
        <v>365800</v>
      </c>
      <c r="AS466" s="91">
        <v>5.8999999999999999E-3</v>
      </c>
    </row>
    <row r="467" spans="1:45" x14ac:dyDescent="0.55000000000000004">
      <c r="A467" s="90">
        <v>45336</v>
      </c>
      <c r="B467" s="91">
        <v>7440</v>
      </c>
      <c r="C467" s="91">
        <v>7429.5498049999997</v>
      </c>
      <c r="D467" s="91">
        <v>7275.5205079999996</v>
      </c>
      <c r="E467" s="91">
        <v>104915</v>
      </c>
      <c r="F467" s="91">
        <v>-1.8E-3</v>
      </c>
      <c r="H467" s="90">
        <v>45336</v>
      </c>
      <c r="I467" s="91">
        <v>1457.5</v>
      </c>
      <c r="J467" s="91">
        <v>1481.375</v>
      </c>
      <c r="K467" s="91">
        <v>1470.491211</v>
      </c>
      <c r="L467" s="91">
        <v>7117888</v>
      </c>
      <c r="M467" s="91">
        <v>1.11E-2</v>
      </c>
      <c r="O467" s="90">
        <v>45336</v>
      </c>
      <c r="P467" s="91">
        <v>688</v>
      </c>
      <c r="Q467" s="91">
        <v>692.02502440000001</v>
      </c>
      <c r="R467" s="91">
        <v>673.59741210000004</v>
      </c>
      <c r="S467" s="91">
        <v>91320810</v>
      </c>
      <c r="T467" s="91">
        <v>-7.4999999999999997E-3</v>
      </c>
      <c r="V467" s="90">
        <v>45336</v>
      </c>
      <c r="W467" s="91">
        <v>1660.1999510000001</v>
      </c>
      <c r="X467" s="91">
        <v>1666.1999510000001</v>
      </c>
      <c r="Y467" s="91">
        <v>1568.7020259999999</v>
      </c>
      <c r="Z467" s="91">
        <v>3768579</v>
      </c>
      <c r="AA467" s="91">
        <v>-1.09E-2</v>
      </c>
      <c r="AB467" s="91"/>
      <c r="AC467" s="90">
        <v>45336</v>
      </c>
      <c r="AD467" s="91">
        <v>3802.1499020000001</v>
      </c>
      <c r="AE467" s="91">
        <v>3921</v>
      </c>
      <c r="AF467" s="91">
        <v>3914.919922</v>
      </c>
      <c r="AG467" s="91">
        <v>725269</v>
      </c>
      <c r="AH467" s="91">
        <v>1.8100000000000002E-2</v>
      </c>
      <c r="AI467" s="91"/>
      <c r="AJ467" s="91">
        <f>(F467*'Part 3 Portfolio Analysis'!$B$8+M467*'Part 3 Portfolio Analysis'!$C$8+T467*'Part 3 Portfolio Analysis'!$D$8+AA467*'Part 3 Portfolio Analysis'!$E$8+AH467*'Part 3 Portfolio Analysis'!$F$8)/100</f>
        <v>6.5516041191693688E-4</v>
      </c>
      <c r="AK467" s="91">
        <f>'Part 3 Portfolio Analysis'!$B$107*F467+M467*'Part 3 Portfolio Analysis'!$C$107+T467*'Part 3 Portfolio Analysis'!$D$107+AA467*'Part 3 Portfolio Analysis'!$E$107+AH467*'Part 3 Portfolio Analysis'!$F$107</f>
        <v>5.4590000000000003E-3</v>
      </c>
      <c r="AL467" s="91">
        <f>F467*'Part 3 Portfolio Analysis'!$B$121+M467*'Part 3 Portfolio Analysis'!$C$121+'Part 3 Portfolio Analysis'!$D$121*T467+AA467*'Part 3 Portfolio Analysis'!$E$121+'Part 3 Portfolio Analysis'!$F$121*AH467</f>
        <v>7.6381999999999969E-4</v>
      </c>
      <c r="AM467" s="91"/>
      <c r="AN467" s="90">
        <v>45336</v>
      </c>
      <c r="AO467" s="91">
        <v>21578.150389999999</v>
      </c>
      <c r="AP467" s="91">
        <v>21840.050780000001</v>
      </c>
      <c r="AQ467" s="91">
        <v>21840.050780000001</v>
      </c>
      <c r="AR467" s="91">
        <v>359100</v>
      </c>
      <c r="AS467" s="91">
        <v>4.4999999999999997E-3</v>
      </c>
    </row>
    <row r="468" spans="1:45" x14ac:dyDescent="0.55000000000000004">
      <c r="A468" s="90">
        <v>45337</v>
      </c>
      <c r="B468" s="91">
        <v>7499.9501950000003</v>
      </c>
      <c r="C468" s="91">
        <v>7470.2001950000003</v>
      </c>
      <c r="D468" s="91">
        <v>7315.328125</v>
      </c>
      <c r="E468" s="91">
        <v>61560</v>
      </c>
      <c r="F468" s="91">
        <v>5.4999999999999997E-3</v>
      </c>
      <c r="H468" s="90">
        <v>45337</v>
      </c>
      <c r="I468" s="91">
        <v>1483.349976</v>
      </c>
      <c r="J468" s="91">
        <v>1470.599976</v>
      </c>
      <c r="K468" s="91">
        <v>1459.7954099999999</v>
      </c>
      <c r="L468" s="91">
        <v>10006782</v>
      </c>
      <c r="M468" s="91">
        <v>-7.3000000000000001E-3</v>
      </c>
      <c r="O468" s="90">
        <v>45337</v>
      </c>
      <c r="P468" s="91">
        <v>692.5</v>
      </c>
      <c r="Q468" s="91">
        <v>707.02502440000001</v>
      </c>
      <c r="R468" s="91">
        <v>688.19799799999998</v>
      </c>
      <c r="S468" s="91">
        <v>41584944</v>
      </c>
      <c r="T468" s="91">
        <v>2.1700000000000001E-2</v>
      </c>
      <c r="V468" s="90">
        <v>45337</v>
      </c>
      <c r="W468" s="91">
        <v>1677</v>
      </c>
      <c r="X468" s="91">
        <v>1676.349976</v>
      </c>
      <c r="Y468" s="91">
        <v>1578.2581789999999</v>
      </c>
      <c r="Z468" s="91">
        <v>4834391</v>
      </c>
      <c r="AA468" s="91">
        <v>6.1000000000000004E-3</v>
      </c>
      <c r="AB468" s="91"/>
      <c r="AC468" s="90">
        <v>45337</v>
      </c>
      <c r="AD468" s="91">
        <v>3931.1000979999999</v>
      </c>
      <c r="AE468" s="91">
        <v>3952.6499020000001</v>
      </c>
      <c r="AF468" s="91">
        <v>3946.5209960000002</v>
      </c>
      <c r="AG468" s="91">
        <v>964837</v>
      </c>
      <c r="AH468" s="91">
        <v>8.0999999999999996E-3</v>
      </c>
      <c r="AI468" s="91"/>
      <c r="AJ468" s="91">
        <f>(F468*'Part 3 Portfolio Analysis'!$B$8+M468*'Part 3 Portfolio Analysis'!$C$8+T468*'Part 3 Portfolio Analysis'!$D$8+AA468*'Part 3 Portfolio Analysis'!$E$8+AH468*'Part 3 Portfolio Analysis'!$F$8)/100</f>
        <v>3.684591539922435E-3</v>
      </c>
      <c r="AK468" s="91">
        <f>'Part 3 Portfolio Analysis'!$B$107*F468+M468*'Part 3 Portfolio Analysis'!$C$107+T468*'Part 3 Portfolio Analysis'!$D$107+AA468*'Part 3 Portfolio Analysis'!$E$107+AH468*'Part 3 Portfolio Analysis'!$F$107</f>
        <v>4.7198000000000006E-3</v>
      </c>
      <c r="AL468" s="91">
        <f>F468*'Part 3 Portfolio Analysis'!$B$121+M468*'Part 3 Portfolio Analysis'!$C$121+'Part 3 Portfolio Analysis'!$D$121*T468+AA468*'Part 3 Portfolio Analysis'!$E$121+'Part 3 Portfolio Analysis'!$F$121*AH468</f>
        <v>4.7236400000000003E-3</v>
      </c>
      <c r="AM468" s="91"/>
      <c r="AN468" s="90">
        <v>45337</v>
      </c>
      <c r="AO468" s="91">
        <v>21906.550780000001</v>
      </c>
      <c r="AP468" s="91">
        <v>21910.75</v>
      </c>
      <c r="AQ468" s="91">
        <v>21910.75</v>
      </c>
      <c r="AR468" s="91">
        <v>345400</v>
      </c>
      <c r="AS468" s="91">
        <v>3.2000000000000002E-3</v>
      </c>
    </row>
    <row r="469" spans="1:45" x14ac:dyDescent="0.55000000000000004">
      <c r="A469" s="90">
        <v>45338</v>
      </c>
      <c r="B469" s="91">
        <v>7518</v>
      </c>
      <c r="C469" s="91">
        <v>7513.4501950000003</v>
      </c>
      <c r="D469" s="91">
        <v>7357.6816410000001</v>
      </c>
      <c r="E469" s="91">
        <v>80901</v>
      </c>
      <c r="F469" s="91">
        <v>5.7999999999999996E-3</v>
      </c>
      <c r="H469" s="90">
        <v>45338</v>
      </c>
      <c r="I469" s="91">
        <v>1476.474976</v>
      </c>
      <c r="J469" s="91">
        <v>1460.5749510000001</v>
      </c>
      <c r="K469" s="91">
        <v>1449.8439940000001</v>
      </c>
      <c r="L469" s="91">
        <v>9767498</v>
      </c>
      <c r="M469" s="91">
        <v>-6.7999999999999996E-3</v>
      </c>
      <c r="O469" s="90">
        <v>45338</v>
      </c>
      <c r="P469" s="91">
        <v>711.95001219999995</v>
      </c>
      <c r="Q469" s="91">
        <v>709.95001219999995</v>
      </c>
      <c r="R469" s="91">
        <v>691.04510500000004</v>
      </c>
      <c r="S469" s="91">
        <v>32175742</v>
      </c>
      <c r="T469" s="91">
        <v>4.1000000000000003E-3</v>
      </c>
      <c r="V469" s="90">
        <v>45338</v>
      </c>
      <c r="W469" s="91">
        <v>1689</v>
      </c>
      <c r="X469" s="91">
        <v>1701.650024</v>
      </c>
      <c r="Y469" s="91">
        <v>1602.0776370000001</v>
      </c>
      <c r="Z469" s="91">
        <v>4880654</v>
      </c>
      <c r="AA469" s="91">
        <v>1.5100000000000001E-2</v>
      </c>
      <c r="AB469" s="91"/>
      <c r="AC469" s="90">
        <v>45338</v>
      </c>
      <c r="AD469" s="91">
        <v>3970</v>
      </c>
      <c r="AE469" s="91">
        <v>4024.6000979999999</v>
      </c>
      <c r="AF469" s="91">
        <v>4018.3596189999998</v>
      </c>
      <c r="AG469" s="91">
        <v>736660</v>
      </c>
      <c r="AH469" s="91">
        <v>1.8200000000000001E-2</v>
      </c>
      <c r="AI469" s="91"/>
      <c r="AJ469" s="91">
        <f>(F469*'Part 3 Portfolio Analysis'!$B$8+M469*'Part 3 Portfolio Analysis'!$C$8+T469*'Part 3 Portfolio Analysis'!$D$8+AA469*'Part 3 Portfolio Analysis'!$E$8+AH469*'Part 3 Portfolio Analysis'!$F$8)/100</f>
        <v>2.5670435354992836E-3</v>
      </c>
      <c r="AK469" s="91">
        <f>'Part 3 Portfolio Analysis'!$B$107*F469+M469*'Part 3 Portfolio Analysis'!$C$107+T469*'Part 3 Portfolio Analysis'!$D$107+AA469*'Part 3 Portfolio Analysis'!$E$107+AH469*'Part 3 Portfolio Analysis'!$F$107</f>
        <v>5.6474999999999997E-3</v>
      </c>
      <c r="AL469" s="91">
        <f>F469*'Part 3 Portfolio Analysis'!$B$121+M469*'Part 3 Portfolio Analysis'!$C$121+'Part 3 Portfolio Analysis'!$D$121*T469+AA469*'Part 3 Portfolio Analysis'!$E$121+'Part 3 Portfolio Analysis'!$F$121*AH469</f>
        <v>2.2355200000000008E-3</v>
      </c>
      <c r="AM469" s="91"/>
      <c r="AN469" s="90">
        <v>45338</v>
      </c>
      <c r="AO469" s="91">
        <v>22020.300780000001</v>
      </c>
      <c r="AP469" s="91">
        <v>22040.699219999999</v>
      </c>
      <c r="AQ469" s="91">
        <v>22040.699219999999</v>
      </c>
      <c r="AR469" s="91">
        <v>343900</v>
      </c>
      <c r="AS469" s="91">
        <v>5.8999999999999999E-3</v>
      </c>
    </row>
    <row r="470" spans="1:45" x14ac:dyDescent="0.55000000000000004">
      <c r="A470" s="90">
        <v>45341</v>
      </c>
      <c r="B470" s="91">
        <v>7560</v>
      </c>
      <c r="C470" s="91">
        <v>7708.6499020000001</v>
      </c>
      <c r="D470" s="91">
        <v>7548.8349609999996</v>
      </c>
      <c r="E470" s="91">
        <v>146755</v>
      </c>
      <c r="F470" s="91">
        <v>2.5999999999999999E-2</v>
      </c>
      <c r="H470" s="90">
        <v>45341</v>
      </c>
      <c r="I470" s="91">
        <v>1462.0500489999999</v>
      </c>
      <c r="J470" s="91">
        <v>1474</v>
      </c>
      <c r="K470" s="91">
        <v>1463.1704099999999</v>
      </c>
      <c r="L470" s="91">
        <v>6729828</v>
      </c>
      <c r="M470" s="91">
        <v>9.1999999999999998E-3</v>
      </c>
      <c r="O470" s="90">
        <v>45341</v>
      </c>
      <c r="P470" s="91">
        <v>714.5</v>
      </c>
      <c r="Q470" s="91">
        <v>708.54998780000005</v>
      </c>
      <c r="R470" s="91">
        <v>689.68237299999998</v>
      </c>
      <c r="S470" s="91">
        <v>34451756</v>
      </c>
      <c r="T470" s="91">
        <v>-2E-3</v>
      </c>
      <c r="V470" s="90">
        <v>45341</v>
      </c>
      <c r="W470" s="91">
        <v>1705</v>
      </c>
      <c r="X470" s="91">
        <v>1699.75</v>
      </c>
      <c r="Y470" s="91">
        <v>1600.288818</v>
      </c>
      <c r="Z470" s="91">
        <v>3690993</v>
      </c>
      <c r="AA470" s="91">
        <v>-1.1000000000000001E-3</v>
      </c>
      <c r="AB470" s="91"/>
      <c r="AC470" s="90">
        <v>45341</v>
      </c>
      <c r="AD470" s="91">
        <v>4048</v>
      </c>
      <c r="AE470" s="91">
        <v>4047.1499020000001</v>
      </c>
      <c r="AF470" s="91">
        <v>4040.874268</v>
      </c>
      <c r="AG470" s="91">
        <v>374829</v>
      </c>
      <c r="AH470" s="91">
        <v>5.5999999999999999E-3</v>
      </c>
      <c r="AI470" s="91"/>
      <c r="AJ470" s="91">
        <f>(F470*'Part 3 Portfolio Analysis'!$B$8+M470*'Part 3 Portfolio Analysis'!$C$8+T470*'Part 3 Portfolio Analysis'!$D$8+AA470*'Part 3 Portfolio Analysis'!$E$8+AH470*'Part 3 Portfolio Analysis'!$F$8)/100</f>
        <v>1.067889703674965E-2</v>
      </c>
      <c r="AK470" s="91">
        <f>'Part 3 Portfolio Analysis'!$B$107*F470+M470*'Part 3 Portfolio Analysis'!$C$107+T470*'Part 3 Portfolio Analysis'!$D$107+AA470*'Part 3 Portfolio Analysis'!$E$107+AH470*'Part 3 Portfolio Analysis'!$F$107</f>
        <v>8.550799999999999E-3</v>
      </c>
      <c r="AL470" s="91">
        <f>F470*'Part 3 Portfolio Analysis'!$B$121+M470*'Part 3 Portfolio Analysis'!$C$121+'Part 3 Portfolio Analysis'!$D$121*T470+AA470*'Part 3 Portfolio Analysis'!$E$121+'Part 3 Portfolio Analysis'!$F$121*AH470</f>
        <v>5.3802399999999997E-3</v>
      </c>
      <c r="AM470" s="91"/>
      <c r="AN470" s="90">
        <v>45341</v>
      </c>
      <c r="AO470" s="91">
        <v>22103.449219999999</v>
      </c>
      <c r="AP470" s="91">
        <v>22122.25</v>
      </c>
      <c r="AQ470" s="91">
        <v>22122.25</v>
      </c>
      <c r="AR470" s="91">
        <v>0</v>
      </c>
      <c r="AS470" s="91">
        <v>3.7000000000000002E-3</v>
      </c>
    </row>
    <row r="471" spans="1:45" x14ac:dyDescent="0.55000000000000004">
      <c r="A471" s="90">
        <v>45342</v>
      </c>
      <c r="B471" s="91">
        <v>7755</v>
      </c>
      <c r="C471" s="91">
        <v>7776.2998049999997</v>
      </c>
      <c r="D471" s="91">
        <v>7615.0820309999999</v>
      </c>
      <c r="E471" s="91">
        <v>191041</v>
      </c>
      <c r="F471" s="91">
        <v>8.8000000000000005E-3</v>
      </c>
      <c r="H471" s="90">
        <v>45342</v>
      </c>
      <c r="I471" s="91">
        <v>1475.025024</v>
      </c>
      <c r="J471" s="91">
        <v>1471.025024</v>
      </c>
      <c r="K471" s="91">
        <v>1460.2172849999999</v>
      </c>
      <c r="L471" s="91">
        <v>7117496</v>
      </c>
      <c r="M471" s="91">
        <v>-2E-3</v>
      </c>
      <c r="O471" s="90">
        <v>45342</v>
      </c>
      <c r="P471" s="91">
        <v>707.5</v>
      </c>
      <c r="Q471" s="91">
        <v>727.15002440000001</v>
      </c>
      <c r="R471" s="91">
        <v>707.78704830000004</v>
      </c>
      <c r="S471" s="91">
        <v>56133508</v>
      </c>
      <c r="T471" s="91">
        <v>2.63E-2</v>
      </c>
      <c r="V471" s="90">
        <v>45342</v>
      </c>
      <c r="W471" s="91">
        <v>1685</v>
      </c>
      <c r="X471" s="91">
        <v>1685.25</v>
      </c>
      <c r="Y471" s="91">
        <v>1586.6373289999999</v>
      </c>
      <c r="Z471" s="91">
        <v>3706389</v>
      </c>
      <c r="AA471" s="91">
        <v>-8.5000000000000006E-3</v>
      </c>
      <c r="AB471" s="91"/>
      <c r="AC471" s="90">
        <v>45342</v>
      </c>
      <c r="AD471" s="91">
        <v>4057.9499510000001</v>
      </c>
      <c r="AE471" s="91">
        <v>4025.8999020000001</v>
      </c>
      <c r="AF471" s="91">
        <v>4019.6572270000001</v>
      </c>
      <c r="AG471" s="91">
        <v>468003</v>
      </c>
      <c r="AH471" s="91">
        <v>-5.3E-3</v>
      </c>
      <c r="AI471" s="91"/>
      <c r="AJ471" s="91">
        <f>(F471*'Part 3 Portfolio Analysis'!$B$8+M471*'Part 3 Portfolio Analysis'!$C$8+T471*'Part 3 Portfolio Analysis'!$D$8+AA471*'Part 3 Portfolio Analysis'!$E$8+AH471*'Part 3 Portfolio Analysis'!$F$8)/100</f>
        <v>4.8824783484961425E-3</v>
      </c>
      <c r="AK471" s="91">
        <f>'Part 3 Portfolio Analysis'!$B$107*F471+M471*'Part 3 Portfolio Analysis'!$C$107+T471*'Part 3 Portfolio Analysis'!$D$107+AA471*'Part 3 Portfolio Analysis'!$E$107+AH471*'Part 3 Portfolio Analysis'!$F$107</f>
        <v>2.8489000000000006E-3</v>
      </c>
      <c r="AL471" s="91">
        <f>F471*'Part 3 Portfolio Analysis'!$B$121+M471*'Part 3 Portfolio Analysis'!$C$121+'Part 3 Portfolio Analysis'!$D$121*T471+AA471*'Part 3 Portfolio Analysis'!$E$121+'Part 3 Portfolio Analysis'!$F$121*AH471</f>
        <v>5.1989000000000002E-3</v>
      </c>
      <c r="AM471" s="91"/>
      <c r="AN471" s="90">
        <v>45342</v>
      </c>
      <c r="AO471" s="91">
        <v>22099.199219999999</v>
      </c>
      <c r="AP471" s="91">
        <v>22196.949219999999</v>
      </c>
      <c r="AQ471" s="91">
        <v>22196.949219999999</v>
      </c>
      <c r="AR471" s="91">
        <v>295700</v>
      </c>
      <c r="AS471" s="91">
        <v>3.3999999999999998E-3</v>
      </c>
    </row>
    <row r="472" spans="1:45" x14ac:dyDescent="0.55000000000000004">
      <c r="A472" s="90">
        <v>45343</v>
      </c>
      <c r="B472" s="91">
        <v>7846.25</v>
      </c>
      <c r="C472" s="91">
        <v>7746.2001950000003</v>
      </c>
      <c r="D472" s="91">
        <v>7585.6064450000003</v>
      </c>
      <c r="E472" s="91">
        <v>107925</v>
      </c>
      <c r="F472" s="91">
        <v>-3.8999999999999998E-3</v>
      </c>
      <c r="H472" s="90">
        <v>45343</v>
      </c>
      <c r="I472" s="91">
        <v>1474</v>
      </c>
      <c r="J472" s="91">
        <v>1467.6999510000001</v>
      </c>
      <c r="K472" s="91">
        <v>1456.9167480000001</v>
      </c>
      <c r="L472" s="91">
        <v>12720292</v>
      </c>
      <c r="M472" s="91">
        <v>-2.3E-3</v>
      </c>
      <c r="O472" s="90">
        <v>45343</v>
      </c>
      <c r="P472" s="91">
        <v>732</v>
      </c>
      <c r="Q472" s="91">
        <v>719.57501219999995</v>
      </c>
      <c r="R472" s="91">
        <v>700.41381839999997</v>
      </c>
      <c r="S472" s="91">
        <v>45893136</v>
      </c>
      <c r="T472" s="91">
        <v>-1.04E-2</v>
      </c>
      <c r="V472" s="90">
        <v>45343</v>
      </c>
      <c r="W472" s="91">
        <v>1674</v>
      </c>
      <c r="X472" s="91">
        <v>1655.5500489999999</v>
      </c>
      <c r="Y472" s="91">
        <v>1558.675293</v>
      </c>
      <c r="Z472" s="91">
        <v>4300508</v>
      </c>
      <c r="AA472" s="91">
        <v>-1.7600000000000001E-2</v>
      </c>
      <c r="AB472" s="91"/>
      <c r="AC472" s="90">
        <v>45343</v>
      </c>
      <c r="AD472" s="91">
        <v>4045.1000979999999</v>
      </c>
      <c r="AE472" s="91">
        <v>3894.75</v>
      </c>
      <c r="AF472" s="91">
        <v>3888.710693</v>
      </c>
      <c r="AG472" s="91">
        <v>614056</v>
      </c>
      <c r="AH472" s="91">
        <v>-3.2599999999999997E-2</v>
      </c>
      <c r="AI472" s="91"/>
      <c r="AJ472" s="91">
        <f>(F472*'Part 3 Portfolio Analysis'!$B$8+M472*'Part 3 Portfolio Analysis'!$C$8+T472*'Part 3 Portfolio Analysis'!$D$8+AA472*'Part 3 Portfolio Analysis'!$E$8+AH472*'Part 3 Portfolio Analysis'!$F$8)/100</f>
        <v>-6.8896064760526413E-3</v>
      </c>
      <c r="AK472" s="91">
        <f>'Part 3 Portfolio Analysis'!$B$107*F472+M472*'Part 3 Portfolio Analysis'!$C$107+T472*'Part 3 Portfolio Analysis'!$D$107+AA472*'Part 3 Portfolio Analysis'!$E$107+AH472*'Part 3 Portfolio Analysis'!$F$107</f>
        <v>-1.3009099999999999E-2</v>
      </c>
      <c r="AL472" s="91">
        <f>F472*'Part 3 Portfolio Analysis'!$B$121+M472*'Part 3 Portfolio Analysis'!$C$121+'Part 3 Portfolio Analysis'!$D$121*T472+AA472*'Part 3 Portfolio Analysis'!$E$121+'Part 3 Portfolio Analysis'!$F$121*AH472</f>
        <v>-8.4885800000000008E-3</v>
      </c>
      <c r="AM472" s="91"/>
      <c r="AN472" s="90">
        <v>45343</v>
      </c>
      <c r="AO472" s="91">
        <v>22248.849610000001</v>
      </c>
      <c r="AP472" s="91">
        <v>22055.050780000001</v>
      </c>
      <c r="AQ472" s="91">
        <v>22055.050780000001</v>
      </c>
      <c r="AR472" s="91">
        <v>364500</v>
      </c>
      <c r="AS472" s="91">
        <v>-6.4000000000000003E-3</v>
      </c>
    </row>
    <row r="473" spans="1:45" x14ac:dyDescent="0.55000000000000004">
      <c r="A473" s="90">
        <v>45344</v>
      </c>
      <c r="B473" s="91">
        <v>7806</v>
      </c>
      <c r="C473" s="91">
        <v>7791.0498049999997</v>
      </c>
      <c r="D473" s="91">
        <v>7629.5263670000004</v>
      </c>
      <c r="E473" s="91">
        <v>83690</v>
      </c>
      <c r="F473" s="91">
        <v>5.7999999999999996E-3</v>
      </c>
      <c r="H473" s="90">
        <v>45344</v>
      </c>
      <c r="I473" s="91">
        <v>1468.150024</v>
      </c>
      <c r="J473" s="91">
        <v>1481.75</v>
      </c>
      <c r="K473" s="91">
        <v>1470.863525</v>
      </c>
      <c r="L473" s="91">
        <v>18493728</v>
      </c>
      <c r="M473" s="91">
        <v>9.5999999999999992E-3</v>
      </c>
      <c r="O473" s="90">
        <v>45344</v>
      </c>
      <c r="P473" s="91">
        <v>708.875</v>
      </c>
      <c r="Q473" s="91">
        <v>709.77502440000001</v>
      </c>
      <c r="R473" s="91">
        <v>690.87475589999997</v>
      </c>
      <c r="S473" s="91">
        <v>50560882</v>
      </c>
      <c r="T473" s="91">
        <v>-1.3599999999999999E-2</v>
      </c>
      <c r="V473" s="90">
        <v>45344</v>
      </c>
      <c r="W473" s="91">
        <v>1665</v>
      </c>
      <c r="X473" s="91">
        <v>1681.349976</v>
      </c>
      <c r="Y473" s="91">
        <v>1582.9655760000001</v>
      </c>
      <c r="Z473" s="91">
        <v>5841277</v>
      </c>
      <c r="AA473" s="91">
        <v>1.5599999999999999E-2</v>
      </c>
      <c r="AB473" s="91"/>
      <c r="AC473" s="90">
        <v>45344</v>
      </c>
      <c r="AD473" s="91">
        <v>3922</v>
      </c>
      <c r="AE473" s="91">
        <v>3954</v>
      </c>
      <c r="AF473" s="91">
        <v>3947.8688959999999</v>
      </c>
      <c r="AG473" s="91">
        <v>1012228</v>
      </c>
      <c r="AH473" s="91">
        <v>1.52E-2</v>
      </c>
      <c r="AI473" s="91"/>
      <c r="AJ473" s="91">
        <f>(F473*'Part 3 Portfolio Analysis'!$B$8+M473*'Part 3 Portfolio Analysis'!$C$8+T473*'Part 3 Portfolio Analysis'!$D$8+AA473*'Part 3 Portfolio Analysis'!$E$8+AH473*'Part 3 Portfolio Analysis'!$F$8)/100</f>
        <v>5.6102789114163528E-3</v>
      </c>
      <c r="AK473" s="91">
        <f>'Part 3 Portfolio Analysis'!$B$107*F473+M473*'Part 3 Portfolio Analysis'!$C$107+T473*'Part 3 Portfolio Analysis'!$D$107+AA473*'Part 3 Portfolio Analysis'!$E$107+AH473*'Part 3 Portfolio Analysis'!$F$107</f>
        <v>7.3311999999999995E-3</v>
      </c>
      <c r="AL473" s="91">
        <f>F473*'Part 3 Portfolio Analysis'!$B$121+M473*'Part 3 Portfolio Analysis'!$C$121+'Part 3 Portfolio Analysis'!$D$121*T473+AA473*'Part 3 Portfolio Analysis'!$E$121+'Part 3 Portfolio Analysis'!$F$121*AH473</f>
        <v>4.3239599999999991E-3</v>
      </c>
      <c r="AM473" s="91"/>
      <c r="AN473" s="90">
        <v>45344</v>
      </c>
      <c r="AO473" s="91">
        <v>22081.550780000001</v>
      </c>
      <c r="AP473" s="91">
        <v>22217.449219999999</v>
      </c>
      <c r="AQ473" s="91">
        <v>22217.449219999999</v>
      </c>
      <c r="AR473" s="91">
        <v>343500</v>
      </c>
      <c r="AS473" s="91">
        <v>7.4000000000000003E-3</v>
      </c>
    </row>
    <row r="474" spans="1:45" x14ac:dyDescent="0.55000000000000004">
      <c r="A474" s="90">
        <v>45345</v>
      </c>
      <c r="B474" s="91">
        <v>7900.0498049999997</v>
      </c>
      <c r="C474" s="91">
        <v>7812.2998049999997</v>
      </c>
      <c r="D474" s="91">
        <v>7650.3354490000002</v>
      </c>
      <c r="E474" s="91">
        <v>172141</v>
      </c>
      <c r="F474" s="91">
        <v>2.7000000000000001E-3</v>
      </c>
      <c r="H474" s="90">
        <v>45345</v>
      </c>
      <c r="I474" s="91">
        <v>1489.5</v>
      </c>
      <c r="J474" s="91">
        <v>1493.625</v>
      </c>
      <c r="K474" s="91">
        <v>1482.651245</v>
      </c>
      <c r="L474" s="91">
        <v>14438584</v>
      </c>
      <c r="M474" s="91">
        <v>8.0000000000000002E-3</v>
      </c>
      <c r="O474" s="90">
        <v>45345</v>
      </c>
      <c r="P474" s="91">
        <v>711.27502440000001</v>
      </c>
      <c r="Q474" s="91">
        <v>710.29998780000005</v>
      </c>
      <c r="R474" s="91">
        <v>691.38580320000005</v>
      </c>
      <c r="S474" s="91">
        <v>29833452</v>
      </c>
      <c r="T474" s="91">
        <v>6.9999999999999999E-4</v>
      </c>
      <c r="V474" s="90">
        <v>45345</v>
      </c>
      <c r="W474" s="91">
        <v>1697</v>
      </c>
      <c r="X474" s="91">
        <v>1676.849976</v>
      </c>
      <c r="Y474" s="91">
        <v>1578.7288820000001</v>
      </c>
      <c r="Z474" s="91">
        <v>5373072</v>
      </c>
      <c r="AA474" s="91">
        <v>-2.7000000000000001E-3</v>
      </c>
      <c r="AB474" s="91"/>
      <c r="AC474" s="90">
        <v>45345</v>
      </c>
      <c r="AD474" s="91">
        <v>3950</v>
      </c>
      <c r="AE474" s="91">
        <v>3885.8000489999999</v>
      </c>
      <c r="AF474" s="91">
        <v>3879.7746579999998</v>
      </c>
      <c r="AG474" s="91">
        <v>555204</v>
      </c>
      <c r="AH474" s="91">
        <v>-1.72E-2</v>
      </c>
      <c r="AI474" s="91"/>
      <c r="AJ474" s="91">
        <f>(F474*'Part 3 Portfolio Analysis'!$B$8+M474*'Part 3 Portfolio Analysis'!$C$8+T474*'Part 3 Portfolio Analysis'!$D$8+AA474*'Part 3 Portfolio Analysis'!$E$8+AH474*'Part 3 Portfolio Analysis'!$F$8)/100</f>
        <v>3.2239834495064647E-3</v>
      </c>
      <c r="AK474" s="91">
        <f>'Part 3 Portfolio Analysis'!$B$107*F474+M474*'Part 3 Portfolio Analysis'!$C$107+T474*'Part 3 Portfolio Analysis'!$D$107+AA474*'Part 3 Portfolio Analysis'!$E$107+AH474*'Part 3 Portfolio Analysis'!$F$107</f>
        <v>-1.5059000000000001E-3</v>
      </c>
      <c r="AL474" s="91">
        <f>F474*'Part 3 Portfolio Analysis'!$B$121+M474*'Part 3 Portfolio Analysis'!$C$121+'Part 3 Portfolio Analysis'!$D$121*T474+AA474*'Part 3 Portfolio Analysis'!$E$121+'Part 3 Portfolio Analysis'!$F$121*AH474</f>
        <v>2.7784999999999997E-3</v>
      </c>
      <c r="AM474" s="91"/>
      <c r="AN474" s="90">
        <v>45345</v>
      </c>
      <c r="AO474" s="91">
        <v>22290</v>
      </c>
      <c r="AP474" s="91">
        <v>22212.699219999999</v>
      </c>
      <c r="AQ474" s="91">
        <v>22212.699219999999</v>
      </c>
      <c r="AR474" s="91">
        <v>226000</v>
      </c>
      <c r="AS474" s="91">
        <v>-2.0000000000000001E-4</v>
      </c>
    </row>
    <row r="475" spans="1:45" x14ac:dyDescent="0.55000000000000004">
      <c r="A475" s="90">
        <v>45348</v>
      </c>
      <c r="B475" s="91">
        <v>7853</v>
      </c>
      <c r="C475" s="91">
        <v>7706.8999020000001</v>
      </c>
      <c r="D475" s="91">
        <v>7547.1210940000001</v>
      </c>
      <c r="E475" s="91">
        <v>69244</v>
      </c>
      <c r="F475" s="91">
        <v>-1.35E-2</v>
      </c>
      <c r="H475" s="90">
        <v>45348</v>
      </c>
      <c r="I475" s="91">
        <v>1493.5500489999999</v>
      </c>
      <c r="J475" s="91">
        <v>1487.3249510000001</v>
      </c>
      <c r="K475" s="91">
        <v>1476.397461</v>
      </c>
      <c r="L475" s="91">
        <v>7513106</v>
      </c>
      <c r="M475" s="91">
        <v>-4.1999999999999997E-3</v>
      </c>
      <c r="O475" s="90">
        <v>45348</v>
      </c>
      <c r="P475" s="91">
        <v>706.77502440000001</v>
      </c>
      <c r="Q475" s="91">
        <v>711.15002440000001</v>
      </c>
      <c r="R475" s="91">
        <v>692.21313480000003</v>
      </c>
      <c r="S475" s="91">
        <v>23506870</v>
      </c>
      <c r="T475" s="91">
        <v>1.1999999999999999E-3</v>
      </c>
      <c r="V475" s="90">
        <v>45348</v>
      </c>
      <c r="W475" s="91">
        <v>1674.9499510000001</v>
      </c>
      <c r="X475" s="91">
        <v>1660.150024</v>
      </c>
      <c r="Y475" s="91">
        <v>1563.005981</v>
      </c>
      <c r="Z475" s="91">
        <v>2782438</v>
      </c>
      <c r="AA475" s="91">
        <v>-0.01</v>
      </c>
      <c r="AB475" s="91"/>
      <c r="AC475" s="90">
        <v>45348</v>
      </c>
      <c r="AD475" s="91">
        <v>3875</v>
      </c>
      <c r="AE475" s="91">
        <v>3844.6000979999999</v>
      </c>
      <c r="AF475" s="91">
        <v>3838.638672</v>
      </c>
      <c r="AG475" s="91">
        <v>671311</v>
      </c>
      <c r="AH475" s="91">
        <v>-1.06E-2</v>
      </c>
      <c r="AI475" s="91"/>
      <c r="AJ475" s="91">
        <f>(F475*'Part 3 Portfolio Analysis'!$B$8+M475*'Part 3 Portfolio Analysis'!$C$8+T475*'Part 3 Portfolio Analysis'!$D$8+AA475*'Part 3 Portfolio Analysis'!$E$8+AH475*'Part 3 Portfolio Analysis'!$F$8)/100</f>
        <v>-7.0851771425914376E-3</v>
      </c>
      <c r="AK475" s="91">
        <f>'Part 3 Portfolio Analysis'!$B$107*F475+M475*'Part 3 Portfolio Analysis'!$C$107+T475*'Part 3 Portfolio Analysis'!$D$107+AA475*'Part 3 Portfolio Analysis'!$E$107+AH475*'Part 3 Portfolio Analysis'!$F$107</f>
        <v>-7.2297999999999998E-3</v>
      </c>
      <c r="AL475" s="91">
        <f>F475*'Part 3 Portfolio Analysis'!$B$121+M475*'Part 3 Portfolio Analysis'!$C$121+'Part 3 Portfolio Analysis'!$D$121*T475+AA475*'Part 3 Portfolio Analysis'!$E$121+'Part 3 Portfolio Analysis'!$F$121*AH475</f>
        <v>-4.8233399999999997E-3</v>
      </c>
      <c r="AM475" s="91"/>
      <c r="AN475" s="90">
        <v>45348</v>
      </c>
      <c r="AO475" s="91">
        <v>22169.199219999999</v>
      </c>
      <c r="AP475" s="91">
        <v>22122.050780000001</v>
      </c>
      <c r="AQ475" s="91">
        <v>22122.050780000001</v>
      </c>
      <c r="AR475" s="91">
        <v>207800</v>
      </c>
      <c r="AS475" s="91">
        <v>-4.1000000000000003E-3</v>
      </c>
    </row>
    <row r="476" spans="1:45" x14ac:dyDescent="0.55000000000000004">
      <c r="A476" s="90">
        <v>45349</v>
      </c>
      <c r="B476" s="91">
        <v>7715</v>
      </c>
      <c r="C476" s="91">
        <v>7640.6000979999999</v>
      </c>
      <c r="D476" s="91">
        <v>7482.1958009999998</v>
      </c>
      <c r="E476" s="91">
        <v>92008</v>
      </c>
      <c r="F476" s="91">
        <v>-8.6E-3</v>
      </c>
      <c r="H476" s="90">
        <v>45349</v>
      </c>
      <c r="I476" s="91">
        <v>1483.025024</v>
      </c>
      <c r="J476" s="91">
        <v>1485.650024</v>
      </c>
      <c r="K476" s="91">
        <v>1474.7348629999999</v>
      </c>
      <c r="L476" s="91">
        <v>10826044</v>
      </c>
      <c r="M476" s="91">
        <v>-1.1000000000000001E-3</v>
      </c>
      <c r="O476" s="90">
        <v>45349</v>
      </c>
      <c r="P476" s="91">
        <v>706.77502440000001</v>
      </c>
      <c r="Q476" s="91">
        <v>710.07501219999995</v>
      </c>
      <c r="R476" s="91">
        <v>691.16680910000002</v>
      </c>
      <c r="S476" s="91">
        <v>32087150</v>
      </c>
      <c r="T476" s="91">
        <v>-1.5E-3</v>
      </c>
      <c r="V476" s="90">
        <v>45349</v>
      </c>
      <c r="W476" s="91">
        <v>1661</v>
      </c>
      <c r="X476" s="91">
        <v>1663.599976</v>
      </c>
      <c r="Y476" s="91">
        <v>1566.25415</v>
      </c>
      <c r="Z476" s="91">
        <v>5159088</v>
      </c>
      <c r="AA476" s="91">
        <v>2.0999999999999999E-3</v>
      </c>
      <c r="AB476" s="91"/>
      <c r="AC476" s="90">
        <v>45349</v>
      </c>
      <c r="AD476" s="91">
        <v>3864.8000489999999</v>
      </c>
      <c r="AE476" s="91">
        <v>3937.5</v>
      </c>
      <c r="AF476" s="91">
        <v>3931.3945309999999</v>
      </c>
      <c r="AG476" s="91">
        <v>861671</v>
      </c>
      <c r="AH476" s="91">
        <v>2.4199999999999999E-2</v>
      </c>
      <c r="AI476" s="91"/>
      <c r="AJ476" s="91">
        <f>(F476*'Part 3 Portfolio Analysis'!$B$8+M476*'Part 3 Portfolio Analysis'!$C$8+T476*'Part 3 Portfolio Analysis'!$D$8+AA476*'Part 3 Portfolio Analysis'!$E$8+AH476*'Part 3 Portfolio Analysis'!$F$8)/100</f>
        <v>-2.6544656573626452E-3</v>
      </c>
      <c r="AK476" s="91">
        <f>'Part 3 Portfolio Analysis'!$B$107*F476+M476*'Part 3 Portfolio Analysis'!$C$107+T476*'Part 3 Portfolio Analysis'!$D$107+AA476*'Part 3 Portfolio Analysis'!$E$107+AH476*'Part 3 Portfolio Analysis'!$F$107</f>
        <v>4.1835999999999991E-3</v>
      </c>
      <c r="AL476" s="91">
        <f>F476*'Part 3 Portfolio Analysis'!$B$121+M476*'Part 3 Portfolio Analysis'!$C$121+'Part 3 Portfolio Analysis'!$D$121*T476+AA476*'Part 3 Portfolio Analysis'!$E$121+'Part 3 Portfolio Analysis'!$F$121*AH476</f>
        <v>-5.2243999999999988E-4</v>
      </c>
      <c r="AM476" s="91"/>
      <c r="AN476" s="90">
        <v>45349</v>
      </c>
      <c r="AO476" s="91">
        <v>22090.199219999999</v>
      </c>
      <c r="AP476" s="91">
        <v>22198.349610000001</v>
      </c>
      <c r="AQ476" s="91">
        <v>22198.349610000001</v>
      </c>
      <c r="AR476" s="91">
        <v>252200</v>
      </c>
      <c r="AS476" s="91">
        <v>3.3999999999999998E-3</v>
      </c>
    </row>
    <row r="477" spans="1:45" x14ac:dyDescent="0.55000000000000004">
      <c r="A477" s="90">
        <v>45350</v>
      </c>
      <c r="B477" s="91">
        <v>7695</v>
      </c>
      <c r="C477" s="91">
        <v>7593.6499020000001</v>
      </c>
      <c r="D477" s="91">
        <v>7436.21875</v>
      </c>
      <c r="E477" s="91">
        <v>72324</v>
      </c>
      <c r="F477" s="91">
        <v>-6.1000000000000004E-3</v>
      </c>
      <c r="H477" s="90">
        <v>45350</v>
      </c>
      <c r="I477" s="91">
        <v>1483</v>
      </c>
      <c r="J477" s="91">
        <v>1455.625</v>
      </c>
      <c r="K477" s="91">
        <v>1444.9304199999999</v>
      </c>
      <c r="L477" s="91">
        <v>8647950</v>
      </c>
      <c r="M477" s="91">
        <v>-2.0199999999999999E-2</v>
      </c>
      <c r="O477" s="90">
        <v>45350</v>
      </c>
      <c r="P477" s="91">
        <v>710.07501219999995</v>
      </c>
      <c r="Q477" s="91">
        <v>704.70001219999995</v>
      </c>
      <c r="R477" s="91">
        <v>685.93487549999998</v>
      </c>
      <c r="S477" s="91">
        <v>25321986</v>
      </c>
      <c r="T477" s="91">
        <v>-7.6E-3</v>
      </c>
      <c r="V477" s="90">
        <v>45350</v>
      </c>
      <c r="W477" s="91">
        <v>1670</v>
      </c>
      <c r="X477" s="91">
        <v>1671.25</v>
      </c>
      <c r="Y477" s="91">
        <v>1573.456543</v>
      </c>
      <c r="Z477" s="91">
        <v>3188916</v>
      </c>
      <c r="AA477" s="91">
        <v>4.5999999999999999E-3</v>
      </c>
      <c r="AB477" s="91"/>
      <c r="AC477" s="90">
        <v>45350</v>
      </c>
      <c r="AD477" s="91">
        <v>3939.9499510000001</v>
      </c>
      <c r="AE477" s="91">
        <v>3924.8000489999999</v>
      </c>
      <c r="AF477" s="91">
        <v>3918.7143550000001</v>
      </c>
      <c r="AG477" s="91">
        <v>411252</v>
      </c>
      <c r="AH477" s="91">
        <v>-3.2000000000000002E-3</v>
      </c>
      <c r="AI477" s="91"/>
      <c r="AJ477" s="91">
        <f>(F477*'Part 3 Portfolio Analysis'!$B$8+M477*'Part 3 Portfolio Analysis'!$C$8+T477*'Part 3 Portfolio Analysis'!$D$8+AA477*'Part 3 Portfolio Analysis'!$E$8+AH477*'Part 3 Portfolio Analysis'!$F$8)/100</f>
        <v>-9.710856295508408E-3</v>
      </c>
      <c r="AK477" s="91">
        <f>'Part 3 Portfolio Analysis'!$B$107*F477+M477*'Part 3 Portfolio Analysis'!$C$107+T477*'Part 3 Portfolio Analysis'!$D$107+AA477*'Part 3 Portfolio Analysis'!$E$107+AH477*'Part 3 Portfolio Analysis'!$F$107</f>
        <v>-8.9449999999999998E-3</v>
      </c>
      <c r="AL477" s="91">
        <f>F477*'Part 3 Portfolio Analysis'!$B$121+M477*'Part 3 Portfolio Analysis'!$C$121+'Part 3 Portfolio Analysis'!$D$121*T477+AA477*'Part 3 Portfolio Analysis'!$E$121+'Part 3 Portfolio Analysis'!$F$121*AH477</f>
        <v>-1.020838E-2</v>
      </c>
      <c r="AM477" s="91"/>
      <c r="AN477" s="90">
        <v>45350</v>
      </c>
      <c r="AO477" s="91">
        <v>22214.099610000001</v>
      </c>
      <c r="AP477" s="91">
        <v>21951.150389999999</v>
      </c>
      <c r="AQ477" s="91">
        <v>21951.150389999999</v>
      </c>
      <c r="AR477" s="91">
        <v>203000</v>
      </c>
      <c r="AS477" s="91">
        <v>-1.11E-2</v>
      </c>
    </row>
    <row r="478" spans="1:45" x14ac:dyDescent="0.55000000000000004">
      <c r="A478" s="90">
        <v>45351</v>
      </c>
      <c r="B478" s="91">
        <v>7580</v>
      </c>
      <c r="C478" s="91">
        <v>7811.0498049999997</v>
      </c>
      <c r="D478" s="91">
        <v>7649.1118159999996</v>
      </c>
      <c r="E478" s="91">
        <v>307875</v>
      </c>
      <c r="F478" s="91">
        <v>2.86E-2</v>
      </c>
      <c r="H478" s="90">
        <v>45351</v>
      </c>
      <c r="I478" s="91">
        <v>1465</v>
      </c>
      <c r="J478" s="91">
        <v>1460.8000489999999</v>
      </c>
      <c r="K478" s="91">
        <v>1450.067505</v>
      </c>
      <c r="L478" s="91">
        <v>23628976</v>
      </c>
      <c r="M478" s="91">
        <v>3.5999999999999999E-3</v>
      </c>
      <c r="O478" s="90">
        <v>45351</v>
      </c>
      <c r="P478" s="91">
        <v>701.04998780000005</v>
      </c>
      <c r="Q478" s="91">
        <v>701.70001219999995</v>
      </c>
      <c r="R478" s="91">
        <v>683.01477050000005</v>
      </c>
      <c r="S478" s="91">
        <v>53295700</v>
      </c>
      <c r="T478" s="91">
        <v>-4.3E-3</v>
      </c>
      <c r="V478" s="90">
        <v>45351</v>
      </c>
      <c r="W478" s="91">
        <v>1665</v>
      </c>
      <c r="X478" s="91">
        <v>1673.900024</v>
      </c>
      <c r="Y478" s="91">
        <v>1575.9514160000001</v>
      </c>
      <c r="Z478" s="91">
        <v>7814722</v>
      </c>
      <c r="AA478" s="91">
        <v>1.6000000000000001E-3</v>
      </c>
      <c r="AB478" s="91"/>
      <c r="AC478" s="90">
        <v>45351</v>
      </c>
      <c r="AD478" s="91">
        <v>3931.4499510000001</v>
      </c>
      <c r="AE478" s="91">
        <v>3881.8000489999999</v>
      </c>
      <c r="AF478" s="91">
        <v>3875.7810060000002</v>
      </c>
      <c r="AG478" s="91">
        <v>1235124</v>
      </c>
      <c r="AH478" s="91">
        <v>-1.0999999999999999E-2</v>
      </c>
      <c r="AI478" s="91"/>
      <c r="AJ478" s="91">
        <f>(F478*'Part 3 Portfolio Analysis'!$B$8+M478*'Part 3 Portfolio Analysis'!$C$8+T478*'Part 3 Portfolio Analysis'!$D$8+AA478*'Part 3 Portfolio Analysis'!$E$8+AH478*'Part 3 Portfolio Analysis'!$F$8)/100</f>
        <v>9.3176180134467313E-3</v>
      </c>
      <c r="AK478" s="91">
        <f>'Part 3 Portfolio Analysis'!$B$107*F478+M478*'Part 3 Portfolio Analysis'!$C$107+T478*'Part 3 Portfolio Analysis'!$D$107+AA478*'Part 3 Portfolio Analysis'!$E$107+AH478*'Part 3 Portfolio Analysis'!$F$107</f>
        <v>2.9963000000000008E-3</v>
      </c>
      <c r="AL478" s="91">
        <f>F478*'Part 3 Portfolio Analysis'!$B$121+M478*'Part 3 Portfolio Analysis'!$C$121+'Part 3 Portfolio Analysis'!$D$121*T478+AA478*'Part 3 Portfolio Analysis'!$E$121+'Part 3 Portfolio Analysis'!$F$121*AH478</f>
        <v>2.7236799999999996E-3</v>
      </c>
      <c r="AM478" s="91"/>
      <c r="AN478" s="90">
        <v>45351</v>
      </c>
      <c r="AO478" s="91">
        <v>21935.199219999999</v>
      </c>
      <c r="AP478" s="91">
        <v>21982.800780000001</v>
      </c>
      <c r="AQ478" s="91">
        <v>21982.800780000001</v>
      </c>
      <c r="AR478" s="91">
        <v>360200</v>
      </c>
      <c r="AS478" s="91">
        <v>1.4E-3</v>
      </c>
    </row>
    <row r="479" spans="1:45" x14ac:dyDescent="0.55000000000000004">
      <c r="A479" s="90">
        <v>45352</v>
      </c>
      <c r="B479" s="91">
        <v>7900</v>
      </c>
      <c r="C479" s="91">
        <v>7745.25</v>
      </c>
      <c r="D479" s="91">
        <v>7584.6757809999999</v>
      </c>
      <c r="E479" s="91">
        <v>217687</v>
      </c>
      <c r="F479" s="91">
        <v>-8.3999999999999995E-3</v>
      </c>
      <c r="H479" s="90">
        <v>45352</v>
      </c>
      <c r="I479" s="91">
        <v>1463.5</v>
      </c>
      <c r="J479" s="91">
        <v>1492.125</v>
      </c>
      <c r="K479" s="91">
        <v>1481.162231</v>
      </c>
      <c r="L479" s="91">
        <v>12132926</v>
      </c>
      <c r="M479" s="91">
        <v>2.1399999999999999E-2</v>
      </c>
      <c r="O479" s="90">
        <v>45352</v>
      </c>
      <c r="P479" s="91">
        <v>700</v>
      </c>
      <c r="Q479" s="91">
        <v>715.375</v>
      </c>
      <c r="R479" s="91">
        <v>696.32562259999997</v>
      </c>
      <c r="S479" s="91">
        <v>34738898</v>
      </c>
      <c r="T479" s="91">
        <v>1.95E-2</v>
      </c>
      <c r="V479" s="90">
        <v>45352</v>
      </c>
      <c r="W479" s="91">
        <v>1669</v>
      </c>
      <c r="X479" s="91">
        <v>1654.6999510000001</v>
      </c>
      <c r="Y479" s="91">
        <v>1557.875</v>
      </c>
      <c r="Z479" s="91">
        <v>6387291</v>
      </c>
      <c r="AA479" s="91">
        <v>-1.15E-2</v>
      </c>
      <c r="AB479" s="91"/>
      <c r="AC479" s="90">
        <v>45352</v>
      </c>
      <c r="AD479" s="91">
        <v>3924</v>
      </c>
      <c r="AE479" s="91">
        <v>3901.25</v>
      </c>
      <c r="AF479" s="91">
        <v>3895.2006839999999</v>
      </c>
      <c r="AG479" s="91">
        <v>645099</v>
      </c>
      <c r="AH479" s="91">
        <v>5.0000000000000001E-3</v>
      </c>
      <c r="AI479" s="91"/>
      <c r="AJ479" s="91">
        <f>(F479*'Part 3 Portfolio Analysis'!$B$8+M479*'Part 3 Portfolio Analysis'!$C$8+T479*'Part 3 Portfolio Analysis'!$D$8+AA479*'Part 3 Portfolio Analysis'!$E$8+AH479*'Part 3 Portfolio Analysis'!$F$8)/100</f>
        <v>6.6880544320884871E-3</v>
      </c>
      <c r="AK479" s="91">
        <f>'Part 3 Portfolio Analysis'!$B$107*F479+M479*'Part 3 Portfolio Analysis'!$C$107+T479*'Part 3 Portfolio Analysis'!$D$107+AA479*'Part 3 Portfolio Analysis'!$E$107+AH479*'Part 3 Portfolio Analysis'!$F$107</f>
        <v>8.3187000000000001E-3</v>
      </c>
      <c r="AL479" s="91">
        <f>F479*'Part 3 Portfolio Analysis'!$B$121+M479*'Part 3 Portfolio Analysis'!$C$121+'Part 3 Portfolio Analysis'!$D$121*T479+AA479*'Part 3 Portfolio Analysis'!$E$121+'Part 3 Portfolio Analysis'!$F$121*AH479</f>
        <v>1.1423959999999997E-2</v>
      </c>
      <c r="AM479" s="91"/>
      <c r="AN479" s="90">
        <v>45352</v>
      </c>
      <c r="AO479" s="91">
        <v>22048.300780000001</v>
      </c>
      <c r="AP479" s="91">
        <v>22338.75</v>
      </c>
      <c r="AQ479" s="91">
        <v>22338.75</v>
      </c>
      <c r="AR479" s="91">
        <v>351500</v>
      </c>
      <c r="AS479" s="91">
        <v>1.6199999999999999E-2</v>
      </c>
    </row>
    <row r="480" spans="1:45" x14ac:dyDescent="0.55000000000000004">
      <c r="A480" s="90">
        <v>45355</v>
      </c>
      <c r="B480" s="91">
        <v>7819</v>
      </c>
      <c r="C480" s="91">
        <v>7692.8999020000001</v>
      </c>
      <c r="D480" s="91">
        <v>7533.4116210000002</v>
      </c>
      <c r="E480" s="91">
        <v>101325</v>
      </c>
      <c r="F480" s="91">
        <v>-6.7999999999999996E-3</v>
      </c>
      <c r="H480" s="90">
        <v>45355</v>
      </c>
      <c r="I480" s="91">
        <v>1490.474976</v>
      </c>
      <c r="J480" s="91">
        <v>1507.400024</v>
      </c>
      <c r="K480" s="91">
        <v>1496.325073</v>
      </c>
      <c r="L480" s="91">
        <v>10024420</v>
      </c>
      <c r="M480" s="91">
        <v>1.0200000000000001E-2</v>
      </c>
      <c r="O480" s="90">
        <v>45355</v>
      </c>
      <c r="P480" s="91">
        <v>715.47497559999999</v>
      </c>
      <c r="Q480" s="91">
        <v>716.34997559999999</v>
      </c>
      <c r="R480" s="91">
        <v>697.27465819999998</v>
      </c>
      <c r="S480" s="91">
        <v>35616474</v>
      </c>
      <c r="T480" s="91">
        <v>1.4E-3</v>
      </c>
      <c r="V480" s="90">
        <v>45355</v>
      </c>
      <c r="W480" s="91">
        <v>1657.849976</v>
      </c>
      <c r="X480" s="91">
        <v>1637.1999510000001</v>
      </c>
      <c r="Y480" s="91">
        <v>1541.3989260000001</v>
      </c>
      <c r="Z480" s="91">
        <v>4445156</v>
      </c>
      <c r="AA480" s="91">
        <v>-1.06E-2</v>
      </c>
      <c r="AB480" s="91"/>
      <c r="AC480" s="90">
        <v>45355</v>
      </c>
      <c r="AD480" s="91">
        <v>3909.6000979999999</v>
      </c>
      <c r="AE480" s="91">
        <v>3919.8000489999999</v>
      </c>
      <c r="AF480" s="91">
        <v>3913.7219239999999</v>
      </c>
      <c r="AG480" s="91">
        <v>291319</v>
      </c>
      <c r="AH480" s="91">
        <v>4.7999999999999996E-3</v>
      </c>
      <c r="AI480" s="91"/>
      <c r="AJ480" s="91">
        <f>(F480*'Part 3 Portfolio Analysis'!$B$8+M480*'Part 3 Portfolio Analysis'!$C$8+T480*'Part 3 Portfolio Analysis'!$D$8+AA480*'Part 3 Portfolio Analysis'!$E$8+AH480*'Part 3 Portfolio Analysis'!$F$8)/100</f>
        <v>2.3185255965951622E-4</v>
      </c>
      <c r="AK480" s="91">
        <f>'Part 3 Portfolio Analysis'!$B$107*F480+M480*'Part 3 Portfolio Analysis'!$C$107+T480*'Part 3 Portfolio Analysis'!$D$107+AA480*'Part 3 Portfolio Analysis'!$E$107+AH480*'Part 3 Portfolio Analysis'!$F$107</f>
        <v>2.3352000000000008E-3</v>
      </c>
      <c r="AL480" s="91">
        <f>F480*'Part 3 Portfolio Analysis'!$B$121+M480*'Part 3 Portfolio Analysis'!$C$121+'Part 3 Portfolio Analysis'!$D$121*T480+AA480*'Part 3 Portfolio Analysis'!$E$121+'Part 3 Portfolio Analysis'!$F$121*AH480</f>
        <v>2.1075200000000003E-3</v>
      </c>
      <c r="AM480" s="91"/>
      <c r="AN480" s="90">
        <v>45355</v>
      </c>
      <c r="AO480" s="91">
        <v>22403.5</v>
      </c>
      <c r="AP480" s="91">
        <v>22405.599610000001</v>
      </c>
      <c r="AQ480" s="91">
        <v>22405.599610000001</v>
      </c>
      <c r="AR480" s="91">
        <v>298800</v>
      </c>
      <c r="AS480" s="91">
        <v>3.0000000000000001E-3</v>
      </c>
    </row>
    <row r="481" spans="1:45" x14ac:dyDescent="0.55000000000000004">
      <c r="A481" s="90">
        <v>45356</v>
      </c>
      <c r="B481" s="91">
        <v>7692.8999020000001</v>
      </c>
      <c r="C481" s="91">
        <v>7662.4501950000003</v>
      </c>
      <c r="D481" s="91">
        <v>7503.5927730000003</v>
      </c>
      <c r="E481" s="91">
        <v>107340</v>
      </c>
      <c r="F481" s="91">
        <v>-4.0000000000000001E-3</v>
      </c>
      <c r="H481" s="90">
        <v>45356</v>
      </c>
      <c r="I481" s="91">
        <v>1505.775024</v>
      </c>
      <c r="J481" s="91">
        <v>1500.1999510000001</v>
      </c>
      <c r="K481" s="91">
        <v>1489.1779790000001</v>
      </c>
      <c r="L481" s="91">
        <v>7107668</v>
      </c>
      <c r="M481" s="91">
        <v>-4.7999999999999996E-3</v>
      </c>
      <c r="O481" s="90">
        <v>45356</v>
      </c>
      <c r="P481" s="91">
        <v>711</v>
      </c>
      <c r="Q481" s="91">
        <v>720.42498780000005</v>
      </c>
      <c r="R481" s="91">
        <v>701.24108890000002</v>
      </c>
      <c r="S481" s="91">
        <v>37991672</v>
      </c>
      <c r="T481" s="91">
        <v>5.7000000000000002E-3</v>
      </c>
      <c r="V481" s="90">
        <v>45356</v>
      </c>
      <c r="W481" s="91">
        <v>1634</v>
      </c>
      <c r="X481" s="91">
        <v>1606.5</v>
      </c>
      <c r="Y481" s="91">
        <v>1512.495361</v>
      </c>
      <c r="Z481" s="91">
        <v>4596579</v>
      </c>
      <c r="AA481" s="91">
        <v>-1.8800000000000001E-2</v>
      </c>
      <c r="AB481" s="91"/>
      <c r="AC481" s="90">
        <v>45356</v>
      </c>
      <c r="AD481" s="91">
        <v>3929.5</v>
      </c>
      <c r="AE481" s="91">
        <v>3852.3000489999999</v>
      </c>
      <c r="AF481" s="91">
        <v>3846.3264159999999</v>
      </c>
      <c r="AG481" s="91">
        <v>549270</v>
      </c>
      <c r="AH481" s="91">
        <v>-1.72E-2</v>
      </c>
      <c r="AI481" s="91"/>
      <c r="AJ481" s="91">
        <f>(F481*'Part 3 Portfolio Analysis'!$B$8+M481*'Part 3 Portfolio Analysis'!$C$8+T481*'Part 3 Portfolio Analysis'!$D$8+AA481*'Part 3 Portfolio Analysis'!$E$8+AH481*'Part 3 Portfolio Analysis'!$F$8)/100</f>
        <v>-5.1827292243354726E-3</v>
      </c>
      <c r="AK481" s="91">
        <f>'Part 3 Portfolio Analysis'!$B$107*F481+M481*'Part 3 Portfolio Analysis'!$C$107+T481*'Part 3 Portfolio Analysis'!$D$107+AA481*'Part 3 Portfolio Analysis'!$E$107+AH481*'Part 3 Portfolio Analysis'!$F$107</f>
        <v>-7.5533000000000006E-3</v>
      </c>
      <c r="AL481" s="91">
        <f>F481*'Part 3 Portfolio Analysis'!$B$121+M481*'Part 3 Portfolio Analysis'!$C$121+'Part 3 Portfolio Analysis'!$D$121*T481+AA481*'Part 3 Portfolio Analysis'!$E$121+'Part 3 Portfolio Analysis'!$F$121*AH481</f>
        <v>-5.0031199999999998E-3</v>
      </c>
      <c r="AM481" s="91"/>
      <c r="AN481" s="90">
        <v>45356</v>
      </c>
      <c r="AO481" s="91">
        <v>22371.25</v>
      </c>
      <c r="AP481" s="91">
        <v>22356.300780000001</v>
      </c>
      <c r="AQ481" s="91">
        <v>22356.300780000001</v>
      </c>
      <c r="AR481" s="91">
        <v>296200</v>
      </c>
      <c r="AS481" s="91">
        <v>-2.2000000000000001E-3</v>
      </c>
    </row>
    <row r="482" spans="1:45" x14ac:dyDescent="0.55000000000000004">
      <c r="A482" s="90">
        <v>45357</v>
      </c>
      <c r="B482" s="91">
        <v>7710</v>
      </c>
      <c r="C482" s="91">
        <v>7602.2998049999997</v>
      </c>
      <c r="D482" s="91">
        <v>7444.689453</v>
      </c>
      <c r="E482" s="91">
        <v>106522</v>
      </c>
      <c r="F482" s="91">
        <v>-7.9000000000000008E-3</v>
      </c>
      <c r="H482" s="90">
        <v>45357</v>
      </c>
      <c r="I482" s="91">
        <v>1493.4499510000001</v>
      </c>
      <c r="J482" s="91">
        <v>1503</v>
      </c>
      <c r="K482" s="91">
        <v>1491.957275</v>
      </c>
      <c r="L482" s="91">
        <v>7805676</v>
      </c>
      <c r="M482" s="91">
        <v>1.9E-3</v>
      </c>
      <c r="O482" s="90">
        <v>45357</v>
      </c>
      <c r="P482" s="91">
        <v>716.77502440000001</v>
      </c>
      <c r="Q482" s="91">
        <v>721.29998780000005</v>
      </c>
      <c r="R482" s="91">
        <v>702.09277340000006</v>
      </c>
      <c r="S482" s="91">
        <v>42409530</v>
      </c>
      <c r="T482" s="91">
        <v>1.1999999999999999E-3</v>
      </c>
      <c r="V482" s="90">
        <v>45357</v>
      </c>
      <c r="W482" s="91">
        <v>1602.8000489999999</v>
      </c>
      <c r="X482" s="91">
        <v>1617.5500489999999</v>
      </c>
      <c r="Y482" s="91">
        <v>1522.8988039999999</v>
      </c>
      <c r="Z482" s="91">
        <v>6420684</v>
      </c>
      <c r="AA482" s="91">
        <v>6.8999999999999999E-3</v>
      </c>
      <c r="AB482" s="91"/>
      <c r="AC482" s="90">
        <v>45357</v>
      </c>
      <c r="AD482" s="91">
        <v>3876.4499510000001</v>
      </c>
      <c r="AE482" s="91">
        <v>3872</v>
      </c>
      <c r="AF482" s="91">
        <v>3865.9960940000001</v>
      </c>
      <c r="AG482" s="91">
        <v>1009678</v>
      </c>
      <c r="AH482" s="91">
        <v>5.1000000000000004E-3</v>
      </c>
      <c r="AI482" s="91"/>
      <c r="AJ482" s="91">
        <f>(F482*'Part 3 Portfolio Analysis'!$B$8+M482*'Part 3 Portfolio Analysis'!$C$8+T482*'Part 3 Portfolio Analysis'!$D$8+AA482*'Part 3 Portfolio Analysis'!$E$8+AH482*'Part 3 Portfolio Analysis'!$F$8)/100</f>
        <v>-3.2082553106160057E-4</v>
      </c>
      <c r="AK482" s="91">
        <f>'Part 3 Portfolio Analysis'!$B$107*F482+M482*'Part 3 Portfolio Analysis'!$C$107+T482*'Part 3 Portfolio Analysis'!$D$107+AA482*'Part 3 Portfolio Analysis'!$E$107+AH482*'Part 3 Portfolio Analysis'!$F$107</f>
        <v>1.3338999999999998E-3</v>
      </c>
      <c r="AL482" s="91">
        <f>F482*'Part 3 Portfolio Analysis'!$B$121+M482*'Part 3 Portfolio Analysis'!$C$121+'Part 3 Portfolio Analysis'!$D$121*T482+AA482*'Part 3 Portfolio Analysis'!$E$121+'Part 3 Portfolio Analysis'!$F$121*AH482</f>
        <v>1.98788E-3</v>
      </c>
      <c r="AM482" s="91"/>
      <c r="AN482" s="90">
        <v>45357</v>
      </c>
      <c r="AO482" s="91">
        <v>22327.5</v>
      </c>
      <c r="AP482" s="91">
        <v>22474.050780000001</v>
      </c>
      <c r="AQ482" s="91">
        <v>22474.050780000001</v>
      </c>
      <c r="AR482" s="91">
        <v>312300</v>
      </c>
      <c r="AS482" s="91">
        <v>5.3E-3</v>
      </c>
    </row>
    <row r="483" spans="1:45" x14ac:dyDescent="0.55000000000000004">
      <c r="A483" s="90">
        <v>45358</v>
      </c>
      <c r="B483" s="91">
        <v>7590.1000979999999</v>
      </c>
      <c r="C483" s="91">
        <v>7686.75</v>
      </c>
      <c r="D483" s="91">
        <v>7527.388672</v>
      </c>
      <c r="E483" s="91">
        <v>302528</v>
      </c>
      <c r="F483" s="91">
        <v>1.11E-2</v>
      </c>
      <c r="H483" s="90">
        <v>45358</v>
      </c>
      <c r="I483" s="91">
        <v>1502.974976</v>
      </c>
      <c r="J483" s="91">
        <v>1478.9250489999999</v>
      </c>
      <c r="K483" s="91">
        <v>1468.0593260000001</v>
      </c>
      <c r="L483" s="91">
        <v>8315726</v>
      </c>
      <c r="M483" s="91">
        <v>-1.6E-2</v>
      </c>
      <c r="O483" s="90">
        <v>45358</v>
      </c>
      <c r="P483" s="91">
        <v>722.75</v>
      </c>
      <c r="Q483" s="91">
        <v>723.04998780000005</v>
      </c>
      <c r="R483" s="91">
        <v>703.79620360000001</v>
      </c>
      <c r="S483" s="91">
        <v>49348046</v>
      </c>
      <c r="T483" s="91">
        <v>2.3999999999999998E-3</v>
      </c>
      <c r="V483" s="90">
        <v>45358</v>
      </c>
      <c r="W483" s="91">
        <v>1616.599976</v>
      </c>
      <c r="X483" s="91">
        <v>1616.4499510000001</v>
      </c>
      <c r="Y483" s="91">
        <v>1521.8630370000001</v>
      </c>
      <c r="Z483" s="91">
        <v>6348359</v>
      </c>
      <c r="AA483" s="91">
        <v>-6.9999999999999999E-4</v>
      </c>
      <c r="AB483" s="91"/>
      <c r="AC483" s="90">
        <v>45358</v>
      </c>
      <c r="AD483" s="91">
        <v>3890</v>
      </c>
      <c r="AE483" s="91">
        <v>3952.1999510000001</v>
      </c>
      <c r="AF483" s="91">
        <v>3946.0715329999998</v>
      </c>
      <c r="AG483" s="91">
        <v>680535</v>
      </c>
      <c r="AH483" s="91">
        <v>2.07E-2</v>
      </c>
      <c r="AI483" s="91"/>
      <c r="AJ483" s="91">
        <f>(F483*'Part 3 Portfolio Analysis'!$B$8+M483*'Part 3 Portfolio Analysis'!$C$8+T483*'Part 3 Portfolio Analysis'!$D$8+AA483*'Part 3 Portfolio Analysis'!$E$8+AH483*'Part 3 Portfolio Analysis'!$F$8)/100</f>
        <v>-1.9796716899376197E-3</v>
      </c>
      <c r="AK483" s="91">
        <f>'Part 3 Portfolio Analysis'!$B$107*F483+M483*'Part 3 Portfolio Analysis'!$C$107+T483*'Part 3 Portfolio Analysis'!$D$107+AA483*'Part 3 Portfolio Analysis'!$E$107+AH483*'Part 3 Portfolio Analysis'!$F$107</f>
        <v>2.5084E-3</v>
      </c>
      <c r="AL483" s="91">
        <f>F483*'Part 3 Portfolio Analysis'!$B$121+M483*'Part 3 Portfolio Analysis'!$C$121+'Part 3 Portfolio Analysis'!$D$121*T483+AA483*'Part 3 Portfolio Analysis'!$E$121+'Part 3 Portfolio Analysis'!$F$121*AH483</f>
        <v>-4.7460400000000008E-3</v>
      </c>
      <c r="AM483" s="91"/>
      <c r="AN483" s="90">
        <v>45358</v>
      </c>
      <c r="AO483" s="91">
        <v>22505.300780000001</v>
      </c>
      <c r="AP483" s="91">
        <v>22493.550780000001</v>
      </c>
      <c r="AQ483" s="91">
        <v>22493.550780000001</v>
      </c>
      <c r="AR483" s="91">
        <v>379900</v>
      </c>
      <c r="AS483" s="91">
        <v>8.9999999999999998E-4</v>
      </c>
    </row>
    <row r="484" spans="1:45" x14ac:dyDescent="0.55000000000000004">
      <c r="A484" s="90">
        <v>45362</v>
      </c>
      <c r="B484" s="91">
        <v>7724.8999020000001</v>
      </c>
      <c r="C484" s="91">
        <v>7702.9501950000003</v>
      </c>
      <c r="D484" s="91">
        <v>7543.2529299999997</v>
      </c>
      <c r="E484" s="91">
        <v>132700</v>
      </c>
      <c r="F484" s="91">
        <v>2.0999999999999999E-3</v>
      </c>
      <c r="H484" s="90">
        <v>45362</v>
      </c>
      <c r="I484" s="91">
        <v>1489</v>
      </c>
      <c r="J484" s="91">
        <v>1466.599976</v>
      </c>
      <c r="K484" s="91">
        <v>1455.8248289999999</v>
      </c>
      <c r="L484" s="91">
        <v>11277130</v>
      </c>
      <c r="M484" s="91">
        <v>-8.3000000000000001E-3</v>
      </c>
      <c r="O484" s="90">
        <v>45362</v>
      </c>
      <c r="P484" s="91">
        <v>715</v>
      </c>
      <c r="Q484" s="91">
        <v>713.90002440000001</v>
      </c>
      <c r="R484" s="91">
        <v>694.88995360000001</v>
      </c>
      <c r="S484" s="91">
        <v>50531094</v>
      </c>
      <c r="T484" s="91">
        <v>-1.2699999999999999E-2</v>
      </c>
      <c r="V484" s="90">
        <v>45362</v>
      </c>
      <c r="W484" s="91">
        <v>1608.150024</v>
      </c>
      <c r="X484" s="91">
        <v>1600.599976</v>
      </c>
      <c r="Y484" s="91">
        <v>1506.9406739999999</v>
      </c>
      <c r="Z484" s="91">
        <v>6752895</v>
      </c>
      <c r="AA484" s="91">
        <v>-9.7999999999999997E-3</v>
      </c>
      <c r="AB484" s="91"/>
      <c r="AC484" s="90">
        <v>45362</v>
      </c>
      <c r="AD484" s="91">
        <v>3982</v>
      </c>
      <c r="AE484" s="91">
        <v>4004.6999510000001</v>
      </c>
      <c r="AF484" s="91">
        <v>3998.48999</v>
      </c>
      <c r="AG484" s="91">
        <v>3757634</v>
      </c>
      <c r="AH484" s="91">
        <v>1.3299999999999999E-2</v>
      </c>
      <c r="AI484" s="91"/>
      <c r="AJ484" s="91">
        <f>(F484*'Part 3 Portfolio Analysis'!$B$8+M484*'Part 3 Portfolio Analysis'!$C$8+T484*'Part 3 Portfolio Analysis'!$D$8+AA484*'Part 3 Portfolio Analysis'!$E$8+AH484*'Part 3 Portfolio Analysis'!$F$8)/100</f>
        <v>-5.9442665457710509E-3</v>
      </c>
      <c r="AK484" s="91">
        <f>'Part 3 Portfolio Analysis'!$B$107*F484+M484*'Part 3 Portfolio Analysis'!$C$107+T484*'Part 3 Portfolio Analysis'!$D$107+AA484*'Part 3 Portfolio Analysis'!$E$107+AH484*'Part 3 Portfolio Analysis'!$F$107</f>
        <v>-1.8168000000000004E-3</v>
      </c>
      <c r="AL484" s="91">
        <f>F484*'Part 3 Portfolio Analysis'!$B$121+M484*'Part 3 Portfolio Analysis'!$C$121+'Part 3 Portfolio Analysis'!$D$121*T484+AA484*'Part 3 Portfolio Analysis'!$E$121+'Part 3 Portfolio Analysis'!$F$121*AH484</f>
        <v>-8.3759999999999998E-3</v>
      </c>
      <c r="AM484" s="91"/>
      <c r="AN484" s="90">
        <v>45362</v>
      </c>
      <c r="AO484" s="91">
        <v>22517.5</v>
      </c>
      <c r="AP484" s="91">
        <v>22332.650389999999</v>
      </c>
      <c r="AQ484" s="91">
        <v>22332.650389999999</v>
      </c>
      <c r="AR484" s="91">
        <v>277900</v>
      </c>
      <c r="AS484" s="91">
        <v>-7.1999999999999998E-3</v>
      </c>
    </row>
    <row r="485" spans="1:45" x14ac:dyDescent="0.55000000000000004">
      <c r="A485" s="90">
        <v>45363</v>
      </c>
      <c r="B485" s="91">
        <v>7706</v>
      </c>
      <c r="C485" s="91">
        <v>7573.8999020000001</v>
      </c>
      <c r="D485" s="91">
        <v>7416.8784180000002</v>
      </c>
      <c r="E485" s="91">
        <v>112485</v>
      </c>
      <c r="F485" s="91">
        <v>-1.6799999999999999E-2</v>
      </c>
      <c r="H485" s="90">
        <v>45363</v>
      </c>
      <c r="I485" s="91">
        <v>1466.599976</v>
      </c>
      <c r="J485" s="91">
        <v>1475.4250489999999</v>
      </c>
      <c r="K485" s="91">
        <v>1464.584961</v>
      </c>
      <c r="L485" s="91">
        <v>9432678</v>
      </c>
      <c r="M485" s="91">
        <v>6.0000000000000001E-3</v>
      </c>
      <c r="O485" s="90">
        <v>45363</v>
      </c>
      <c r="P485" s="91">
        <v>717</v>
      </c>
      <c r="Q485" s="91">
        <v>729.77502440000001</v>
      </c>
      <c r="R485" s="91">
        <v>710.34222409999995</v>
      </c>
      <c r="S485" s="91">
        <v>65418454</v>
      </c>
      <c r="T485" s="91">
        <v>2.2200000000000001E-2</v>
      </c>
      <c r="V485" s="90">
        <v>45363</v>
      </c>
      <c r="W485" s="91">
        <v>1600</v>
      </c>
      <c r="X485" s="91">
        <v>1612.9499510000001</v>
      </c>
      <c r="Y485" s="91">
        <v>1518.567871</v>
      </c>
      <c r="Z485" s="91">
        <v>4614222</v>
      </c>
      <c r="AA485" s="91">
        <v>7.7000000000000002E-3</v>
      </c>
      <c r="AB485" s="91"/>
      <c r="AC485" s="90">
        <v>45363</v>
      </c>
      <c r="AD485" s="91">
        <v>4025.8000489999999</v>
      </c>
      <c r="AE485" s="91">
        <v>4008.6000979999999</v>
      </c>
      <c r="AF485" s="91">
        <v>4002.3842770000001</v>
      </c>
      <c r="AG485" s="91">
        <v>899570</v>
      </c>
      <c r="AH485" s="91">
        <v>1E-3</v>
      </c>
      <c r="AI485" s="91"/>
      <c r="AJ485" s="91">
        <f>(F485*'Part 3 Portfolio Analysis'!$B$8+M485*'Part 3 Portfolio Analysis'!$C$8+T485*'Part 3 Portfolio Analysis'!$D$8+AA485*'Part 3 Portfolio Analysis'!$E$8+AH485*'Part 3 Portfolio Analysis'!$F$8)/100</f>
        <v>2.0870848318141465E-3</v>
      </c>
      <c r="AK485" s="91">
        <f>'Part 3 Portfolio Analysis'!$B$107*F485+M485*'Part 3 Portfolio Analysis'!$C$107+T485*'Part 3 Portfolio Analysis'!$D$107+AA485*'Part 3 Portfolio Analysis'!$E$107+AH485*'Part 3 Portfolio Analysis'!$F$107</f>
        <v>3.3170000000000001E-3</v>
      </c>
      <c r="AL485" s="91">
        <f>F485*'Part 3 Portfolio Analysis'!$B$121+M485*'Part 3 Portfolio Analysis'!$C$121+'Part 3 Portfolio Analysis'!$D$121*T485+AA485*'Part 3 Portfolio Analysis'!$E$121+'Part 3 Portfolio Analysis'!$F$121*AH485</f>
        <v>8.7412400000000025E-3</v>
      </c>
      <c r="AM485" s="91"/>
      <c r="AN485" s="90">
        <v>45363</v>
      </c>
      <c r="AO485" s="91">
        <v>22334.449219999999</v>
      </c>
      <c r="AP485" s="91">
        <v>22335.699219999999</v>
      </c>
      <c r="AQ485" s="91">
        <v>22335.699219999999</v>
      </c>
      <c r="AR485" s="91">
        <v>299200</v>
      </c>
      <c r="AS485" s="91">
        <v>1E-4</v>
      </c>
    </row>
    <row r="486" spans="1:45" x14ac:dyDescent="0.55000000000000004">
      <c r="A486" s="90">
        <v>45364</v>
      </c>
      <c r="B486" s="91">
        <v>7650</v>
      </c>
      <c r="C486" s="91">
        <v>7392.7998049999997</v>
      </c>
      <c r="D486" s="91">
        <v>7239.5327150000003</v>
      </c>
      <c r="E486" s="91">
        <v>314712</v>
      </c>
      <c r="F486" s="91">
        <v>-2.3900000000000001E-2</v>
      </c>
      <c r="H486" s="90">
        <v>45364</v>
      </c>
      <c r="I486" s="91">
        <v>1479.775024</v>
      </c>
      <c r="J486" s="91">
        <v>1432.1750489999999</v>
      </c>
      <c r="K486" s="91">
        <v>1421.6527100000001</v>
      </c>
      <c r="L486" s="91">
        <v>13522134</v>
      </c>
      <c r="M486" s="91">
        <v>-2.93E-2</v>
      </c>
      <c r="O486" s="90">
        <v>45364</v>
      </c>
      <c r="P486" s="91">
        <v>732.75</v>
      </c>
      <c r="Q486" s="91">
        <v>730.20001219999995</v>
      </c>
      <c r="R486" s="91">
        <v>710.75585939999996</v>
      </c>
      <c r="S486" s="91">
        <v>63067454</v>
      </c>
      <c r="T486" s="91">
        <v>5.9999999999999995E-4</v>
      </c>
      <c r="V486" s="90">
        <v>45364</v>
      </c>
      <c r="W486" s="91">
        <v>1612.900024</v>
      </c>
      <c r="X486" s="91">
        <v>1611.400024</v>
      </c>
      <c r="Y486" s="91">
        <v>1517.1085210000001</v>
      </c>
      <c r="Z486" s="91">
        <v>5688997</v>
      </c>
      <c r="AA486" s="91">
        <v>-1E-3</v>
      </c>
      <c r="AB486" s="91"/>
      <c r="AC486" s="90">
        <v>45364</v>
      </c>
      <c r="AD486" s="91">
        <v>4022.9499510000001</v>
      </c>
      <c r="AE486" s="91">
        <v>3944.0500489999999</v>
      </c>
      <c r="AF486" s="91">
        <v>3937.9343260000001</v>
      </c>
      <c r="AG486" s="91">
        <v>968084</v>
      </c>
      <c r="AH486" s="91">
        <v>-1.61E-2</v>
      </c>
      <c r="AI486" s="91"/>
      <c r="AJ486" s="91">
        <f>(F486*'Part 3 Portfolio Analysis'!$B$8+M486*'Part 3 Portfolio Analysis'!$C$8+T486*'Part 3 Portfolio Analysis'!$D$8+AA486*'Part 3 Portfolio Analysis'!$E$8+AH486*'Part 3 Portfolio Analysis'!$F$8)/100</f>
        <v>-1.8008868751244193E-2</v>
      </c>
      <c r="AK486" s="91">
        <f>'Part 3 Portfolio Analysis'!$B$107*F486+M486*'Part 3 Portfolio Analysis'!$C$107+T486*'Part 3 Portfolio Analysis'!$D$107+AA486*'Part 3 Portfolio Analysis'!$E$107+AH486*'Part 3 Portfolio Analysis'!$F$107</f>
        <v>-1.75371E-2</v>
      </c>
      <c r="AL486" s="91">
        <f>F486*'Part 3 Portfolio Analysis'!$B$121+M486*'Part 3 Portfolio Analysis'!$C$121+'Part 3 Portfolio Analysis'!$D$121*T486+AA486*'Part 3 Portfolio Analysis'!$E$121+'Part 3 Portfolio Analysis'!$F$121*AH486</f>
        <v>-1.471748E-2</v>
      </c>
      <c r="AM486" s="91"/>
      <c r="AN486" s="90">
        <v>45364</v>
      </c>
      <c r="AO486" s="91">
        <v>22432.199219999999</v>
      </c>
      <c r="AP486" s="91">
        <v>21997.699219999999</v>
      </c>
      <c r="AQ486" s="91">
        <v>21997.699219999999</v>
      </c>
      <c r="AR486" s="91">
        <v>493300</v>
      </c>
      <c r="AS486" s="91">
        <v>-1.5100000000000001E-2</v>
      </c>
    </row>
    <row r="487" spans="1:45" x14ac:dyDescent="0.55000000000000004">
      <c r="A487" s="90">
        <v>45365</v>
      </c>
      <c r="B487" s="91">
        <v>7456.75</v>
      </c>
      <c r="C487" s="91">
        <v>7730.6000979999999</v>
      </c>
      <c r="D487" s="91">
        <v>7570.3295900000003</v>
      </c>
      <c r="E487" s="91">
        <v>134183</v>
      </c>
      <c r="F487" s="91">
        <v>4.5699999999999998E-2</v>
      </c>
      <c r="H487" s="90">
        <v>45365</v>
      </c>
      <c r="I487" s="91">
        <v>1439.6999510000001</v>
      </c>
      <c r="J487" s="91">
        <v>1431.474976</v>
      </c>
      <c r="K487" s="91">
        <v>1420.957764</v>
      </c>
      <c r="L487" s="91">
        <v>18571102</v>
      </c>
      <c r="M487" s="91">
        <v>-5.0000000000000001E-4</v>
      </c>
      <c r="O487" s="90">
        <v>45365</v>
      </c>
      <c r="P487" s="91">
        <v>731.04998780000005</v>
      </c>
      <c r="Q487" s="91">
        <v>727.72497559999999</v>
      </c>
      <c r="R487" s="91">
        <v>708.34674070000005</v>
      </c>
      <c r="S487" s="91">
        <v>52432158</v>
      </c>
      <c r="T487" s="91">
        <v>-3.3999999999999998E-3</v>
      </c>
      <c r="V487" s="90">
        <v>45365</v>
      </c>
      <c r="W487" s="91">
        <v>1614.400024</v>
      </c>
      <c r="X487" s="91">
        <v>1653.3000489999999</v>
      </c>
      <c r="Y487" s="91">
        <v>1556.5570070000001</v>
      </c>
      <c r="Z487" s="91">
        <v>8803799</v>
      </c>
      <c r="AA487" s="91">
        <v>2.5999999999999999E-2</v>
      </c>
      <c r="AB487" s="91"/>
      <c r="AC487" s="90">
        <v>45365</v>
      </c>
      <c r="AD487" s="91">
        <v>3900</v>
      </c>
      <c r="AE487" s="91">
        <v>4081.1000979999999</v>
      </c>
      <c r="AF487" s="91">
        <v>4074.7719729999999</v>
      </c>
      <c r="AG487" s="91">
        <v>723158</v>
      </c>
      <c r="AH487" s="91">
        <v>3.4700000000000002E-2</v>
      </c>
      <c r="AI487" s="91"/>
      <c r="AJ487" s="91">
        <f>(F487*'Part 3 Portfolio Analysis'!$B$8+M487*'Part 3 Portfolio Analysis'!$C$8+T487*'Part 3 Portfolio Analysis'!$D$8+AA487*'Part 3 Portfolio Analysis'!$E$8+AH487*'Part 3 Portfolio Analysis'!$F$8)/100</f>
        <v>1.7485013378436699E-2</v>
      </c>
      <c r="AK487" s="91">
        <f>'Part 3 Portfolio Analysis'!$B$107*F487+M487*'Part 3 Portfolio Analysis'!$C$107+T487*'Part 3 Portfolio Analysis'!$D$107+AA487*'Part 3 Portfolio Analysis'!$E$107+AH487*'Part 3 Portfolio Analysis'!$F$107</f>
        <v>1.8886899999999998E-2</v>
      </c>
      <c r="AL487" s="91">
        <f>F487*'Part 3 Portfolio Analysis'!$B$121+M487*'Part 3 Portfolio Analysis'!$C$121+'Part 3 Portfolio Analysis'!$D$121*T487+AA487*'Part 3 Portfolio Analysis'!$E$121+'Part 3 Portfolio Analysis'!$F$121*AH487</f>
        <v>8.7310799999999987E-3</v>
      </c>
      <c r="AM487" s="91"/>
      <c r="AN487" s="90">
        <v>45365</v>
      </c>
      <c r="AO487" s="91">
        <v>21982.550780000001</v>
      </c>
      <c r="AP487" s="91">
        <v>22146.650389999999</v>
      </c>
      <c r="AQ487" s="91">
        <v>22146.650389999999</v>
      </c>
      <c r="AR487" s="91">
        <v>426700</v>
      </c>
      <c r="AS487" s="91">
        <v>6.7999999999999996E-3</v>
      </c>
    </row>
    <row r="488" spans="1:45" x14ac:dyDescent="0.55000000000000004">
      <c r="A488" s="90">
        <v>45366</v>
      </c>
      <c r="B488" s="91">
        <v>7744</v>
      </c>
      <c r="C488" s="91">
        <v>7707</v>
      </c>
      <c r="D488" s="91">
        <v>7547.2192379999997</v>
      </c>
      <c r="E488" s="91">
        <v>166240</v>
      </c>
      <c r="F488" s="91">
        <v>-3.0999999999999999E-3</v>
      </c>
      <c r="H488" s="90">
        <v>45366</v>
      </c>
      <c r="I488" s="91">
        <v>1425.9499510000001</v>
      </c>
      <c r="J488" s="91">
        <v>1418.224976</v>
      </c>
      <c r="K488" s="91">
        <v>1407.8051760000001</v>
      </c>
      <c r="L488" s="91">
        <v>19223818</v>
      </c>
      <c r="M488" s="91">
        <v>-9.2999999999999992E-3</v>
      </c>
      <c r="O488" s="90">
        <v>45366</v>
      </c>
      <c r="P488" s="91">
        <v>725</v>
      </c>
      <c r="Q488" s="91">
        <v>726.32501219999995</v>
      </c>
      <c r="R488" s="91">
        <v>706.98406980000004</v>
      </c>
      <c r="S488" s="91">
        <v>143613804</v>
      </c>
      <c r="T488" s="91">
        <v>-1.9E-3</v>
      </c>
      <c r="V488" s="90">
        <v>45366</v>
      </c>
      <c r="W488" s="91">
        <v>1641.099976</v>
      </c>
      <c r="X488" s="91">
        <v>1634</v>
      </c>
      <c r="Y488" s="91">
        <v>1538.3862300000001</v>
      </c>
      <c r="Z488" s="91">
        <v>11809997</v>
      </c>
      <c r="AA488" s="91">
        <v>-1.17E-2</v>
      </c>
      <c r="AB488" s="91"/>
      <c r="AC488" s="90">
        <v>45366</v>
      </c>
      <c r="AD488" s="91">
        <v>4051.0500489999999</v>
      </c>
      <c r="AE488" s="91">
        <v>4063.8999020000001</v>
      </c>
      <c r="AF488" s="91">
        <v>4057.5983890000002</v>
      </c>
      <c r="AG488" s="91">
        <v>1197832</v>
      </c>
      <c r="AH488" s="91">
        <v>-4.1999999999999997E-3</v>
      </c>
      <c r="AI488" s="91"/>
      <c r="AJ488" s="91">
        <f>(F488*'Part 3 Portfolio Analysis'!$B$8+M488*'Part 3 Portfolio Analysis'!$C$8+T488*'Part 3 Portfolio Analysis'!$D$8+AA488*'Part 3 Portfolio Analysis'!$E$8+AH488*'Part 3 Portfolio Analysis'!$F$8)/100</f>
        <v>-6.541981240836563E-3</v>
      </c>
      <c r="AK488" s="91">
        <f>'Part 3 Portfolio Analysis'!$B$107*F488+M488*'Part 3 Portfolio Analysis'!$C$107+T488*'Part 3 Portfolio Analysis'!$D$107+AA488*'Part 3 Portfolio Analysis'!$E$107+AH488*'Part 3 Portfolio Analysis'!$F$107</f>
        <v>-5.9917999999999994E-3</v>
      </c>
      <c r="AL488" s="91">
        <f>F488*'Part 3 Portfolio Analysis'!$B$121+M488*'Part 3 Portfolio Analysis'!$C$121+'Part 3 Portfolio Analysis'!$D$121*T488+AA488*'Part 3 Portfolio Analysis'!$E$121+'Part 3 Portfolio Analysis'!$F$121*AH488</f>
        <v>-7.1239399999999996E-3</v>
      </c>
      <c r="AM488" s="91"/>
      <c r="AN488" s="90">
        <v>45366</v>
      </c>
      <c r="AO488" s="91">
        <v>22064.849610000001</v>
      </c>
      <c r="AP488" s="91">
        <v>22023.349610000001</v>
      </c>
      <c r="AQ488" s="91">
        <v>22023.349610000001</v>
      </c>
      <c r="AR488" s="91">
        <v>661500</v>
      </c>
      <c r="AS488" s="91">
        <v>-5.5999999999999999E-3</v>
      </c>
    </row>
    <row r="489" spans="1:45" x14ac:dyDescent="0.55000000000000004">
      <c r="A489" s="90">
        <v>45369</v>
      </c>
      <c r="B489" s="91">
        <v>7725</v>
      </c>
      <c r="C489" s="91">
        <v>7702.7001950000003</v>
      </c>
      <c r="D489" s="91">
        <v>7543.0083009999998</v>
      </c>
      <c r="E489" s="91">
        <v>79507</v>
      </c>
      <c r="F489" s="91">
        <v>-5.9999999999999995E-4</v>
      </c>
      <c r="H489" s="90">
        <v>45369</v>
      </c>
      <c r="I489" s="91">
        <v>1420</v>
      </c>
      <c r="J489" s="91">
        <v>1439.474976</v>
      </c>
      <c r="K489" s="91">
        <v>1428.8991699999999</v>
      </c>
      <c r="L489" s="91">
        <v>9169392</v>
      </c>
      <c r="M489" s="91">
        <v>1.4999999999999999E-2</v>
      </c>
      <c r="O489" s="90">
        <v>45369</v>
      </c>
      <c r="P489" s="91">
        <v>723.5</v>
      </c>
      <c r="Q489" s="91">
        <v>723.02502440000001</v>
      </c>
      <c r="R489" s="91">
        <v>703.77197269999999</v>
      </c>
      <c r="S489" s="91">
        <v>21437856</v>
      </c>
      <c r="T489" s="91">
        <v>-4.4999999999999997E-3</v>
      </c>
      <c r="V489" s="90">
        <v>45369</v>
      </c>
      <c r="W489" s="91">
        <v>1630</v>
      </c>
      <c r="X489" s="91">
        <v>1602.650024</v>
      </c>
      <c r="Y489" s="91">
        <v>1508.8707280000001</v>
      </c>
      <c r="Z489" s="91">
        <v>4958904</v>
      </c>
      <c r="AA489" s="91">
        <v>-1.9199999999999998E-2</v>
      </c>
      <c r="AB489" s="91"/>
      <c r="AC489" s="90">
        <v>45369</v>
      </c>
      <c r="AD489" s="91">
        <v>4063.8999020000001</v>
      </c>
      <c r="AE489" s="91">
        <v>4071.0500489999999</v>
      </c>
      <c r="AF489" s="91">
        <v>4064.7373050000001</v>
      </c>
      <c r="AG489" s="91">
        <v>328538</v>
      </c>
      <c r="AH489" s="91">
        <v>1.8E-3</v>
      </c>
      <c r="AI489" s="91"/>
      <c r="AJ489" s="91">
        <f>(F489*'Part 3 Portfolio Analysis'!$B$8+M489*'Part 3 Portfolio Analysis'!$C$8+T489*'Part 3 Portfolio Analysis'!$D$8+AA489*'Part 3 Portfolio Analysis'!$E$8+AH489*'Part 3 Portfolio Analysis'!$F$8)/100</f>
        <v>1.4342127733773902E-3</v>
      </c>
      <c r="AK489" s="91">
        <f>'Part 3 Portfolio Analysis'!$B$107*F489+M489*'Part 3 Portfolio Analysis'!$C$107+T489*'Part 3 Portfolio Analysis'!$D$107+AA489*'Part 3 Portfolio Analysis'!$E$107+AH489*'Part 3 Portfolio Analysis'!$F$107</f>
        <v>2.4231000000000001E-3</v>
      </c>
      <c r="AL489" s="91">
        <f>F489*'Part 3 Portfolio Analysis'!$B$121+M489*'Part 3 Portfolio Analysis'!$C$121+'Part 3 Portfolio Analysis'!$D$121*T489+AA489*'Part 3 Portfolio Analysis'!$E$121+'Part 3 Portfolio Analysis'!$F$121*AH489</f>
        <v>1.2278399999999991E-3</v>
      </c>
      <c r="AM489" s="91"/>
      <c r="AN489" s="90">
        <v>45369</v>
      </c>
      <c r="AO489" s="91">
        <v>21990.099610000001</v>
      </c>
      <c r="AP489" s="91">
        <v>22055.699219999999</v>
      </c>
      <c r="AQ489" s="91">
        <v>22055.699219999999</v>
      </c>
      <c r="AR489" s="91">
        <v>356300</v>
      </c>
      <c r="AS489" s="91">
        <v>1.5E-3</v>
      </c>
    </row>
    <row r="490" spans="1:45" x14ac:dyDescent="0.55000000000000004">
      <c r="A490" s="90">
        <v>45370</v>
      </c>
      <c r="B490" s="91">
        <v>7708</v>
      </c>
      <c r="C490" s="91">
        <v>7635.8500979999999</v>
      </c>
      <c r="D490" s="91">
        <v>7477.5439450000003</v>
      </c>
      <c r="E490" s="91">
        <v>78340</v>
      </c>
      <c r="F490" s="91">
        <v>-8.6999999999999994E-3</v>
      </c>
      <c r="H490" s="90">
        <v>45370</v>
      </c>
      <c r="I490" s="91">
        <v>1428.75</v>
      </c>
      <c r="J490" s="91">
        <v>1425.25</v>
      </c>
      <c r="K490" s="91">
        <v>1414.778564</v>
      </c>
      <c r="L490" s="91">
        <v>8275764</v>
      </c>
      <c r="M490" s="91">
        <v>-9.9000000000000008E-3</v>
      </c>
      <c r="O490" s="90">
        <v>45370</v>
      </c>
      <c r="P490" s="91">
        <v>717.75</v>
      </c>
      <c r="Q490" s="91">
        <v>724.67498780000005</v>
      </c>
      <c r="R490" s="91">
        <v>705.37799070000005</v>
      </c>
      <c r="S490" s="91">
        <v>36183594</v>
      </c>
      <c r="T490" s="91">
        <v>2.3E-3</v>
      </c>
      <c r="V490" s="90">
        <v>45370</v>
      </c>
      <c r="W490" s="91">
        <v>1592.349976</v>
      </c>
      <c r="X490" s="91">
        <v>1561.4499510000001</v>
      </c>
      <c r="Y490" s="91">
        <v>1470.0814210000001</v>
      </c>
      <c r="Z490" s="91">
        <v>6870411</v>
      </c>
      <c r="AA490" s="91">
        <v>-2.5700000000000001E-2</v>
      </c>
      <c r="AB490" s="91"/>
      <c r="AC490" s="90">
        <v>45370</v>
      </c>
      <c r="AD490" s="91">
        <v>4080</v>
      </c>
      <c r="AE490" s="91">
        <v>3955.6499020000001</v>
      </c>
      <c r="AF490" s="91">
        <v>3949.5161130000001</v>
      </c>
      <c r="AG490" s="91">
        <v>489357</v>
      </c>
      <c r="AH490" s="91">
        <v>-2.8299999999999999E-2</v>
      </c>
      <c r="AI490" s="91"/>
      <c r="AJ490" s="91">
        <f>(F490*'Part 3 Portfolio Analysis'!$B$8+M490*'Part 3 Portfolio Analysis'!$C$8+T490*'Part 3 Portfolio Analysis'!$D$8+AA490*'Part 3 Portfolio Analysis'!$E$8+AH490*'Part 3 Portfolio Analysis'!$F$8)/100</f>
        <v>-1.0227469640233829E-2</v>
      </c>
      <c r="AK490" s="91">
        <f>'Part 3 Portfolio Analysis'!$B$107*F490+M490*'Part 3 Portfolio Analysis'!$C$107+T490*'Part 3 Portfolio Analysis'!$D$107+AA490*'Part 3 Portfolio Analysis'!$E$107+AH490*'Part 3 Portfolio Analysis'!$F$107</f>
        <v>-1.4009799999999999E-2</v>
      </c>
      <c r="AL490" s="91">
        <f>F490*'Part 3 Portfolio Analysis'!$B$121+M490*'Part 3 Portfolio Analysis'!$C$121+'Part 3 Portfolio Analysis'!$D$121*T490+AA490*'Part 3 Portfolio Analysis'!$E$121+'Part 3 Portfolio Analysis'!$F$121*AH490</f>
        <v>-1.012504E-2</v>
      </c>
      <c r="AM490" s="91"/>
      <c r="AN490" s="90">
        <v>45370</v>
      </c>
      <c r="AO490" s="91">
        <v>21946.449219999999</v>
      </c>
      <c r="AP490" s="91">
        <v>21817.449219999999</v>
      </c>
      <c r="AQ490" s="91">
        <v>21817.449219999999</v>
      </c>
      <c r="AR490" s="91">
        <v>344200</v>
      </c>
      <c r="AS490" s="91">
        <v>-1.0800000000000001E-2</v>
      </c>
    </row>
    <row r="491" spans="1:45" x14ac:dyDescent="0.55000000000000004">
      <c r="A491" s="90">
        <v>45371</v>
      </c>
      <c r="B491" s="91">
        <v>7633</v>
      </c>
      <c r="C491" s="91">
        <v>7556.5</v>
      </c>
      <c r="D491" s="91">
        <v>7399.8388670000004</v>
      </c>
      <c r="E491" s="91">
        <v>67469</v>
      </c>
      <c r="F491" s="91">
        <v>-1.04E-2</v>
      </c>
      <c r="H491" s="90">
        <v>45371</v>
      </c>
      <c r="I491" s="91">
        <v>1427.9499510000001</v>
      </c>
      <c r="J491" s="91">
        <v>1443.75</v>
      </c>
      <c r="K491" s="91">
        <v>1433.1427000000001</v>
      </c>
      <c r="L491" s="91">
        <v>8488806</v>
      </c>
      <c r="M491" s="91">
        <v>1.2999999999999999E-2</v>
      </c>
      <c r="O491" s="90">
        <v>45371</v>
      </c>
      <c r="P491" s="91">
        <v>724.52502440000001</v>
      </c>
      <c r="Q491" s="91">
        <v>715.52502440000001</v>
      </c>
      <c r="R491" s="91">
        <v>696.47161870000002</v>
      </c>
      <c r="S491" s="91">
        <v>43606094</v>
      </c>
      <c r="T491" s="91">
        <v>-1.26E-2</v>
      </c>
      <c r="V491" s="90">
        <v>45371</v>
      </c>
      <c r="W491" s="91">
        <v>1563</v>
      </c>
      <c r="X491" s="91">
        <v>1554.9499510000001</v>
      </c>
      <c r="Y491" s="91">
        <v>1463.961914</v>
      </c>
      <c r="Z491" s="91">
        <v>4759059</v>
      </c>
      <c r="AA491" s="91">
        <v>-4.1999999999999997E-3</v>
      </c>
      <c r="AB491" s="91"/>
      <c r="AC491" s="90">
        <v>45371</v>
      </c>
      <c r="AD491" s="91">
        <v>3971.4499510000001</v>
      </c>
      <c r="AE491" s="91">
        <v>3965.0500489999999</v>
      </c>
      <c r="AF491" s="91">
        <v>3958.9018550000001</v>
      </c>
      <c r="AG491" s="91">
        <v>607192</v>
      </c>
      <c r="AH491" s="91">
        <v>2.3999999999999998E-3</v>
      </c>
      <c r="AI491" s="91"/>
      <c r="AJ491" s="91">
        <f>(F491*'Part 3 Portfolio Analysis'!$B$8+M491*'Part 3 Portfolio Analysis'!$C$8+T491*'Part 3 Portfolio Analysis'!$D$8+AA491*'Part 3 Portfolio Analysis'!$E$8+AH491*'Part 3 Portfolio Analysis'!$F$8)/100</f>
        <v>-1.1620626593838686E-3</v>
      </c>
      <c r="AK491" s="91">
        <f>'Part 3 Portfolio Analysis'!$B$107*F491+M491*'Part 3 Portfolio Analysis'!$C$107+T491*'Part 3 Portfolio Analysis'!$D$107+AA491*'Part 3 Portfolio Analysis'!$E$107+AH491*'Part 3 Portfolio Analysis'!$F$107</f>
        <v>4.2880000000000001E-4</v>
      </c>
      <c r="AL491" s="91">
        <f>F491*'Part 3 Portfolio Analysis'!$B$121+M491*'Part 3 Portfolio Analysis'!$C$121+'Part 3 Portfolio Analysis'!$D$121*T491+AA491*'Part 3 Portfolio Analysis'!$E$121+'Part 3 Portfolio Analysis'!$F$121*AH491</f>
        <v>3.9559999999999899E-4</v>
      </c>
      <c r="AM491" s="91"/>
      <c r="AN491" s="90">
        <v>45371</v>
      </c>
      <c r="AO491" s="91">
        <v>21843.900389999999</v>
      </c>
      <c r="AP491" s="91">
        <v>21839.099610000001</v>
      </c>
      <c r="AQ491" s="91">
        <v>21839.099610000001</v>
      </c>
      <c r="AR491" s="91">
        <v>312400</v>
      </c>
      <c r="AS491" s="91">
        <v>1E-3</v>
      </c>
    </row>
    <row r="492" spans="1:45" x14ac:dyDescent="0.55000000000000004">
      <c r="A492" s="90">
        <v>45372</v>
      </c>
      <c r="B492" s="91">
        <v>7626.0498049999997</v>
      </c>
      <c r="C492" s="91">
        <v>7704.75</v>
      </c>
      <c r="D492" s="91">
        <v>7545.015625</v>
      </c>
      <c r="E492" s="91">
        <v>79906</v>
      </c>
      <c r="F492" s="91">
        <v>1.9599999999999999E-2</v>
      </c>
      <c r="H492" s="90">
        <v>45372</v>
      </c>
      <c r="I492" s="91">
        <v>1452.525024</v>
      </c>
      <c r="J492" s="91">
        <v>1450.974976</v>
      </c>
      <c r="K492" s="91">
        <v>1440.3145750000001</v>
      </c>
      <c r="L492" s="91">
        <v>13006936</v>
      </c>
      <c r="M492" s="91">
        <v>5.0000000000000001E-3</v>
      </c>
      <c r="O492" s="90">
        <v>45372</v>
      </c>
      <c r="P492" s="91">
        <v>721.29998780000005</v>
      </c>
      <c r="Q492" s="91">
        <v>722.875</v>
      </c>
      <c r="R492" s="91">
        <v>703.62591550000002</v>
      </c>
      <c r="S492" s="91">
        <v>28922860</v>
      </c>
      <c r="T492" s="91">
        <v>1.03E-2</v>
      </c>
      <c r="V492" s="90">
        <v>45372</v>
      </c>
      <c r="W492" s="91">
        <v>1564</v>
      </c>
      <c r="X492" s="91">
        <v>1554.6999510000001</v>
      </c>
      <c r="Y492" s="91">
        <v>1463.7264399999999</v>
      </c>
      <c r="Z492" s="91">
        <v>11062497</v>
      </c>
      <c r="AA492" s="91">
        <v>-2.0000000000000001E-4</v>
      </c>
      <c r="AB492" s="91"/>
      <c r="AC492" s="90">
        <v>45372</v>
      </c>
      <c r="AD492" s="91">
        <v>3965</v>
      </c>
      <c r="AE492" s="91">
        <v>4001.8500979999999</v>
      </c>
      <c r="AF492" s="91">
        <v>3995.6447750000002</v>
      </c>
      <c r="AG492" s="91">
        <v>622994</v>
      </c>
      <c r="AH492" s="91">
        <v>9.2999999999999992E-3</v>
      </c>
      <c r="AI492" s="91"/>
      <c r="AJ492" s="91">
        <f>(F492*'Part 3 Portfolio Analysis'!$B$8+M492*'Part 3 Portfolio Analysis'!$C$8+T492*'Part 3 Portfolio Analysis'!$D$8+AA492*'Part 3 Portfolio Analysis'!$E$8+AH492*'Part 3 Portfolio Analysis'!$F$8)/100</f>
        <v>9.4692792151084629E-3</v>
      </c>
      <c r="AK492" s="91">
        <f>'Part 3 Portfolio Analysis'!$B$107*F492+M492*'Part 3 Portfolio Analysis'!$C$107+T492*'Part 3 Portfolio Analysis'!$D$107+AA492*'Part 3 Portfolio Analysis'!$E$107+AH492*'Part 3 Portfolio Analysis'!$F$107</f>
        <v>9.0130999999999996E-3</v>
      </c>
      <c r="AL492" s="91">
        <f>F492*'Part 3 Portfolio Analysis'!$B$121+M492*'Part 3 Portfolio Analysis'!$C$121+'Part 3 Portfolio Analysis'!$D$121*T492+AA492*'Part 3 Portfolio Analysis'!$E$121+'Part 3 Portfolio Analysis'!$F$121*AH492</f>
        <v>6.7143799999999998E-3</v>
      </c>
      <c r="AM492" s="91"/>
      <c r="AN492" s="90">
        <v>45372</v>
      </c>
      <c r="AO492" s="91">
        <v>21989.900389999999</v>
      </c>
      <c r="AP492" s="91">
        <v>22011.949219999999</v>
      </c>
      <c r="AQ492" s="91">
        <v>22011.949219999999</v>
      </c>
      <c r="AR492" s="91">
        <v>353200</v>
      </c>
      <c r="AS492" s="91">
        <v>7.9000000000000008E-3</v>
      </c>
    </row>
    <row r="493" spans="1:45" x14ac:dyDescent="0.55000000000000004">
      <c r="A493" s="90">
        <v>45373</v>
      </c>
      <c r="B493" s="91">
        <v>7655.5498049999997</v>
      </c>
      <c r="C493" s="91">
        <v>7665</v>
      </c>
      <c r="D493" s="91">
        <v>7506.0898440000001</v>
      </c>
      <c r="E493" s="91">
        <v>63721</v>
      </c>
      <c r="F493" s="91">
        <v>-5.1999999999999998E-3</v>
      </c>
      <c r="H493" s="90">
        <v>45373</v>
      </c>
      <c r="I493" s="91">
        <v>1449.974976</v>
      </c>
      <c r="J493" s="91">
        <v>1455.025024</v>
      </c>
      <c r="K493" s="91">
        <v>1444.3348390000001</v>
      </c>
      <c r="L493" s="91">
        <v>19527608</v>
      </c>
      <c r="M493" s="91">
        <v>2.8E-3</v>
      </c>
      <c r="O493" s="90">
        <v>45373</v>
      </c>
      <c r="P493" s="91">
        <v>720.5</v>
      </c>
      <c r="Q493" s="91">
        <v>721.42498780000005</v>
      </c>
      <c r="R493" s="91">
        <v>702.21447750000004</v>
      </c>
      <c r="S493" s="91">
        <v>45980326</v>
      </c>
      <c r="T493" s="91">
        <v>-2E-3</v>
      </c>
      <c r="V493" s="90">
        <v>45373</v>
      </c>
      <c r="W493" s="91">
        <v>1521</v>
      </c>
      <c r="X493" s="91">
        <v>1508.849976</v>
      </c>
      <c r="Y493" s="91">
        <v>1420.5593260000001</v>
      </c>
      <c r="Z493" s="91">
        <v>14673890</v>
      </c>
      <c r="AA493" s="91">
        <v>-2.9499999999999998E-2</v>
      </c>
      <c r="AB493" s="91"/>
      <c r="AC493" s="90">
        <v>45373</v>
      </c>
      <c r="AD493" s="91">
        <v>4010</v>
      </c>
      <c r="AE493" s="91">
        <v>3948.6000979999999</v>
      </c>
      <c r="AF493" s="91">
        <v>3942.4772950000001</v>
      </c>
      <c r="AG493" s="91">
        <v>678055</v>
      </c>
      <c r="AH493" s="91">
        <v>-1.3299999999999999E-2</v>
      </c>
      <c r="AI493" s="91"/>
      <c r="AJ493" s="91">
        <f>(F493*'Part 3 Portfolio Analysis'!$B$8+M493*'Part 3 Portfolio Analysis'!$C$8+T493*'Part 3 Portfolio Analysis'!$D$8+AA493*'Part 3 Portfolio Analysis'!$E$8+AH493*'Part 3 Portfolio Analysis'!$F$8)/100</f>
        <v>-5.7562101781902563E-3</v>
      </c>
      <c r="AK493" s="91">
        <f>'Part 3 Portfolio Analysis'!$B$107*F493+M493*'Part 3 Portfolio Analysis'!$C$107+T493*'Part 3 Portfolio Analysis'!$D$107+AA493*'Part 3 Portfolio Analysis'!$E$107+AH493*'Part 3 Portfolio Analysis'!$F$107</f>
        <v>-6.6711999999999995E-3</v>
      </c>
      <c r="AL493" s="91">
        <f>F493*'Part 3 Portfolio Analysis'!$B$121+M493*'Part 3 Portfolio Analysis'!$C$121+'Part 3 Portfolio Analysis'!$D$121*T493+AA493*'Part 3 Portfolio Analysis'!$E$121+'Part 3 Portfolio Analysis'!$F$121*AH493</f>
        <v>-6.0450199999999999E-3</v>
      </c>
      <c r="AM493" s="91"/>
      <c r="AN493" s="90">
        <v>45373</v>
      </c>
      <c r="AO493" s="91">
        <v>21932.199219999999</v>
      </c>
      <c r="AP493" s="91">
        <v>22096.75</v>
      </c>
      <c r="AQ493" s="91">
        <v>22096.75</v>
      </c>
      <c r="AR493" s="91">
        <v>388700</v>
      </c>
      <c r="AS493" s="91">
        <v>3.8999999999999998E-3</v>
      </c>
    </row>
    <row r="494" spans="1:45" x14ac:dyDescent="0.55000000000000004">
      <c r="A494" s="90">
        <v>45377</v>
      </c>
      <c r="B494" s="91">
        <v>7500.0498049999997</v>
      </c>
      <c r="C494" s="91">
        <v>7693.75</v>
      </c>
      <c r="D494" s="91">
        <v>7534.2436520000001</v>
      </c>
      <c r="E494" s="91">
        <v>117670</v>
      </c>
      <c r="F494" s="91">
        <v>3.8E-3</v>
      </c>
      <c r="H494" s="90">
        <v>45377</v>
      </c>
      <c r="I494" s="91">
        <v>1445</v>
      </c>
      <c r="J494" s="91">
        <v>1441.5749510000001</v>
      </c>
      <c r="K494" s="91">
        <v>1430.983643</v>
      </c>
      <c r="L494" s="91">
        <v>11415906</v>
      </c>
      <c r="M494" s="91">
        <v>-9.1999999999999998E-3</v>
      </c>
      <c r="O494" s="90">
        <v>45377</v>
      </c>
      <c r="P494" s="91">
        <v>713.59997559999999</v>
      </c>
      <c r="Q494" s="91">
        <v>712.70001219999995</v>
      </c>
      <c r="R494" s="91">
        <v>693.72186280000005</v>
      </c>
      <c r="S494" s="91">
        <v>56844290</v>
      </c>
      <c r="T494" s="91">
        <v>-1.21E-2</v>
      </c>
      <c r="V494" s="90">
        <v>45377</v>
      </c>
      <c r="W494" s="91">
        <v>1492</v>
      </c>
      <c r="X494" s="91">
        <v>1492.650024</v>
      </c>
      <c r="Y494" s="91">
        <v>1405.3073730000001</v>
      </c>
      <c r="Z494" s="91">
        <v>8351081</v>
      </c>
      <c r="AA494" s="91">
        <v>-1.0699999999999999E-2</v>
      </c>
      <c r="AB494" s="91"/>
      <c r="AC494" s="90">
        <v>45377</v>
      </c>
      <c r="AD494" s="91">
        <v>3885</v>
      </c>
      <c r="AE494" s="91">
        <v>3881.75</v>
      </c>
      <c r="AF494" s="91">
        <v>3875.7309570000002</v>
      </c>
      <c r="AG494" s="91">
        <v>844731</v>
      </c>
      <c r="AH494" s="91">
        <v>-1.6899999999999998E-2</v>
      </c>
      <c r="AI494" s="91"/>
      <c r="AJ494" s="91">
        <f>(F494*'Part 3 Portfolio Analysis'!$B$8+M494*'Part 3 Portfolio Analysis'!$C$8+T494*'Part 3 Portfolio Analysis'!$D$8+AA494*'Part 3 Portfolio Analysis'!$E$8+AH494*'Part 3 Portfolio Analysis'!$F$8)/100</f>
        <v>-6.1004138814903285E-3</v>
      </c>
      <c r="AK494" s="91">
        <f>'Part 3 Portfolio Analysis'!$B$107*F494+M494*'Part 3 Portfolio Analysis'!$C$107+T494*'Part 3 Portfolio Analysis'!$D$107+AA494*'Part 3 Portfolio Analysis'!$E$107+AH494*'Part 3 Portfolio Analysis'!$F$107</f>
        <v>-9.3998999999999992E-3</v>
      </c>
      <c r="AL494" s="91">
        <f>F494*'Part 3 Portfolio Analysis'!$B$121+M494*'Part 3 Portfolio Analysis'!$C$121+'Part 3 Portfolio Analysis'!$D$121*T494+AA494*'Part 3 Portfolio Analysis'!$E$121+'Part 3 Portfolio Analysis'!$F$121*AH494</f>
        <v>-9.4219400000000002E-3</v>
      </c>
      <c r="AM494" s="91"/>
      <c r="AN494" s="90">
        <v>45377</v>
      </c>
      <c r="AO494" s="91">
        <v>21947.900389999999</v>
      </c>
      <c r="AP494" s="91">
        <v>22004.699219999999</v>
      </c>
      <c r="AQ494" s="91">
        <v>22004.699219999999</v>
      </c>
      <c r="AR494" s="91">
        <v>328400</v>
      </c>
      <c r="AS494" s="91">
        <v>-4.1999999999999997E-3</v>
      </c>
    </row>
    <row r="495" spans="1:45" x14ac:dyDescent="0.55000000000000004">
      <c r="A495" s="90">
        <v>45378</v>
      </c>
      <c r="B495" s="91">
        <v>7725</v>
      </c>
      <c r="C495" s="91">
        <v>7674.7998049999997</v>
      </c>
      <c r="D495" s="91">
        <v>7515.6860349999997</v>
      </c>
      <c r="E495" s="91">
        <v>156037</v>
      </c>
      <c r="F495" s="91">
        <v>-2.5000000000000001E-3</v>
      </c>
      <c r="H495" s="90">
        <v>45378</v>
      </c>
      <c r="I495" s="91">
        <v>1448</v>
      </c>
      <c r="J495" s="91">
        <v>1492.849976</v>
      </c>
      <c r="K495" s="91">
        <v>1481.881836</v>
      </c>
      <c r="L495" s="91">
        <v>16326644</v>
      </c>
      <c r="M495" s="91">
        <v>3.56E-2</v>
      </c>
      <c r="O495" s="90">
        <v>45378</v>
      </c>
      <c r="P495" s="91">
        <v>711.77502440000001</v>
      </c>
      <c r="Q495" s="91">
        <v>720.34997559999999</v>
      </c>
      <c r="R495" s="91">
        <v>701.1681519</v>
      </c>
      <c r="S495" s="91">
        <v>62168668</v>
      </c>
      <c r="T495" s="91">
        <v>1.0699999999999999E-2</v>
      </c>
      <c r="V495" s="90">
        <v>45378</v>
      </c>
      <c r="W495" s="91">
        <v>1496</v>
      </c>
      <c r="X495" s="91">
        <v>1483.849976</v>
      </c>
      <c r="Y495" s="91">
        <v>1397.022217</v>
      </c>
      <c r="Z495" s="91">
        <v>6857402</v>
      </c>
      <c r="AA495" s="91">
        <v>-5.8999999999999999E-3</v>
      </c>
      <c r="AB495" s="91"/>
      <c r="AC495" s="90">
        <v>45378</v>
      </c>
      <c r="AD495" s="91">
        <v>3882.5</v>
      </c>
      <c r="AE495" s="91">
        <v>3875.1999510000001</v>
      </c>
      <c r="AF495" s="91">
        <v>3869.1909179999998</v>
      </c>
      <c r="AG495" s="91">
        <v>524636</v>
      </c>
      <c r="AH495" s="91">
        <v>-1.6999999999999999E-3</v>
      </c>
      <c r="AI495" s="91"/>
      <c r="AJ495" s="91">
        <f>(F495*'Part 3 Portfolio Analysis'!$B$8+M495*'Part 3 Portfolio Analysis'!$C$8+T495*'Part 3 Portfolio Analysis'!$D$8+AA495*'Part 3 Portfolio Analysis'!$E$8+AH495*'Part 3 Portfolio Analysis'!$F$8)/100</f>
        <v>1.2973065447829618E-2</v>
      </c>
      <c r="AK495" s="91">
        <f>'Part 3 Portfolio Analysis'!$B$107*F495+M495*'Part 3 Portfolio Analysis'!$C$107+T495*'Part 3 Portfolio Analysis'!$D$107+AA495*'Part 3 Portfolio Analysis'!$E$107+AH495*'Part 3 Portfolio Analysis'!$F$107</f>
        <v>1.1332899999999998E-2</v>
      </c>
      <c r="AL495" s="91">
        <f>F495*'Part 3 Portfolio Analysis'!$B$121+M495*'Part 3 Portfolio Analysis'!$C$121+'Part 3 Portfolio Analysis'!$D$121*T495+AA495*'Part 3 Portfolio Analysis'!$E$121+'Part 3 Portfolio Analysis'!$F$121*AH495</f>
        <v>1.6418119999999998E-2</v>
      </c>
      <c r="AM495" s="91"/>
      <c r="AN495" s="90">
        <v>45378</v>
      </c>
      <c r="AO495" s="91">
        <v>22053.949219999999</v>
      </c>
      <c r="AP495" s="91">
        <v>22123.650389999999</v>
      </c>
      <c r="AQ495" s="91">
        <v>22123.650389999999</v>
      </c>
      <c r="AR495" s="91">
        <v>409100</v>
      </c>
      <c r="AS495" s="91">
        <v>5.4000000000000003E-3</v>
      </c>
    </row>
    <row r="496" spans="1:45" x14ac:dyDescent="0.55000000000000004">
      <c r="A496" s="90">
        <v>45379</v>
      </c>
      <c r="B496" s="91">
        <v>7750</v>
      </c>
      <c r="C496" s="91">
        <v>7785.1499020000001</v>
      </c>
      <c r="D496" s="91">
        <v>7623.7485349999997</v>
      </c>
      <c r="E496" s="91">
        <v>273766</v>
      </c>
      <c r="F496" s="91">
        <v>1.44E-2</v>
      </c>
      <c r="H496" s="90">
        <v>45379</v>
      </c>
      <c r="I496" s="91">
        <v>1492.875</v>
      </c>
      <c r="J496" s="91">
        <v>1485.849976</v>
      </c>
      <c r="K496" s="91">
        <v>1474.93335</v>
      </c>
      <c r="L496" s="91">
        <v>21854364</v>
      </c>
      <c r="M496" s="91">
        <v>-4.7000000000000002E-3</v>
      </c>
      <c r="O496" s="90">
        <v>45379</v>
      </c>
      <c r="P496" s="91">
        <v>720.34997559999999</v>
      </c>
      <c r="Q496" s="91">
        <v>723.95001219999995</v>
      </c>
      <c r="R496" s="91">
        <v>704.67230219999999</v>
      </c>
      <c r="S496" s="91">
        <v>55592142</v>
      </c>
      <c r="T496" s="91">
        <v>5.0000000000000001E-3</v>
      </c>
      <c r="V496" s="90">
        <v>45379</v>
      </c>
      <c r="W496" s="91">
        <v>1487.150024</v>
      </c>
      <c r="X496" s="91">
        <v>1498.0500489999999</v>
      </c>
      <c r="Y496" s="91">
        <v>1410.3914789999999</v>
      </c>
      <c r="Z496" s="91">
        <v>12499530</v>
      </c>
      <c r="AA496" s="91">
        <v>9.5999999999999992E-3</v>
      </c>
      <c r="AB496" s="91"/>
      <c r="AC496" s="90">
        <v>45379</v>
      </c>
      <c r="AD496" s="91">
        <v>3875.1999510000001</v>
      </c>
      <c r="AE496" s="91">
        <v>3948</v>
      </c>
      <c r="AF496" s="91">
        <v>3941.8781739999999</v>
      </c>
      <c r="AG496" s="91">
        <v>837624</v>
      </c>
      <c r="AH496" s="91">
        <v>1.8800000000000001E-2</v>
      </c>
      <c r="AI496" s="91"/>
      <c r="AJ496" s="91">
        <f>(F496*'Part 3 Portfolio Analysis'!$B$8+M496*'Part 3 Portfolio Analysis'!$C$8+T496*'Part 3 Portfolio Analysis'!$D$8+AA496*'Part 3 Portfolio Analysis'!$E$8+AH496*'Part 3 Portfolio Analysis'!$F$8)/100</f>
        <v>5.1791127685822521E-3</v>
      </c>
      <c r="AK496" s="91">
        <f>'Part 3 Portfolio Analysis'!$B$107*F496+M496*'Part 3 Portfolio Analysis'!$C$107+T496*'Part 3 Portfolio Analysis'!$D$107+AA496*'Part 3 Portfolio Analysis'!$E$107+AH496*'Part 3 Portfolio Analysis'!$F$107</f>
        <v>7.5934999999999996E-3</v>
      </c>
      <c r="AL496" s="91">
        <f>F496*'Part 3 Portfolio Analysis'!$B$121+M496*'Part 3 Portfolio Analysis'!$C$121+'Part 3 Portfolio Analysis'!$D$121*T496+AA496*'Part 3 Portfolio Analysis'!$E$121+'Part 3 Portfolio Analysis'!$F$121*AH496</f>
        <v>2.9841199999999998E-3</v>
      </c>
      <c r="AM496" s="91"/>
      <c r="AN496" s="90">
        <v>45379</v>
      </c>
      <c r="AO496" s="91">
        <v>22163.599610000001</v>
      </c>
      <c r="AP496" s="91">
        <v>22326.900389999999</v>
      </c>
      <c r="AQ496" s="91">
        <v>22326.900389999999</v>
      </c>
      <c r="AR496" s="91">
        <v>410500</v>
      </c>
      <c r="AS496" s="91">
        <v>9.1999999999999998E-3</v>
      </c>
    </row>
    <row r="497" spans="1:45" x14ac:dyDescent="0.55000000000000004">
      <c r="A497" s="90">
        <v>45383</v>
      </c>
      <c r="B497" s="91">
        <v>7845</v>
      </c>
      <c r="C497" s="91">
        <v>7745.2998049999997</v>
      </c>
      <c r="D497" s="91">
        <v>7584.7246089999999</v>
      </c>
      <c r="E497" s="91">
        <v>78571</v>
      </c>
      <c r="F497" s="91">
        <v>-5.1000000000000004E-3</v>
      </c>
      <c r="H497" s="90">
        <v>45383</v>
      </c>
      <c r="I497" s="91">
        <v>1492.474976</v>
      </c>
      <c r="J497" s="91">
        <v>1484.775024</v>
      </c>
      <c r="K497" s="91">
        <v>1473.866211</v>
      </c>
      <c r="L497" s="91">
        <v>5013880</v>
      </c>
      <c r="M497" s="91">
        <v>-6.9999999999999999E-4</v>
      </c>
      <c r="O497" s="90">
        <v>45383</v>
      </c>
      <c r="P497" s="91">
        <v>729</v>
      </c>
      <c r="Q497" s="91">
        <v>735.25</v>
      </c>
      <c r="R497" s="91">
        <v>715.67138669999997</v>
      </c>
      <c r="S497" s="91">
        <v>25199570</v>
      </c>
      <c r="T497" s="91">
        <v>1.5599999999999999E-2</v>
      </c>
      <c r="V497" s="90">
        <v>45383</v>
      </c>
      <c r="W497" s="91">
        <v>1525</v>
      </c>
      <c r="X497" s="91">
        <v>1495.4499510000001</v>
      </c>
      <c r="Y497" s="91">
        <v>1407.9436040000001</v>
      </c>
      <c r="Z497" s="91">
        <v>6580002</v>
      </c>
      <c r="AA497" s="91">
        <v>-1.6999999999999999E-3</v>
      </c>
      <c r="AB497" s="91"/>
      <c r="AC497" s="90">
        <v>45383</v>
      </c>
      <c r="AD497" s="91">
        <v>3974.9499510000001</v>
      </c>
      <c r="AE497" s="91">
        <v>3886.8000489999999</v>
      </c>
      <c r="AF497" s="91">
        <v>3880.773193</v>
      </c>
      <c r="AG497" s="91">
        <v>523250</v>
      </c>
      <c r="AH497" s="91">
        <v>-1.55E-2</v>
      </c>
      <c r="AI497" s="91"/>
      <c r="AJ497" s="91">
        <f>(F497*'Part 3 Portfolio Analysis'!$B$8+M497*'Part 3 Portfolio Analysis'!$C$8+T497*'Part 3 Portfolio Analysis'!$D$8+AA497*'Part 3 Portfolio Analysis'!$E$8+AH497*'Part 3 Portfolio Analysis'!$F$8)/100</f>
        <v>3.9346421446184721E-4</v>
      </c>
      <c r="AK497" s="91">
        <f>'Part 3 Portfolio Analysis'!$B$107*F497+M497*'Part 3 Portfolio Analysis'!$C$107+T497*'Part 3 Portfolio Analysis'!$D$107+AA497*'Part 3 Portfolio Analysis'!$E$107+AH497*'Part 3 Portfolio Analysis'!$F$107</f>
        <v>-2.7951E-3</v>
      </c>
      <c r="AL497" s="91">
        <f>F497*'Part 3 Portfolio Analysis'!$B$121+M497*'Part 3 Portfolio Analysis'!$C$121+'Part 3 Portfolio Analysis'!$D$121*T497+AA497*'Part 3 Portfolio Analysis'!$E$121+'Part 3 Portfolio Analysis'!$F$121*AH497</f>
        <v>2.7841599999999999E-3</v>
      </c>
      <c r="AM497" s="91"/>
      <c r="AN497" s="90">
        <v>45383</v>
      </c>
      <c r="AO497" s="91">
        <v>22455</v>
      </c>
      <c r="AP497" s="91">
        <v>22462</v>
      </c>
      <c r="AQ497" s="91">
        <v>22462</v>
      </c>
      <c r="AR497" s="91">
        <v>0</v>
      </c>
      <c r="AS497" s="91">
        <v>6.1000000000000004E-3</v>
      </c>
    </row>
    <row r="498" spans="1:45" x14ac:dyDescent="0.55000000000000004">
      <c r="A498" s="90">
        <v>45384</v>
      </c>
      <c r="B498" s="91">
        <v>7740</v>
      </c>
      <c r="C498" s="91">
        <v>7701.75</v>
      </c>
      <c r="D498" s="91">
        <v>7542.0776370000003</v>
      </c>
      <c r="E498" s="91">
        <v>93065</v>
      </c>
      <c r="F498" s="91">
        <v>-5.5999999999999999E-3</v>
      </c>
      <c r="H498" s="90">
        <v>45384</v>
      </c>
      <c r="I498" s="91">
        <v>1484</v>
      </c>
      <c r="J498" s="91">
        <v>1486.9499510000001</v>
      </c>
      <c r="K498" s="91">
        <v>1476.0251459999999</v>
      </c>
      <c r="L498" s="91">
        <v>8910166</v>
      </c>
      <c r="M498" s="91">
        <v>1.5E-3</v>
      </c>
      <c r="O498" s="90">
        <v>45384</v>
      </c>
      <c r="P498" s="91">
        <v>732.57501219999995</v>
      </c>
      <c r="Q498" s="91">
        <v>740.07501219999995</v>
      </c>
      <c r="R498" s="91">
        <v>720.36785889999999</v>
      </c>
      <c r="S498" s="91">
        <v>41225446</v>
      </c>
      <c r="T498" s="91">
        <v>6.6E-3</v>
      </c>
      <c r="V498" s="90">
        <v>45384</v>
      </c>
      <c r="W498" s="91">
        <v>1484.849976</v>
      </c>
      <c r="X498" s="91">
        <v>1482.849976</v>
      </c>
      <c r="Y498" s="91">
        <v>1396.080811</v>
      </c>
      <c r="Z498" s="91">
        <v>7279400</v>
      </c>
      <c r="AA498" s="91">
        <v>-8.3999999999999995E-3</v>
      </c>
      <c r="AB498" s="91"/>
      <c r="AC498" s="90">
        <v>45384</v>
      </c>
      <c r="AD498" s="91">
        <v>3900</v>
      </c>
      <c r="AE498" s="91">
        <v>3891.8999020000001</v>
      </c>
      <c r="AF498" s="91">
        <v>3885.86499</v>
      </c>
      <c r="AG498" s="91">
        <v>604885</v>
      </c>
      <c r="AH498" s="91">
        <v>1.2999999999999999E-3</v>
      </c>
      <c r="AI498" s="91"/>
      <c r="AJ498" s="91">
        <f>(F498*'Part 3 Portfolio Analysis'!$B$8+M498*'Part 3 Portfolio Analysis'!$C$8+T498*'Part 3 Portfolio Analysis'!$D$8+AA498*'Part 3 Portfolio Analysis'!$E$8+AH498*'Part 3 Portfolio Analysis'!$F$8)/100</f>
        <v>-1.3744522890974532E-3</v>
      </c>
      <c r="AK498" s="91">
        <f>'Part 3 Portfolio Analysis'!$B$107*F498+M498*'Part 3 Portfolio Analysis'!$C$107+T498*'Part 3 Portfolio Analysis'!$D$107+AA498*'Part 3 Portfolio Analysis'!$E$107+AH498*'Part 3 Portfolio Analysis'!$F$107</f>
        <v>-2.7899999999999919E-5</v>
      </c>
      <c r="AL498" s="91">
        <f>F498*'Part 3 Portfolio Analysis'!$B$121+M498*'Part 3 Portfolio Analysis'!$C$121+'Part 3 Portfolio Analysis'!$D$121*T498+AA498*'Part 3 Portfolio Analysis'!$E$121+'Part 3 Portfolio Analysis'!$F$121*AH498</f>
        <v>3.1834000000000002E-4</v>
      </c>
      <c r="AM498" s="91"/>
      <c r="AN498" s="90">
        <v>45384</v>
      </c>
      <c r="AO498" s="91">
        <v>22458.800780000001</v>
      </c>
      <c r="AP498" s="91">
        <v>22453.300780000001</v>
      </c>
      <c r="AQ498" s="91">
        <v>22453.300780000001</v>
      </c>
      <c r="AR498" s="91">
        <v>289500</v>
      </c>
      <c r="AS498" s="91">
        <v>-4.0000000000000002E-4</v>
      </c>
    </row>
    <row r="499" spans="1:45" x14ac:dyDescent="0.55000000000000004">
      <c r="A499" s="90">
        <v>45385</v>
      </c>
      <c r="B499" s="91">
        <v>7703</v>
      </c>
      <c r="C499" s="91">
        <v>7997.8999020000001</v>
      </c>
      <c r="D499" s="91">
        <v>7832.0883789999998</v>
      </c>
      <c r="E499" s="91">
        <v>621796</v>
      </c>
      <c r="F499" s="91">
        <v>3.85E-2</v>
      </c>
      <c r="H499" s="90">
        <v>45385</v>
      </c>
      <c r="I499" s="91">
        <v>1482.0749510000001</v>
      </c>
      <c r="J499" s="91">
        <v>1471.599976</v>
      </c>
      <c r="K499" s="91">
        <v>1460.788086</v>
      </c>
      <c r="L499" s="91">
        <v>7008292</v>
      </c>
      <c r="M499" s="91">
        <v>-1.03E-2</v>
      </c>
      <c r="O499" s="90">
        <v>45385</v>
      </c>
      <c r="P499" s="91">
        <v>736.04998780000005</v>
      </c>
      <c r="Q499" s="91">
        <v>741.15002440000001</v>
      </c>
      <c r="R499" s="91">
        <v>721.41430660000003</v>
      </c>
      <c r="S499" s="91">
        <v>45584386</v>
      </c>
      <c r="T499" s="91">
        <v>1.5E-3</v>
      </c>
      <c r="V499" s="90">
        <v>45385</v>
      </c>
      <c r="W499" s="91">
        <v>1479</v>
      </c>
      <c r="X499" s="91">
        <v>1480.650024</v>
      </c>
      <c r="Y499" s="91">
        <v>1394.009644</v>
      </c>
      <c r="Z499" s="91">
        <v>8736248</v>
      </c>
      <c r="AA499" s="91">
        <v>-1.5E-3</v>
      </c>
      <c r="AB499" s="91"/>
      <c r="AC499" s="90">
        <v>45385</v>
      </c>
      <c r="AD499" s="91">
        <v>3885</v>
      </c>
      <c r="AE499" s="91">
        <v>3922.8500979999999</v>
      </c>
      <c r="AF499" s="91">
        <v>3916.7670899999998</v>
      </c>
      <c r="AG499" s="91">
        <v>727717</v>
      </c>
      <c r="AH499" s="91">
        <v>8.0000000000000002E-3</v>
      </c>
      <c r="AI499" s="91"/>
      <c r="AJ499" s="91">
        <f>(F499*'Part 3 Portfolio Analysis'!$B$8+M499*'Part 3 Portfolio Analysis'!$C$8+T499*'Part 3 Portfolio Analysis'!$D$8+AA499*'Part 3 Portfolio Analysis'!$E$8+AH499*'Part 3 Portfolio Analysis'!$F$8)/100</f>
        <v>7.9034621016947186E-3</v>
      </c>
      <c r="AK499" s="91">
        <f>'Part 3 Portfolio Analysis'!$B$107*F499+M499*'Part 3 Portfolio Analysis'!$C$107+T499*'Part 3 Portfolio Analysis'!$D$107+AA499*'Part 3 Portfolio Analysis'!$E$107+AH499*'Part 3 Portfolio Analysis'!$F$107</f>
        <v>5.8046E-3</v>
      </c>
      <c r="AL499" s="91">
        <f>F499*'Part 3 Portfolio Analysis'!$B$121+M499*'Part 3 Portfolio Analysis'!$C$121+'Part 3 Portfolio Analysis'!$D$121*T499+AA499*'Part 3 Portfolio Analysis'!$E$121+'Part 3 Portfolio Analysis'!$F$121*AH499</f>
        <v>-8.3958000000000025E-4</v>
      </c>
      <c r="AM499" s="91"/>
      <c r="AN499" s="90">
        <v>45385</v>
      </c>
      <c r="AO499" s="91">
        <v>22385.699219999999</v>
      </c>
      <c r="AP499" s="91">
        <v>22434.650389999999</v>
      </c>
      <c r="AQ499" s="91">
        <v>22434.650389999999</v>
      </c>
      <c r="AR499" s="91">
        <v>309600</v>
      </c>
      <c r="AS499" s="91">
        <v>-8.0000000000000004E-4</v>
      </c>
    </row>
    <row r="500" spans="1:45" x14ac:dyDescent="0.55000000000000004">
      <c r="A500" s="90">
        <v>45386</v>
      </c>
      <c r="B500" s="91">
        <v>8117.8500979999999</v>
      </c>
      <c r="C500" s="91">
        <v>8027.5</v>
      </c>
      <c r="D500" s="91">
        <v>7861.0742190000001</v>
      </c>
      <c r="E500" s="91">
        <v>224695</v>
      </c>
      <c r="F500" s="91">
        <v>3.7000000000000002E-3</v>
      </c>
      <c r="H500" s="90">
        <v>45386</v>
      </c>
      <c r="I500" s="91">
        <v>1479.75</v>
      </c>
      <c r="J500" s="91">
        <v>1462.9250489999999</v>
      </c>
      <c r="K500" s="91">
        <v>1452.1767580000001</v>
      </c>
      <c r="L500" s="91">
        <v>14490272</v>
      </c>
      <c r="M500" s="91">
        <v>-5.8999999999999999E-3</v>
      </c>
      <c r="O500" s="90">
        <v>45386</v>
      </c>
      <c r="P500" s="91">
        <v>752</v>
      </c>
      <c r="Q500" s="91">
        <v>763.79998780000005</v>
      </c>
      <c r="R500" s="91">
        <v>743.46118160000003</v>
      </c>
      <c r="S500" s="91">
        <v>88935066</v>
      </c>
      <c r="T500" s="91">
        <v>3.0599999999999999E-2</v>
      </c>
      <c r="V500" s="90">
        <v>45386</v>
      </c>
      <c r="W500" s="91">
        <v>1490.5500489999999</v>
      </c>
      <c r="X500" s="91">
        <v>1486.6999510000001</v>
      </c>
      <c r="Y500" s="91">
        <v>1399.7054439999999</v>
      </c>
      <c r="Z500" s="91">
        <v>11186915</v>
      </c>
      <c r="AA500" s="91">
        <v>4.1000000000000003E-3</v>
      </c>
      <c r="AB500" s="91"/>
      <c r="AC500" s="90">
        <v>45386</v>
      </c>
      <c r="AD500" s="91">
        <v>3950</v>
      </c>
      <c r="AE500" s="91">
        <v>4003.1999510000001</v>
      </c>
      <c r="AF500" s="91">
        <v>3996.9926759999998</v>
      </c>
      <c r="AG500" s="91">
        <v>910922</v>
      </c>
      <c r="AH500" s="91">
        <v>2.0500000000000001E-2</v>
      </c>
      <c r="AI500" s="91"/>
      <c r="AJ500" s="91">
        <f>(F500*'Part 3 Portfolio Analysis'!$B$8+M500*'Part 3 Portfolio Analysis'!$C$8+T500*'Part 3 Portfolio Analysis'!$D$8+AA500*'Part 3 Portfolio Analysis'!$E$8+AH500*'Part 3 Portfolio Analysis'!$F$8)/100</f>
        <v>4.9360222203816643E-3</v>
      </c>
      <c r="AK500" s="91">
        <f>'Part 3 Portfolio Analysis'!$B$107*F500+M500*'Part 3 Portfolio Analysis'!$C$107+T500*'Part 3 Portfolio Analysis'!$D$107+AA500*'Part 3 Portfolio Analysis'!$E$107+AH500*'Part 3 Portfolio Analysis'!$F$107</f>
        <v>9.1383000000000002E-3</v>
      </c>
      <c r="AL500" s="91">
        <f>F500*'Part 3 Portfolio Analysis'!$B$121+M500*'Part 3 Portfolio Analysis'!$C$121+'Part 3 Portfolio Analysis'!$D$121*T500+AA500*'Part 3 Portfolio Analysis'!$E$121+'Part 3 Portfolio Analysis'!$F$121*AH500</f>
        <v>7.5088000000000012E-3</v>
      </c>
      <c r="AM500" s="91"/>
      <c r="AN500" s="90">
        <v>45386</v>
      </c>
      <c r="AO500" s="91">
        <v>22592.099610000001</v>
      </c>
      <c r="AP500" s="91">
        <v>22514.650389999999</v>
      </c>
      <c r="AQ500" s="91">
        <v>22514.650389999999</v>
      </c>
      <c r="AR500" s="91">
        <v>401000</v>
      </c>
      <c r="AS500" s="91">
        <v>3.5999999999999999E-3</v>
      </c>
    </row>
    <row r="501" spans="1:45" x14ac:dyDescent="0.55000000000000004">
      <c r="A501" s="90">
        <v>45387</v>
      </c>
      <c r="B501" s="91">
        <v>8027.5</v>
      </c>
      <c r="C501" s="91">
        <v>8041.5498049999997</v>
      </c>
      <c r="D501" s="91">
        <v>7874.8330079999996</v>
      </c>
      <c r="E501" s="91">
        <v>125061</v>
      </c>
      <c r="F501" s="91">
        <v>1.8E-3</v>
      </c>
      <c r="H501" s="90">
        <v>45387</v>
      </c>
      <c r="I501" s="91">
        <v>1460.875</v>
      </c>
      <c r="J501" s="91">
        <v>1460.099976</v>
      </c>
      <c r="K501" s="91">
        <v>1449.372437</v>
      </c>
      <c r="L501" s="91">
        <v>7442298</v>
      </c>
      <c r="M501" s="91">
        <v>-1.9E-3</v>
      </c>
      <c r="O501" s="90">
        <v>45387</v>
      </c>
      <c r="P501" s="91">
        <v>769.5</v>
      </c>
      <c r="Q501" s="91">
        <v>774.77502440000001</v>
      </c>
      <c r="R501" s="91">
        <v>754.14392090000001</v>
      </c>
      <c r="S501" s="91">
        <v>59055902</v>
      </c>
      <c r="T501" s="91">
        <v>1.44E-2</v>
      </c>
      <c r="V501" s="90">
        <v>45387</v>
      </c>
      <c r="W501" s="91">
        <v>1480.0500489999999</v>
      </c>
      <c r="X501" s="91">
        <v>1479.099976</v>
      </c>
      <c r="Y501" s="91">
        <v>1392.550293</v>
      </c>
      <c r="Z501" s="91">
        <v>5072482</v>
      </c>
      <c r="AA501" s="91">
        <v>-5.1000000000000004E-3</v>
      </c>
      <c r="AB501" s="91"/>
      <c r="AC501" s="90">
        <v>45387</v>
      </c>
      <c r="AD501" s="91">
        <v>4009</v>
      </c>
      <c r="AE501" s="91">
        <v>3932.6000979999999</v>
      </c>
      <c r="AF501" s="91">
        <v>3926.5021969999998</v>
      </c>
      <c r="AG501" s="91">
        <v>679916</v>
      </c>
      <c r="AH501" s="91">
        <v>-1.7600000000000001E-2</v>
      </c>
      <c r="AI501" s="91"/>
      <c r="AJ501" s="91">
        <f>(F501*'Part 3 Portfolio Analysis'!$B$8+M501*'Part 3 Portfolio Analysis'!$C$8+T501*'Part 3 Portfolio Analysis'!$D$8+AA501*'Part 3 Portfolio Analysis'!$E$8+AH501*'Part 3 Portfolio Analysis'!$F$8)/100</f>
        <v>1.2606141235721752E-3</v>
      </c>
      <c r="AK501" s="91">
        <f>'Part 3 Portfolio Analysis'!$B$107*F501+M501*'Part 3 Portfolio Analysis'!$C$107+T501*'Part 3 Portfolio Analysis'!$D$107+AA501*'Part 3 Portfolio Analysis'!$E$107+AH501*'Part 3 Portfolio Analysis'!$F$107</f>
        <v>-2.9839000000000003E-3</v>
      </c>
      <c r="AL501" s="91">
        <f>F501*'Part 3 Portfolio Analysis'!$B$121+M501*'Part 3 Portfolio Analysis'!$C$121+'Part 3 Portfolio Analysis'!$D$121*T501+AA501*'Part 3 Portfolio Analysis'!$E$121+'Part 3 Portfolio Analysis'!$F$121*AH501</f>
        <v>1.7863999999999998E-3</v>
      </c>
      <c r="AM501" s="91"/>
      <c r="AN501" s="90">
        <v>45387</v>
      </c>
      <c r="AO501" s="91">
        <v>22486.400389999999</v>
      </c>
      <c r="AP501" s="91">
        <v>22513.699219999999</v>
      </c>
      <c r="AQ501" s="91">
        <v>22513.699219999999</v>
      </c>
      <c r="AR501" s="91">
        <v>242200</v>
      </c>
      <c r="AS501" s="91">
        <v>0</v>
      </c>
    </row>
    <row r="502" spans="1:45" x14ac:dyDescent="0.55000000000000004">
      <c r="A502" s="90">
        <v>45390</v>
      </c>
      <c r="B502" s="91">
        <v>8120.0498049999997</v>
      </c>
      <c r="C502" s="91">
        <v>7922.4501950000003</v>
      </c>
      <c r="D502" s="91">
        <v>7758.2026370000003</v>
      </c>
      <c r="E502" s="91">
        <v>125342</v>
      </c>
      <c r="F502" s="91">
        <v>-1.4800000000000001E-2</v>
      </c>
      <c r="H502" s="90">
        <v>45390</v>
      </c>
      <c r="I502" s="91">
        <v>1462.974976</v>
      </c>
      <c r="J502" s="91">
        <v>1485.974976</v>
      </c>
      <c r="K502" s="91">
        <v>1475.0573730000001</v>
      </c>
      <c r="L502" s="91">
        <v>8357118</v>
      </c>
      <c r="M502" s="91">
        <v>1.77E-2</v>
      </c>
      <c r="O502" s="90">
        <v>45390</v>
      </c>
      <c r="P502" s="91">
        <v>777.47497559999999</v>
      </c>
      <c r="Q502" s="91">
        <v>773.29998780000005</v>
      </c>
      <c r="R502" s="91">
        <v>752.70819089999998</v>
      </c>
      <c r="S502" s="91">
        <v>20482940</v>
      </c>
      <c r="T502" s="91">
        <v>-1.9E-3</v>
      </c>
      <c r="V502" s="90">
        <v>45390</v>
      </c>
      <c r="W502" s="91">
        <v>1483</v>
      </c>
      <c r="X502" s="91">
        <v>1476.6999510000001</v>
      </c>
      <c r="Y502" s="91">
        <v>1390.2907709999999</v>
      </c>
      <c r="Z502" s="91">
        <v>6610887</v>
      </c>
      <c r="AA502" s="91">
        <v>-1.6000000000000001E-3</v>
      </c>
      <c r="AB502" s="91"/>
      <c r="AC502" s="90">
        <v>45390</v>
      </c>
      <c r="AD502" s="91">
        <v>3932.6000979999999</v>
      </c>
      <c r="AE502" s="91">
        <v>3931.8500979999999</v>
      </c>
      <c r="AF502" s="91">
        <v>3925.7534179999998</v>
      </c>
      <c r="AG502" s="91">
        <v>471027</v>
      </c>
      <c r="AH502" s="91">
        <v>-2.0000000000000001E-4</v>
      </c>
      <c r="AI502" s="91"/>
      <c r="AJ502" s="91">
        <f>(F502*'Part 3 Portfolio Analysis'!$B$8+M502*'Part 3 Portfolio Analysis'!$C$8+T502*'Part 3 Portfolio Analysis'!$D$8+AA502*'Part 3 Portfolio Analysis'!$E$8+AH502*'Part 3 Portfolio Analysis'!$F$8)/100</f>
        <v>1.3995057897665927E-3</v>
      </c>
      <c r="AK502" s="91">
        <f>'Part 3 Portfolio Analysis'!$B$107*F502+M502*'Part 3 Portfolio Analysis'!$C$107+T502*'Part 3 Portfolio Analysis'!$D$107+AA502*'Part 3 Portfolio Analysis'!$E$107+AH502*'Part 3 Portfolio Analysis'!$F$107</f>
        <v>2.3712E-3</v>
      </c>
      <c r="AL502" s="91">
        <f>F502*'Part 3 Portfolio Analysis'!$B$121+M502*'Part 3 Portfolio Analysis'!$C$121+'Part 3 Portfolio Analysis'!$D$121*T502+AA502*'Part 3 Portfolio Analysis'!$E$121+'Part 3 Portfolio Analysis'!$F$121*AH502</f>
        <v>5.3683200000000002E-3</v>
      </c>
      <c r="AM502" s="91"/>
      <c r="AN502" s="90">
        <v>45390</v>
      </c>
      <c r="AO502" s="91">
        <v>22578.349610000001</v>
      </c>
      <c r="AP502" s="91">
        <v>22666.300780000001</v>
      </c>
      <c r="AQ502" s="91">
        <v>22666.300780000001</v>
      </c>
      <c r="AR502" s="91">
        <v>227600</v>
      </c>
      <c r="AS502" s="91">
        <v>6.7999999999999996E-3</v>
      </c>
    </row>
    <row r="503" spans="1:45" x14ac:dyDescent="0.55000000000000004">
      <c r="A503" s="90">
        <v>45391</v>
      </c>
      <c r="B503" s="91">
        <v>7985.8500979999999</v>
      </c>
      <c r="C503" s="91">
        <v>7900.0498049999997</v>
      </c>
      <c r="D503" s="91">
        <v>7736.2666019999997</v>
      </c>
      <c r="E503" s="91">
        <v>115014</v>
      </c>
      <c r="F503" s="91">
        <v>-2.8E-3</v>
      </c>
      <c r="H503" s="90">
        <v>45391</v>
      </c>
      <c r="I503" s="91">
        <v>1489</v>
      </c>
      <c r="J503" s="91">
        <v>1463.650024</v>
      </c>
      <c r="K503" s="91">
        <v>1452.8964840000001</v>
      </c>
      <c r="L503" s="91">
        <v>7071414</v>
      </c>
      <c r="M503" s="91">
        <v>-1.4999999999999999E-2</v>
      </c>
      <c r="O503" s="90">
        <v>45391</v>
      </c>
      <c r="P503" s="91">
        <v>777.42498780000005</v>
      </c>
      <c r="Q503" s="91">
        <v>774.27502440000001</v>
      </c>
      <c r="R503" s="91">
        <v>753.65722659999994</v>
      </c>
      <c r="S503" s="91">
        <v>21884494</v>
      </c>
      <c r="T503" s="91">
        <v>1.2999999999999999E-3</v>
      </c>
      <c r="V503" s="90">
        <v>45391</v>
      </c>
      <c r="W503" s="91">
        <v>1490</v>
      </c>
      <c r="X503" s="91">
        <v>1494.849976</v>
      </c>
      <c r="Y503" s="91">
        <v>1407.3786620000001</v>
      </c>
      <c r="Z503" s="91">
        <v>9423230</v>
      </c>
      <c r="AA503" s="91">
        <v>1.23E-2</v>
      </c>
      <c r="AB503" s="91"/>
      <c r="AC503" s="90">
        <v>45391</v>
      </c>
      <c r="AD503" s="91">
        <v>3958.9499510000001</v>
      </c>
      <c r="AE503" s="91">
        <v>3902.3500979999999</v>
      </c>
      <c r="AF503" s="91">
        <v>3896.2990719999998</v>
      </c>
      <c r="AG503" s="91">
        <v>483412</v>
      </c>
      <c r="AH503" s="91">
        <v>-7.4999999999999997E-3</v>
      </c>
      <c r="AI503" s="91"/>
      <c r="AJ503" s="91">
        <f>(F503*'Part 3 Portfolio Analysis'!$B$8+M503*'Part 3 Portfolio Analysis'!$C$8+T503*'Part 3 Portfolio Analysis'!$D$8+AA503*'Part 3 Portfolio Analysis'!$E$8+AH503*'Part 3 Portfolio Analysis'!$F$8)/100</f>
        <v>-4.1541645488137836E-3</v>
      </c>
      <c r="AK503" s="91">
        <f>'Part 3 Portfolio Analysis'!$B$107*F503+M503*'Part 3 Portfolio Analysis'!$C$107+T503*'Part 3 Portfolio Analysis'!$D$107+AA503*'Part 3 Portfolio Analysis'!$E$107+AH503*'Part 3 Portfolio Analysis'!$F$107</f>
        <v>-5.6574999999999993E-3</v>
      </c>
      <c r="AL503" s="91">
        <f>F503*'Part 3 Portfolio Analysis'!$B$121+M503*'Part 3 Portfolio Analysis'!$C$121+'Part 3 Portfolio Analysis'!$D$121*T503+AA503*'Part 3 Portfolio Analysis'!$E$121+'Part 3 Portfolio Analysis'!$F$121*AH503</f>
        <v>-3.9070599999999987E-3</v>
      </c>
      <c r="AM503" s="91"/>
      <c r="AN503" s="90">
        <v>45391</v>
      </c>
      <c r="AO503" s="91">
        <v>22765.099610000001</v>
      </c>
      <c r="AP503" s="91">
        <v>22642.75</v>
      </c>
      <c r="AQ503" s="91">
        <v>22642.75</v>
      </c>
      <c r="AR503" s="91">
        <v>232400</v>
      </c>
      <c r="AS503" s="91">
        <v>-1E-3</v>
      </c>
    </row>
    <row r="504" spans="1:45" x14ac:dyDescent="0.55000000000000004">
      <c r="A504" s="90">
        <v>45392</v>
      </c>
      <c r="B504" s="91">
        <v>7956</v>
      </c>
      <c r="C504" s="91">
        <v>7846.75</v>
      </c>
      <c r="D504" s="91">
        <v>7684.0717770000001</v>
      </c>
      <c r="E504" s="91">
        <v>82754</v>
      </c>
      <c r="F504" s="91">
        <v>-6.7000000000000002E-3</v>
      </c>
      <c r="H504" s="90">
        <v>45392</v>
      </c>
      <c r="I504" s="91">
        <v>1466.349976</v>
      </c>
      <c r="J504" s="91">
        <v>1479.5749510000001</v>
      </c>
      <c r="K504" s="91">
        <v>1468.7044679999999</v>
      </c>
      <c r="L504" s="91">
        <v>9138330</v>
      </c>
      <c r="M504" s="91">
        <v>1.09E-2</v>
      </c>
      <c r="O504" s="90">
        <v>45392</v>
      </c>
      <c r="P504" s="91">
        <v>774.95001219999995</v>
      </c>
      <c r="Q504" s="91">
        <v>768.17498780000005</v>
      </c>
      <c r="R504" s="91">
        <v>747.71966550000002</v>
      </c>
      <c r="S504" s="91">
        <v>27807400</v>
      </c>
      <c r="T504" s="91">
        <v>-7.9000000000000008E-3</v>
      </c>
      <c r="V504" s="90">
        <v>45392</v>
      </c>
      <c r="W504" s="91">
        <v>1500.349976</v>
      </c>
      <c r="X504" s="91">
        <v>1506.8000489999999</v>
      </c>
      <c r="Y504" s="91">
        <v>1418.6293949999999</v>
      </c>
      <c r="Z504" s="91">
        <v>6744595</v>
      </c>
      <c r="AA504" s="91">
        <v>8.0000000000000002E-3</v>
      </c>
      <c r="AB504" s="91"/>
      <c r="AC504" s="90">
        <v>45392</v>
      </c>
      <c r="AD504" s="91">
        <v>3929</v>
      </c>
      <c r="AE504" s="91">
        <v>4021.1499020000001</v>
      </c>
      <c r="AF504" s="91">
        <v>4014.9145509999998</v>
      </c>
      <c r="AG504" s="91">
        <v>1107300</v>
      </c>
      <c r="AH504" s="91">
        <v>3.04E-2</v>
      </c>
      <c r="AI504" s="91"/>
      <c r="AJ504" s="91">
        <f>(F504*'Part 3 Portfolio Analysis'!$B$8+M504*'Part 3 Portfolio Analysis'!$C$8+T504*'Part 3 Portfolio Analysis'!$D$8+AA504*'Part 3 Portfolio Analysis'!$E$8+AH504*'Part 3 Portfolio Analysis'!$F$8)/100</f>
        <v>2.2077990168512789E-3</v>
      </c>
      <c r="AK504" s="91">
        <f>'Part 3 Portfolio Analysis'!$B$107*F504+M504*'Part 3 Portfolio Analysis'!$C$107+T504*'Part 3 Portfolio Analysis'!$D$107+AA504*'Part 3 Portfolio Analysis'!$E$107+AH504*'Part 3 Portfolio Analysis'!$F$107</f>
        <v>9.441999999999999E-3</v>
      </c>
      <c r="AL504" s="91">
        <f>F504*'Part 3 Portfolio Analysis'!$B$121+M504*'Part 3 Portfolio Analysis'!$C$121+'Part 3 Portfolio Analysis'!$D$121*T504+AA504*'Part 3 Portfolio Analysis'!$E$121+'Part 3 Portfolio Analysis'!$F$121*AH504</f>
        <v>4.2705799999999995E-3</v>
      </c>
      <c r="AM504" s="91"/>
      <c r="AN504" s="90">
        <v>45392</v>
      </c>
      <c r="AO504" s="91">
        <v>22720.25</v>
      </c>
      <c r="AP504" s="91">
        <v>22753.800780000001</v>
      </c>
      <c r="AQ504" s="91">
        <v>22753.800780000001</v>
      </c>
      <c r="AR504" s="91">
        <v>276800</v>
      </c>
      <c r="AS504" s="91">
        <v>4.8999999999999998E-3</v>
      </c>
    </row>
    <row r="505" spans="1:45" x14ac:dyDescent="0.55000000000000004">
      <c r="A505" s="90">
        <v>45394</v>
      </c>
      <c r="B505" s="91">
        <v>7847</v>
      </c>
      <c r="C505" s="91">
        <v>7753.75</v>
      </c>
      <c r="D505" s="91">
        <v>7593</v>
      </c>
      <c r="E505" s="91">
        <v>98316</v>
      </c>
      <c r="F505" s="91">
        <v>-1.1900000000000001E-2</v>
      </c>
      <c r="H505" s="90">
        <v>45394</v>
      </c>
      <c r="I505" s="91">
        <v>1475.875</v>
      </c>
      <c r="J505" s="91">
        <v>1467.150024</v>
      </c>
      <c r="K505" s="91">
        <v>1456.37085</v>
      </c>
      <c r="L505" s="91">
        <v>15551012</v>
      </c>
      <c r="M505" s="91">
        <v>-8.3999999999999995E-3</v>
      </c>
      <c r="O505" s="90">
        <v>45394</v>
      </c>
      <c r="P505" s="91">
        <v>760.5</v>
      </c>
      <c r="Q505" s="91">
        <v>759.47497559999999</v>
      </c>
      <c r="R505" s="91">
        <v>739.25128170000005</v>
      </c>
      <c r="S505" s="91">
        <v>41084208</v>
      </c>
      <c r="T505" s="91">
        <v>-1.1299999999999999E-2</v>
      </c>
      <c r="V505" s="90">
        <v>45394</v>
      </c>
      <c r="W505" s="91">
        <v>1504</v>
      </c>
      <c r="X505" s="91">
        <v>1484.75</v>
      </c>
      <c r="Y505" s="91">
        <v>1397.869629</v>
      </c>
      <c r="Z505" s="91">
        <v>12275616</v>
      </c>
      <c r="AA505" s="91">
        <v>-1.46E-2</v>
      </c>
      <c r="AB505" s="91"/>
      <c r="AC505" s="90">
        <v>45394</v>
      </c>
      <c r="AD505" s="91">
        <v>4047</v>
      </c>
      <c r="AE505" s="91">
        <v>4053.8500979999999</v>
      </c>
      <c r="AF505" s="91">
        <v>4047.5639649999998</v>
      </c>
      <c r="AG505" s="91">
        <v>776121</v>
      </c>
      <c r="AH505" s="91">
        <v>8.0999999999999996E-3</v>
      </c>
      <c r="AI505" s="91"/>
      <c r="AJ505" s="91">
        <f>(F505*'Part 3 Portfolio Analysis'!$B$8+M505*'Part 3 Portfolio Analysis'!$C$8+T505*'Part 3 Portfolio Analysis'!$D$8+AA505*'Part 3 Portfolio Analysis'!$E$8+AH505*'Part 3 Portfolio Analysis'!$F$8)/100</f>
        <v>-1.0770280617323238E-2</v>
      </c>
      <c r="AK505" s="91">
        <f>'Part 3 Portfolio Analysis'!$B$107*F505+M505*'Part 3 Portfolio Analysis'!$C$107+T505*'Part 3 Portfolio Analysis'!$D$107+AA505*'Part 3 Portfolio Analysis'!$E$107+AH505*'Part 3 Portfolio Analysis'!$F$107</f>
        <v>-5.9414999999999989E-3</v>
      </c>
      <c r="AL505" s="91">
        <f>F505*'Part 3 Portfolio Analysis'!$B$121+M505*'Part 3 Portfolio Analysis'!$C$121+'Part 3 Portfolio Analysis'!$D$121*T505+AA505*'Part 3 Portfolio Analysis'!$E$121+'Part 3 Portfolio Analysis'!$F$121*AH505</f>
        <v>-1.0284199999999999E-2</v>
      </c>
      <c r="AM505" s="91"/>
      <c r="AN505" s="90">
        <v>45394</v>
      </c>
      <c r="AO505" s="91">
        <v>22677.400389999999</v>
      </c>
      <c r="AP505" s="91">
        <v>22519.400389999999</v>
      </c>
      <c r="AQ505" s="91">
        <v>22519.400389999999</v>
      </c>
      <c r="AR505" s="91">
        <v>357200</v>
      </c>
      <c r="AS505" s="91">
        <v>-1.03E-2</v>
      </c>
    </row>
    <row r="506" spans="1:45" x14ac:dyDescent="0.55000000000000004">
      <c r="A506" s="90">
        <v>45397</v>
      </c>
      <c r="B506" s="91">
        <v>7669.9501950000003</v>
      </c>
      <c r="C506" s="91">
        <v>7525.75</v>
      </c>
      <c r="D506" s="91">
        <v>7369.7265630000002</v>
      </c>
      <c r="E506" s="91">
        <v>185200</v>
      </c>
      <c r="F506" s="91">
        <v>-2.9399999999999999E-2</v>
      </c>
      <c r="H506" s="90">
        <v>45397</v>
      </c>
      <c r="I506" s="91">
        <v>1461</v>
      </c>
      <c r="J506" s="91">
        <v>1464.8249510000001</v>
      </c>
      <c r="K506" s="91">
        <v>1454.0627440000001</v>
      </c>
      <c r="L506" s="91">
        <v>12902062</v>
      </c>
      <c r="M506" s="91">
        <v>-1.6000000000000001E-3</v>
      </c>
      <c r="O506" s="90">
        <v>45397</v>
      </c>
      <c r="P506" s="91">
        <v>748.77502440000001</v>
      </c>
      <c r="Q506" s="91">
        <v>747.34997559999999</v>
      </c>
      <c r="R506" s="91">
        <v>727.44909670000004</v>
      </c>
      <c r="S506" s="91">
        <v>23415248</v>
      </c>
      <c r="T506" s="91">
        <v>-1.6E-2</v>
      </c>
      <c r="V506" s="90">
        <v>45397</v>
      </c>
      <c r="W506" s="91">
        <v>1480</v>
      </c>
      <c r="X506" s="91">
        <v>1468.150024</v>
      </c>
      <c r="Y506" s="91">
        <v>1382.240967</v>
      </c>
      <c r="Z506" s="91">
        <v>8531224</v>
      </c>
      <c r="AA506" s="91">
        <v>-1.12E-2</v>
      </c>
      <c r="AB506" s="91"/>
      <c r="AC506" s="90">
        <v>45397</v>
      </c>
      <c r="AD506" s="91">
        <v>3950.0500489999999</v>
      </c>
      <c r="AE506" s="91">
        <v>3969.1999510000001</v>
      </c>
      <c r="AF506" s="91">
        <v>3963.0451659999999</v>
      </c>
      <c r="AG506" s="91">
        <v>597371</v>
      </c>
      <c r="AH506" s="91">
        <v>-2.0899999999999998E-2</v>
      </c>
      <c r="AI506" s="91"/>
      <c r="AJ506" s="91">
        <f>(F506*'Part 3 Portfolio Analysis'!$B$8+M506*'Part 3 Portfolio Analysis'!$C$8+T506*'Part 3 Portfolio Analysis'!$D$8+AA506*'Part 3 Portfolio Analysis'!$E$8+AH506*'Part 3 Portfolio Analysis'!$F$8)/100</f>
        <v>-1.4075695575540144E-2</v>
      </c>
      <c r="AK506" s="91">
        <f>'Part 3 Portfolio Analysis'!$B$107*F506+M506*'Part 3 Portfolio Analysis'!$C$107+T506*'Part 3 Portfolio Analysis'!$D$107+AA506*'Part 3 Portfolio Analysis'!$E$107+AH506*'Part 3 Portfolio Analysis'!$F$107</f>
        <v>-1.4659599999999998E-2</v>
      </c>
      <c r="AL506" s="91">
        <f>F506*'Part 3 Portfolio Analysis'!$B$121+M506*'Part 3 Portfolio Analysis'!$C$121+'Part 3 Portfolio Analysis'!$D$121*T506+AA506*'Part 3 Portfolio Analysis'!$E$121+'Part 3 Portfolio Analysis'!$F$121*AH506</f>
        <v>-1.0227620000000002E-2</v>
      </c>
      <c r="AM506" s="91"/>
      <c r="AN506" s="90">
        <v>45397</v>
      </c>
      <c r="AO506" s="91">
        <v>22339.050780000001</v>
      </c>
      <c r="AP506" s="91">
        <v>22272.5</v>
      </c>
      <c r="AQ506" s="91">
        <v>22272.5</v>
      </c>
      <c r="AR506" s="91">
        <v>355500</v>
      </c>
      <c r="AS506" s="91">
        <v>-1.0999999999999999E-2</v>
      </c>
    </row>
    <row r="507" spans="1:45" x14ac:dyDescent="0.55000000000000004">
      <c r="A507" s="90">
        <v>45398</v>
      </c>
      <c r="B507" s="91">
        <v>7526.9501950000003</v>
      </c>
      <c r="C507" s="91">
        <v>7530</v>
      </c>
      <c r="D507" s="91">
        <v>7373.8881840000004</v>
      </c>
      <c r="E507" s="91">
        <v>80626</v>
      </c>
      <c r="F507" s="91">
        <v>5.9999999999999995E-4</v>
      </c>
      <c r="H507" s="90">
        <v>45398</v>
      </c>
      <c r="I507" s="91">
        <v>1453.349976</v>
      </c>
      <c r="J507" s="91">
        <v>1465.75</v>
      </c>
      <c r="K507" s="91">
        <v>1454.980957</v>
      </c>
      <c r="L507" s="91">
        <v>9366184</v>
      </c>
      <c r="M507" s="91">
        <v>5.9999999999999995E-4</v>
      </c>
      <c r="O507" s="90">
        <v>45398</v>
      </c>
      <c r="P507" s="91">
        <v>743.5</v>
      </c>
      <c r="Q507" s="91">
        <v>754.625</v>
      </c>
      <c r="R507" s="91">
        <v>734.53045650000001</v>
      </c>
      <c r="S507" s="91">
        <v>20744886</v>
      </c>
      <c r="T507" s="91">
        <v>9.7000000000000003E-3</v>
      </c>
      <c r="V507" s="90">
        <v>45398</v>
      </c>
      <c r="W507" s="91">
        <v>1451</v>
      </c>
      <c r="X507" s="91">
        <v>1414.4499510000001</v>
      </c>
      <c r="Y507" s="91">
        <v>1331.6832280000001</v>
      </c>
      <c r="Z507" s="91">
        <v>16173541</v>
      </c>
      <c r="AA507" s="91">
        <v>-3.6600000000000001E-2</v>
      </c>
      <c r="AB507" s="91"/>
      <c r="AC507" s="90">
        <v>45398</v>
      </c>
      <c r="AD507" s="91">
        <v>3968</v>
      </c>
      <c r="AE507" s="91">
        <v>3988.1999510000001</v>
      </c>
      <c r="AF507" s="91">
        <v>3982.0158689999998</v>
      </c>
      <c r="AG507" s="91">
        <v>577349</v>
      </c>
      <c r="AH507" s="91">
        <v>4.7999999999999996E-3</v>
      </c>
      <c r="AI507" s="91"/>
      <c r="AJ507" s="91">
        <f>(F507*'Part 3 Portfolio Analysis'!$B$8+M507*'Part 3 Portfolio Analysis'!$C$8+T507*'Part 3 Portfolio Analysis'!$D$8+AA507*'Part 3 Portfolio Analysis'!$E$8+AH507*'Part 3 Portfolio Analysis'!$F$8)/100</f>
        <v>-3.8276841195181029E-3</v>
      </c>
      <c r="AK507" s="91">
        <f>'Part 3 Portfolio Analysis'!$B$107*F507+M507*'Part 3 Portfolio Analysis'!$C$107+T507*'Part 3 Portfolio Analysis'!$D$107+AA507*'Part 3 Portfolio Analysis'!$E$107+AH507*'Part 3 Portfolio Analysis'!$F$107</f>
        <v>-6.5110000000000016E-4</v>
      </c>
      <c r="AL507" s="91">
        <f>F507*'Part 3 Portfolio Analysis'!$B$121+M507*'Part 3 Portfolio Analysis'!$C$121+'Part 3 Portfolio Analysis'!$D$121*T507+AA507*'Part 3 Portfolio Analysis'!$E$121+'Part 3 Portfolio Analysis'!$F$121*AH507</f>
        <v>-4.2547599999999998E-3</v>
      </c>
      <c r="AM507" s="91"/>
      <c r="AN507" s="90">
        <v>45398</v>
      </c>
      <c r="AO507" s="91">
        <v>22125.300780000001</v>
      </c>
      <c r="AP507" s="91">
        <v>22147.900389999999</v>
      </c>
      <c r="AQ507" s="91">
        <v>22147.900389999999</v>
      </c>
      <c r="AR507" s="91">
        <v>317300</v>
      </c>
      <c r="AS507" s="91">
        <v>-5.5999999999999999E-3</v>
      </c>
    </row>
    <row r="508" spans="1:45" x14ac:dyDescent="0.55000000000000004">
      <c r="A508" s="90">
        <v>45400</v>
      </c>
      <c r="B508" s="91">
        <v>7578.0498049999997</v>
      </c>
      <c r="C508" s="91">
        <v>7493.3500979999999</v>
      </c>
      <c r="D508" s="91">
        <v>7337.9985349999997</v>
      </c>
      <c r="E508" s="91">
        <v>138170</v>
      </c>
      <c r="F508" s="91">
        <v>-4.8999999999999998E-3</v>
      </c>
      <c r="H508" s="90">
        <v>45400</v>
      </c>
      <c r="I508" s="91">
        <v>1463.5</v>
      </c>
      <c r="J508" s="91">
        <v>1464.3249510000001</v>
      </c>
      <c r="K508" s="91">
        <v>1453.5665280000001</v>
      </c>
      <c r="L508" s="91">
        <v>19005692</v>
      </c>
      <c r="M508" s="91">
        <v>-1E-3</v>
      </c>
      <c r="O508" s="90">
        <v>45400</v>
      </c>
      <c r="P508" s="91">
        <v>754.90002440000001</v>
      </c>
      <c r="Q508" s="91">
        <v>747.34997559999999</v>
      </c>
      <c r="R508" s="91">
        <v>727.44909670000004</v>
      </c>
      <c r="S508" s="91">
        <v>34234884</v>
      </c>
      <c r="T508" s="91">
        <v>-9.5999999999999992E-3</v>
      </c>
      <c r="V508" s="90">
        <v>45400</v>
      </c>
      <c r="W508" s="91">
        <v>1421.099976</v>
      </c>
      <c r="X508" s="91">
        <v>1419.25</v>
      </c>
      <c r="Y508" s="91">
        <v>1336.2025149999999</v>
      </c>
      <c r="Z508" s="91">
        <v>22107945</v>
      </c>
      <c r="AA508" s="91">
        <v>3.3999999999999998E-3</v>
      </c>
      <c r="AB508" s="91"/>
      <c r="AC508" s="90">
        <v>45400</v>
      </c>
      <c r="AD508" s="91">
        <v>3988</v>
      </c>
      <c r="AE508" s="91">
        <v>4087.1000979999999</v>
      </c>
      <c r="AF508" s="91">
        <v>4080.7624510000001</v>
      </c>
      <c r="AG508" s="91">
        <v>1484951</v>
      </c>
      <c r="AH508" s="91">
        <v>2.4799999999999999E-2</v>
      </c>
      <c r="AI508" s="91"/>
      <c r="AJ508" s="91">
        <f>(F508*'Part 3 Portfolio Analysis'!$B$8+M508*'Part 3 Portfolio Analysis'!$C$8+T508*'Part 3 Portfolio Analysis'!$D$8+AA508*'Part 3 Portfolio Analysis'!$E$8+AH508*'Part 3 Portfolio Analysis'!$F$8)/100</f>
        <v>-2.6443227186401571E-3</v>
      </c>
      <c r="AK508" s="91">
        <f>'Part 3 Portfolio Analysis'!$B$107*F508+M508*'Part 3 Portfolio Analysis'!$C$107+T508*'Part 3 Portfolio Analysis'!$D$107+AA508*'Part 3 Portfolio Analysis'!$E$107+AH508*'Part 3 Portfolio Analysis'!$F$107</f>
        <v>3.9066000000000005E-3</v>
      </c>
      <c r="AL508" s="91">
        <f>F508*'Part 3 Portfolio Analysis'!$B$121+M508*'Part 3 Portfolio Analysis'!$C$121+'Part 3 Portfolio Analysis'!$D$121*T508+AA508*'Part 3 Portfolio Analysis'!$E$121+'Part 3 Portfolio Analysis'!$F$121*AH508</f>
        <v>-2.1038200000000002E-3</v>
      </c>
      <c r="AM508" s="91"/>
      <c r="AN508" s="90">
        <v>45400</v>
      </c>
      <c r="AO508" s="91">
        <v>22212.349610000001</v>
      </c>
      <c r="AP508" s="91">
        <v>21995.849610000001</v>
      </c>
      <c r="AQ508" s="91">
        <v>21995.849610000001</v>
      </c>
      <c r="AR508" s="91">
        <v>456900</v>
      </c>
      <c r="AS508" s="91">
        <v>-6.8999999999999999E-3</v>
      </c>
    </row>
    <row r="509" spans="1:45" x14ac:dyDescent="0.55000000000000004">
      <c r="A509" s="90">
        <v>45401</v>
      </c>
      <c r="B509" s="91">
        <v>7474</v>
      </c>
      <c r="C509" s="91">
        <v>7451</v>
      </c>
      <c r="D509" s="91">
        <v>7296.5263670000004</v>
      </c>
      <c r="E509" s="91">
        <v>97601</v>
      </c>
      <c r="F509" s="91">
        <v>-5.7000000000000002E-3</v>
      </c>
      <c r="H509" s="90">
        <v>45401</v>
      </c>
      <c r="I509" s="91">
        <v>1456.775024</v>
      </c>
      <c r="J509" s="91">
        <v>1470.125</v>
      </c>
      <c r="K509" s="91">
        <v>1459.323975</v>
      </c>
      <c r="L509" s="91">
        <v>15741778</v>
      </c>
      <c r="M509" s="91">
        <v>4.0000000000000001E-3</v>
      </c>
      <c r="O509" s="90">
        <v>45401</v>
      </c>
      <c r="P509" s="91">
        <v>743.27502440000001</v>
      </c>
      <c r="Q509" s="91">
        <v>765.65002440000001</v>
      </c>
      <c r="R509" s="91">
        <v>745.2619019</v>
      </c>
      <c r="S509" s="91">
        <v>34576434</v>
      </c>
      <c r="T509" s="91">
        <v>2.4500000000000001E-2</v>
      </c>
      <c r="V509" s="90">
        <v>45401</v>
      </c>
      <c r="W509" s="91">
        <v>1385</v>
      </c>
      <c r="X509" s="91">
        <v>1411.25</v>
      </c>
      <c r="Y509" s="91">
        <v>1328.6704099999999</v>
      </c>
      <c r="Z509" s="91">
        <v>20603621</v>
      </c>
      <c r="AA509" s="91">
        <v>-5.5999999999999999E-3</v>
      </c>
      <c r="AB509" s="91"/>
      <c r="AC509" s="90">
        <v>45401</v>
      </c>
      <c r="AD509" s="91">
        <v>4087.9499510000001</v>
      </c>
      <c r="AE509" s="91">
        <v>4158.9501950000003</v>
      </c>
      <c r="AF509" s="91">
        <v>4152.5009769999997</v>
      </c>
      <c r="AG509" s="91">
        <v>1180675</v>
      </c>
      <c r="AH509" s="91">
        <v>1.7600000000000001E-2</v>
      </c>
      <c r="AI509" s="91"/>
      <c r="AJ509" s="91">
        <f>(F509*'Part 3 Portfolio Analysis'!$B$8+M509*'Part 3 Portfolio Analysis'!$C$8+T509*'Part 3 Portfolio Analysis'!$D$8+AA509*'Part 3 Portfolio Analysis'!$E$8+AH509*'Part 3 Portfolio Analysis'!$F$8)/100</f>
        <v>3.0976190044420425E-3</v>
      </c>
      <c r="AK509" s="91">
        <f>'Part 3 Portfolio Analysis'!$B$107*F509+M509*'Part 3 Portfolio Analysis'!$C$107+T509*'Part 3 Portfolio Analysis'!$D$107+AA509*'Part 3 Portfolio Analysis'!$E$107+AH509*'Part 3 Portfolio Analysis'!$F$107</f>
        <v>7.8986999999999998E-3</v>
      </c>
      <c r="AL509" s="91">
        <f>F509*'Part 3 Portfolio Analysis'!$B$121+M509*'Part 3 Portfolio Analysis'!$C$121+'Part 3 Portfolio Analysis'!$D$121*T509+AA509*'Part 3 Portfolio Analysis'!$E$121+'Part 3 Portfolio Analysis'!$F$121*AH509</f>
        <v>7.2149799999999993E-3</v>
      </c>
      <c r="AM509" s="91"/>
      <c r="AN509" s="90">
        <v>45401</v>
      </c>
      <c r="AO509" s="91">
        <v>21861.5</v>
      </c>
      <c r="AP509" s="91">
        <v>22147</v>
      </c>
      <c r="AQ509" s="91">
        <v>22147</v>
      </c>
      <c r="AR509" s="91">
        <v>362500</v>
      </c>
      <c r="AS509" s="91">
        <v>6.8999999999999999E-3</v>
      </c>
    </row>
    <row r="510" spans="1:45" x14ac:dyDescent="0.55000000000000004">
      <c r="A510" s="90">
        <v>45404</v>
      </c>
      <c r="B510" s="91">
        <v>7487</v>
      </c>
      <c r="C510" s="91">
        <v>7436.6499020000001</v>
      </c>
      <c r="D510" s="91">
        <v>7282.4736329999996</v>
      </c>
      <c r="E510" s="91">
        <v>121025</v>
      </c>
      <c r="F510" s="91">
        <v>-1.9E-3</v>
      </c>
      <c r="H510" s="90">
        <v>45404</v>
      </c>
      <c r="I510" s="91">
        <v>1472.4499510000001</v>
      </c>
      <c r="J510" s="91">
        <v>1479.849976</v>
      </c>
      <c r="K510" s="91">
        <v>1468.9774170000001</v>
      </c>
      <c r="L510" s="91">
        <v>10350362</v>
      </c>
      <c r="M510" s="91">
        <v>6.6E-3</v>
      </c>
      <c r="O510" s="90">
        <v>45404</v>
      </c>
      <c r="P510" s="91">
        <v>778.70001219999995</v>
      </c>
      <c r="Q510" s="91">
        <v>756.09997559999999</v>
      </c>
      <c r="R510" s="91">
        <v>735.96612549999998</v>
      </c>
      <c r="S510" s="91">
        <v>42298438</v>
      </c>
      <c r="T510" s="91">
        <v>-1.2500000000000001E-2</v>
      </c>
      <c r="V510" s="90">
        <v>45404</v>
      </c>
      <c r="W510" s="91">
        <v>1419.900024</v>
      </c>
      <c r="X510" s="91">
        <v>1432.75</v>
      </c>
      <c r="Y510" s="91">
        <v>1348.912476</v>
      </c>
      <c r="Z510" s="91">
        <v>5859087</v>
      </c>
      <c r="AA510" s="91">
        <v>1.52E-2</v>
      </c>
      <c r="AB510" s="91"/>
      <c r="AC510" s="90">
        <v>45404</v>
      </c>
      <c r="AD510" s="91">
        <v>4215.2998049999997</v>
      </c>
      <c r="AE510" s="91">
        <v>4168.6000979999999</v>
      </c>
      <c r="AF510" s="91">
        <v>4162.1362300000001</v>
      </c>
      <c r="AG510" s="91">
        <v>1179181</v>
      </c>
      <c r="AH510" s="91">
        <v>2.3E-3</v>
      </c>
      <c r="AI510" s="91"/>
      <c r="AJ510" s="91">
        <f>(F510*'Part 3 Portfolio Analysis'!$B$8+M510*'Part 3 Portfolio Analysis'!$C$8+T510*'Part 3 Portfolio Analysis'!$D$8+AA510*'Part 3 Portfolio Analysis'!$E$8+AH510*'Part 3 Portfolio Analysis'!$F$8)/100</f>
        <v>2.2058796565518294E-3</v>
      </c>
      <c r="AK510" s="91">
        <f>'Part 3 Portfolio Analysis'!$B$107*F510+M510*'Part 3 Portfolio Analysis'!$C$107+T510*'Part 3 Portfolio Analysis'!$D$107+AA510*'Part 3 Portfolio Analysis'!$E$107+AH510*'Part 3 Portfolio Analysis'!$F$107</f>
        <v>1.8859000000000002E-3</v>
      </c>
      <c r="AL510" s="91">
        <f>F510*'Part 3 Portfolio Analysis'!$B$121+M510*'Part 3 Portfolio Analysis'!$C$121+'Part 3 Portfolio Analysis'!$D$121*T510+AA510*'Part 3 Portfolio Analysis'!$E$121+'Part 3 Portfolio Analysis'!$F$121*AH510</f>
        <v>2.3134399999999995E-3</v>
      </c>
      <c r="AM510" s="91"/>
      <c r="AN510" s="90">
        <v>45404</v>
      </c>
      <c r="AO510" s="91">
        <v>22336.900389999999</v>
      </c>
      <c r="AP510" s="91">
        <v>22336.400389999999</v>
      </c>
      <c r="AQ510" s="91">
        <v>22336.400389999999</v>
      </c>
      <c r="AR510" s="91">
        <v>279300</v>
      </c>
      <c r="AS510" s="91">
        <v>8.6E-3</v>
      </c>
    </row>
    <row r="511" spans="1:45" x14ac:dyDescent="0.55000000000000004">
      <c r="A511" s="90">
        <v>45405</v>
      </c>
      <c r="B511" s="91">
        <v>7498</v>
      </c>
      <c r="C511" s="91">
        <v>7395.2001950000003</v>
      </c>
      <c r="D511" s="91">
        <v>7241.8833009999998</v>
      </c>
      <c r="E511" s="91">
        <v>127264</v>
      </c>
      <c r="F511" s="91">
        <v>-5.5999999999999999E-3</v>
      </c>
      <c r="H511" s="90">
        <v>45405</v>
      </c>
      <c r="I511" s="91">
        <v>1479</v>
      </c>
      <c r="J511" s="91">
        <v>1459.3249510000001</v>
      </c>
      <c r="K511" s="91">
        <v>1448.6032709999999</v>
      </c>
      <c r="L511" s="91">
        <v>14605554</v>
      </c>
      <c r="M511" s="91">
        <v>-1.3899999999999999E-2</v>
      </c>
      <c r="O511" s="90">
        <v>45405</v>
      </c>
      <c r="P511" s="91">
        <v>763.15002440000001</v>
      </c>
      <c r="Q511" s="91">
        <v>753.79998780000005</v>
      </c>
      <c r="R511" s="91">
        <v>733.72735599999999</v>
      </c>
      <c r="S511" s="91">
        <v>26827060</v>
      </c>
      <c r="T511" s="91">
        <v>-3.0000000000000001E-3</v>
      </c>
      <c r="V511" s="90">
        <v>45405</v>
      </c>
      <c r="W511" s="91">
        <v>1443</v>
      </c>
      <c r="X511" s="91">
        <v>1442.400024</v>
      </c>
      <c r="Y511" s="91">
        <v>1357.997803</v>
      </c>
      <c r="Z511" s="91">
        <v>4856174</v>
      </c>
      <c r="AA511" s="91">
        <v>6.7000000000000002E-3</v>
      </c>
      <c r="AB511" s="91"/>
      <c r="AC511" s="90">
        <v>45405</v>
      </c>
      <c r="AD511" s="91">
        <v>4215</v>
      </c>
      <c r="AE511" s="91">
        <v>4158.2998049999997</v>
      </c>
      <c r="AF511" s="91">
        <v>4151.8520509999998</v>
      </c>
      <c r="AG511" s="91">
        <v>626656</v>
      </c>
      <c r="AH511" s="91">
        <v>-2.5000000000000001E-3</v>
      </c>
      <c r="AI511" s="91"/>
      <c r="AJ511" s="91">
        <f>(F511*'Part 3 Portfolio Analysis'!$B$8+M511*'Part 3 Portfolio Analysis'!$C$8+T511*'Part 3 Portfolio Analysis'!$D$8+AA511*'Part 3 Portfolio Analysis'!$E$8+AH511*'Part 3 Portfolio Analysis'!$F$8)/100</f>
        <v>-6.1650910219021591E-3</v>
      </c>
      <c r="AK511" s="91">
        <f>'Part 3 Portfolio Analysis'!$B$107*F511+M511*'Part 3 Portfolio Analysis'!$C$107+T511*'Part 3 Portfolio Analysis'!$D$107+AA511*'Part 3 Portfolio Analysis'!$E$107+AH511*'Part 3 Portfolio Analysis'!$F$107</f>
        <v>-5.783700000000001E-3</v>
      </c>
      <c r="AL511" s="91">
        <f>F511*'Part 3 Portfolio Analysis'!$B$121+M511*'Part 3 Portfolio Analysis'!$C$121+'Part 3 Portfolio Analysis'!$D$121*T511+AA511*'Part 3 Portfolio Analysis'!$E$121+'Part 3 Portfolio Analysis'!$F$121*AH511</f>
        <v>-5.8342599999999991E-3</v>
      </c>
      <c r="AM511" s="91"/>
      <c r="AN511" s="90">
        <v>45405</v>
      </c>
      <c r="AO511" s="91">
        <v>22447.050780000001</v>
      </c>
      <c r="AP511" s="91">
        <v>22368</v>
      </c>
      <c r="AQ511" s="91">
        <v>22368</v>
      </c>
      <c r="AR511" s="91">
        <v>231500</v>
      </c>
      <c r="AS511" s="91">
        <v>1.4E-3</v>
      </c>
    </row>
    <row r="512" spans="1:45" x14ac:dyDescent="0.55000000000000004">
      <c r="A512" s="90">
        <v>45406</v>
      </c>
      <c r="B512" s="91">
        <v>7034.0498049999997</v>
      </c>
      <c r="C512" s="91">
        <v>7030.1499020000001</v>
      </c>
      <c r="D512" s="91">
        <v>6884.4013670000004</v>
      </c>
      <c r="E512" s="91">
        <v>806331</v>
      </c>
      <c r="F512" s="91">
        <v>-4.9399999999999999E-2</v>
      </c>
      <c r="H512" s="90">
        <v>45406</v>
      </c>
      <c r="I512" s="91">
        <v>1463.5</v>
      </c>
      <c r="J512" s="91">
        <v>1450.1750489999999</v>
      </c>
      <c r="K512" s="91">
        <v>1439.5205080000001</v>
      </c>
      <c r="L512" s="91">
        <v>10462776</v>
      </c>
      <c r="M512" s="91">
        <v>-6.3E-3</v>
      </c>
      <c r="O512" s="90">
        <v>45406</v>
      </c>
      <c r="P512" s="91">
        <v>757.5</v>
      </c>
      <c r="Q512" s="91">
        <v>755.84997559999999</v>
      </c>
      <c r="R512" s="91">
        <v>735.7228394</v>
      </c>
      <c r="S512" s="91">
        <v>22441580</v>
      </c>
      <c r="T512" s="91">
        <v>2.7000000000000001E-3</v>
      </c>
      <c r="V512" s="90">
        <v>45406</v>
      </c>
      <c r="W512" s="91">
        <v>1444.3000489999999</v>
      </c>
      <c r="X512" s="91">
        <v>1430.75</v>
      </c>
      <c r="Y512" s="91">
        <v>1347.0295410000001</v>
      </c>
      <c r="Z512" s="91">
        <v>4268213</v>
      </c>
      <c r="AA512" s="91">
        <v>-8.0999999999999996E-3</v>
      </c>
      <c r="AB512" s="91"/>
      <c r="AC512" s="90">
        <v>45406</v>
      </c>
      <c r="AD512" s="91">
        <v>4158.2998049999997</v>
      </c>
      <c r="AE512" s="91">
        <v>4221.75</v>
      </c>
      <c r="AF512" s="91">
        <v>4215.2036129999997</v>
      </c>
      <c r="AG512" s="91">
        <v>641190</v>
      </c>
      <c r="AH512" s="91">
        <v>1.5299999999999999E-2</v>
      </c>
      <c r="AI512" s="91"/>
      <c r="AJ512" s="91">
        <f>(F512*'Part 3 Portfolio Analysis'!$B$8+M512*'Part 3 Portfolio Analysis'!$C$8+T512*'Part 3 Portfolio Analysis'!$D$8+AA512*'Part 3 Portfolio Analysis'!$E$8+AH512*'Part 3 Portfolio Analysis'!$F$8)/100</f>
        <v>-1.7807256430934747E-2</v>
      </c>
      <c r="AK512" s="91">
        <f>'Part 3 Portfolio Analysis'!$B$107*F512+M512*'Part 3 Portfolio Analysis'!$C$107+T512*'Part 3 Portfolio Analysis'!$D$107+AA512*'Part 3 Portfolio Analysis'!$E$107+AH512*'Part 3 Portfolio Analysis'!$F$107</f>
        <v>-7.3997999999999989E-3</v>
      </c>
      <c r="AL512" s="91">
        <f>F512*'Part 3 Portfolio Analysis'!$B$121+M512*'Part 3 Portfolio Analysis'!$C$121+'Part 3 Portfolio Analysis'!$D$121*T512+AA512*'Part 3 Portfolio Analysis'!$E$121+'Part 3 Portfolio Analysis'!$F$121*AH512</f>
        <v>-7.1888999999999989E-3</v>
      </c>
      <c r="AM512" s="91"/>
      <c r="AN512" s="90">
        <v>45406</v>
      </c>
      <c r="AO512" s="91">
        <v>22421.550780000001</v>
      </c>
      <c r="AP512" s="91">
        <v>22402.400389999999</v>
      </c>
      <c r="AQ512" s="91">
        <v>22402.400389999999</v>
      </c>
      <c r="AR512" s="91">
        <v>235900</v>
      </c>
      <c r="AS512" s="91">
        <v>1.5E-3</v>
      </c>
    </row>
    <row r="513" spans="1:45" x14ac:dyDescent="0.55000000000000004">
      <c r="A513" s="90">
        <v>45407</v>
      </c>
      <c r="B513" s="91">
        <v>7087.1499020000001</v>
      </c>
      <c r="C513" s="91">
        <v>7093.8999020000001</v>
      </c>
      <c r="D513" s="91">
        <v>6946.8295900000003</v>
      </c>
      <c r="E513" s="91">
        <v>145948</v>
      </c>
      <c r="F513" s="91">
        <v>9.1000000000000004E-3</v>
      </c>
      <c r="H513" s="90">
        <v>45407</v>
      </c>
      <c r="I513" s="91">
        <v>1442.5</v>
      </c>
      <c r="J513" s="91">
        <v>1459.974976</v>
      </c>
      <c r="K513" s="91">
        <v>1449.248413</v>
      </c>
      <c r="L513" s="91">
        <v>15943926</v>
      </c>
      <c r="M513" s="91">
        <v>6.7999999999999996E-3</v>
      </c>
      <c r="O513" s="90">
        <v>45407</v>
      </c>
      <c r="P513" s="91">
        <v>753.125</v>
      </c>
      <c r="Q513" s="91">
        <v>755.375</v>
      </c>
      <c r="R513" s="91">
        <v>735.26049799999998</v>
      </c>
      <c r="S513" s="91">
        <v>35445204</v>
      </c>
      <c r="T513" s="91">
        <v>-5.9999999999999995E-4</v>
      </c>
      <c r="V513" s="90">
        <v>45407</v>
      </c>
      <c r="W513" s="91">
        <v>1420</v>
      </c>
      <c r="X513" s="91">
        <v>1438.4499510000001</v>
      </c>
      <c r="Y513" s="91">
        <v>1354.278687</v>
      </c>
      <c r="Z513" s="91">
        <v>9089398</v>
      </c>
      <c r="AA513" s="91">
        <v>5.4000000000000003E-3</v>
      </c>
      <c r="AB513" s="91"/>
      <c r="AC513" s="90">
        <v>45407</v>
      </c>
      <c r="AD513" s="91">
        <v>4250</v>
      </c>
      <c r="AE513" s="91">
        <v>4323.1499020000001</v>
      </c>
      <c r="AF513" s="91">
        <v>4316.4467770000001</v>
      </c>
      <c r="AG513" s="91">
        <v>761557</v>
      </c>
      <c r="AH513" s="91">
        <v>2.4E-2</v>
      </c>
      <c r="AI513" s="91"/>
      <c r="AJ513" s="91">
        <f>(F513*'Part 3 Portfolio Analysis'!$B$8+M513*'Part 3 Portfolio Analysis'!$C$8+T513*'Part 3 Portfolio Analysis'!$D$8+AA513*'Part 3 Portfolio Analysis'!$E$8+AH513*'Part 3 Portfolio Analysis'!$F$8)/100</f>
        <v>6.1983848839794421E-3</v>
      </c>
      <c r="AK513" s="91">
        <f>'Part 3 Portfolio Analysis'!$B$107*F513+M513*'Part 3 Portfolio Analysis'!$C$107+T513*'Part 3 Portfolio Analysis'!$D$107+AA513*'Part 3 Portfolio Analysis'!$E$107+AH513*'Part 3 Portfolio Analysis'!$F$107</f>
        <v>1.02614E-2</v>
      </c>
      <c r="AL513" s="91">
        <f>F513*'Part 3 Portfolio Analysis'!$B$121+M513*'Part 3 Portfolio Analysis'!$C$121+'Part 3 Portfolio Analysis'!$D$121*T513+AA513*'Part 3 Portfolio Analysis'!$E$121+'Part 3 Portfolio Analysis'!$F$121*AH513</f>
        <v>5.1468999999999994E-3</v>
      </c>
      <c r="AM513" s="91"/>
      <c r="AN513" s="90">
        <v>45407</v>
      </c>
      <c r="AO513" s="91">
        <v>22316.900389999999</v>
      </c>
      <c r="AP513" s="91">
        <v>22570.349610000001</v>
      </c>
      <c r="AQ513" s="91">
        <v>22570.349610000001</v>
      </c>
      <c r="AR513" s="91">
        <v>475000</v>
      </c>
      <c r="AS513" s="91">
        <v>7.4999999999999997E-3</v>
      </c>
    </row>
    <row r="514" spans="1:45" x14ac:dyDescent="0.55000000000000004">
      <c r="A514" s="90">
        <v>45408</v>
      </c>
      <c r="B514" s="91">
        <v>7130</v>
      </c>
      <c r="C514" s="91">
        <v>7103.7001950000003</v>
      </c>
      <c r="D514" s="91">
        <v>6956.4267579999996</v>
      </c>
      <c r="E514" s="91">
        <v>125101</v>
      </c>
      <c r="F514" s="91">
        <v>1.4E-3</v>
      </c>
      <c r="H514" s="90">
        <v>45408</v>
      </c>
      <c r="I514" s="91">
        <v>1463.9499510000001</v>
      </c>
      <c r="J514" s="91">
        <v>1452.5500489999999</v>
      </c>
      <c r="K514" s="91">
        <v>1441.878052</v>
      </c>
      <c r="L514" s="91">
        <v>9413848</v>
      </c>
      <c r="M514" s="91">
        <v>-5.1000000000000004E-3</v>
      </c>
      <c r="O514" s="90">
        <v>45408</v>
      </c>
      <c r="P514" s="91">
        <v>759.90002440000001</v>
      </c>
      <c r="Q514" s="91">
        <v>754.90002440000001</v>
      </c>
      <c r="R514" s="91">
        <v>734.79815670000005</v>
      </c>
      <c r="S514" s="91">
        <v>24854694</v>
      </c>
      <c r="T514" s="91">
        <v>-5.9999999999999995E-4</v>
      </c>
      <c r="V514" s="90">
        <v>45408</v>
      </c>
      <c r="W514" s="91">
        <v>1439.6999510000001</v>
      </c>
      <c r="X514" s="91">
        <v>1430.25</v>
      </c>
      <c r="Y514" s="91">
        <v>1346.5585940000001</v>
      </c>
      <c r="Z514" s="91">
        <v>8062444</v>
      </c>
      <c r="AA514" s="91">
        <v>-5.7000000000000002E-3</v>
      </c>
      <c r="AB514" s="91"/>
      <c r="AC514" s="90">
        <v>45408</v>
      </c>
      <c r="AD514" s="91">
        <v>4340</v>
      </c>
      <c r="AE514" s="91">
        <v>4304.8500979999999</v>
      </c>
      <c r="AF514" s="91">
        <v>4298.1748049999997</v>
      </c>
      <c r="AG514" s="91">
        <v>622336</v>
      </c>
      <c r="AH514" s="91">
        <v>-4.1999999999999997E-3</v>
      </c>
      <c r="AI514" s="91"/>
      <c r="AJ514" s="91">
        <f>(F514*'Part 3 Portfolio Analysis'!$B$8+M514*'Part 3 Portfolio Analysis'!$C$8+T514*'Part 3 Portfolio Analysis'!$D$8+AA514*'Part 3 Portfolio Analysis'!$E$8+AH514*'Part 3 Portfolio Analysis'!$F$8)/100</f>
        <v>-2.4871067528629155E-3</v>
      </c>
      <c r="AK514" s="91">
        <f>'Part 3 Portfolio Analysis'!$B$107*F514+M514*'Part 3 Portfolio Analysis'!$C$107+T514*'Part 3 Portfolio Analysis'!$D$107+AA514*'Part 3 Portfolio Analysis'!$E$107+AH514*'Part 3 Portfolio Analysis'!$F$107</f>
        <v>-3.0657000000000002E-3</v>
      </c>
      <c r="AL514" s="91">
        <f>F514*'Part 3 Portfolio Analysis'!$B$121+M514*'Part 3 Portfolio Analysis'!$C$121+'Part 3 Portfolio Analysis'!$D$121*T514+AA514*'Part 3 Portfolio Analysis'!$E$121+'Part 3 Portfolio Analysis'!$F$121*AH514</f>
        <v>-3.4381200000000007E-3</v>
      </c>
      <c r="AM514" s="91"/>
      <c r="AN514" s="90">
        <v>45408</v>
      </c>
      <c r="AO514" s="91">
        <v>22620.400389999999</v>
      </c>
      <c r="AP514" s="91">
        <v>22419.949219999999</v>
      </c>
      <c r="AQ514" s="91">
        <v>22419.949219999999</v>
      </c>
      <c r="AR514" s="91">
        <v>329900</v>
      </c>
      <c r="AS514" s="91">
        <v>-6.7000000000000002E-3</v>
      </c>
    </row>
    <row r="515" spans="1:45" x14ac:dyDescent="0.55000000000000004">
      <c r="A515" s="90">
        <v>45411</v>
      </c>
      <c r="B515" s="91">
        <v>7174</v>
      </c>
      <c r="C515" s="91">
        <v>7102.6000979999999</v>
      </c>
      <c r="D515" s="91">
        <v>6955.3491210000002</v>
      </c>
      <c r="E515" s="91">
        <v>93406</v>
      </c>
      <c r="F515" s="91">
        <v>-2.0000000000000001E-4</v>
      </c>
      <c r="H515" s="90">
        <v>45411</v>
      </c>
      <c r="I515" s="91">
        <v>1450</v>
      </c>
      <c r="J515" s="91">
        <v>1465.025024</v>
      </c>
      <c r="K515" s="91">
        <v>1454.2613530000001</v>
      </c>
      <c r="L515" s="91">
        <v>7247974</v>
      </c>
      <c r="M515" s="91">
        <v>8.6E-3</v>
      </c>
      <c r="O515" s="90">
        <v>45411</v>
      </c>
      <c r="P515" s="91">
        <v>757.5</v>
      </c>
      <c r="Q515" s="91">
        <v>764.75</v>
      </c>
      <c r="R515" s="91">
        <v>744.38586429999998</v>
      </c>
      <c r="S515" s="91">
        <v>36093350</v>
      </c>
      <c r="T515" s="91">
        <v>1.2999999999999999E-2</v>
      </c>
      <c r="V515" s="90">
        <v>45411</v>
      </c>
      <c r="W515" s="91">
        <v>1429.9499510000001</v>
      </c>
      <c r="X515" s="91">
        <v>1434.75</v>
      </c>
      <c r="Y515" s="91">
        <v>1350.7954099999999</v>
      </c>
      <c r="Z515" s="91">
        <v>5055957</v>
      </c>
      <c r="AA515" s="91">
        <v>3.0999999999999999E-3</v>
      </c>
      <c r="AB515" s="91"/>
      <c r="AC515" s="90">
        <v>45411</v>
      </c>
      <c r="AD515" s="91">
        <v>4359</v>
      </c>
      <c r="AE515" s="91">
        <v>4314.1000979999999</v>
      </c>
      <c r="AF515" s="91">
        <v>4307.4106449999999</v>
      </c>
      <c r="AG515" s="91">
        <v>2349939</v>
      </c>
      <c r="AH515" s="91">
        <v>2.0999999999999999E-3</v>
      </c>
      <c r="AI515" s="91"/>
      <c r="AJ515" s="91">
        <f>(F515*'Part 3 Portfolio Analysis'!$B$8+M515*'Part 3 Portfolio Analysis'!$C$8+T515*'Part 3 Portfolio Analysis'!$D$8+AA515*'Part 3 Portfolio Analysis'!$E$8+AH515*'Part 3 Portfolio Analysis'!$F$8)/100</f>
        <v>5.7453128682630125E-3</v>
      </c>
      <c r="AK515" s="91">
        <f>'Part 3 Portfolio Analysis'!$B$107*F515+M515*'Part 3 Portfolio Analysis'!$C$107+T515*'Part 3 Portfolio Analysis'!$D$107+AA515*'Part 3 Portfolio Analysis'!$E$107+AH515*'Part 3 Portfolio Analysis'!$F$107</f>
        <v>5.5099999999999993E-3</v>
      </c>
      <c r="AL515" s="91">
        <f>F515*'Part 3 Portfolio Analysis'!$B$121+M515*'Part 3 Portfolio Analysis'!$C$121+'Part 3 Portfolio Analysis'!$D$121*T515+AA515*'Part 3 Portfolio Analysis'!$E$121+'Part 3 Portfolio Analysis'!$F$121*AH515</f>
        <v>7.8031400000000001E-3</v>
      </c>
      <c r="AM515" s="91"/>
      <c r="AN515" s="90">
        <v>45411</v>
      </c>
      <c r="AO515" s="91">
        <v>22475.550780000001</v>
      </c>
      <c r="AP515" s="91">
        <v>22643.400389999999</v>
      </c>
      <c r="AQ515" s="91">
        <v>22643.400389999999</v>
      </c>
      <c r="AR515" s="91">
        <v>292000</v>
      </c>
      <c r="AS515" s="91">
        <v>0.01</v>
      </c>
    </row>
    <row r="516" spans="1:45" x14ac:dyDescent="0.55000000000000004">
      <c r="A516" s="90">
        <v>45412</v>
      </c>
      <c r="B516" s="91">
        <v>7100</v>
      </c>
      <c r="C516" s="91">
        <v>7051.8999020000001</v>
      </c>
      <c r="D516" s="91">
        <v>6905.7001950000003</v>
      </c>
      <c r="E516" s="91">
        <v>134157</v>
      </c>
      <c r="F516" s="91">
        <v>-7.1000000000000004E-3</v>
      </c>
      <c r="H516" s="90">
        <v>45412</v>
      </c>
      <c r="I516" s="91">
        <v>1468</v>
      </c>
      <c r="J516" s="91">
        <v>1467</v>
      </c>
      <c r="K516" s="91">
        <v>1456.2219239999999</v>
      </c>
      <c r="L516" s="91">
        <v>11474262</v>
      </c>
      <c r="M516" s="91">
        <v>1.2999999999999999E-3</v>
      </c>
      <c r="O516" s="90">
        <v>45412</v>
      </c>
      <c r="P516" s="91">
        <v>764.59997559999999</v>
      </c>
      <c r="Q516" s="91">
        <v>760.04998780000005</v>
      </c>
      <c r="R516" s="91">
        <v>739.81097409999995</v>
      </c>
      <c r="S516" s="91">
        <v>52307382</v>
      </c>
      <c r="T516" s="91">
        <v>-6.1000000000000004E-3</v>
      </c>
      <c r="V516" s="90">
        <v>45412</v>
      </c>
      <c r="W516" s="91">
        <v>1434.6999510000001</v>
      </c>
      <c r="X516" s="91">
        <v>1420.5500489999999</v>
      </c>
      <c r="Y516" s="91">
        <v>1337.4262699999999</v>
      </c>
      <c r="Z516" s="91">
        <v>6936588</v>
      </c>
      <c r="AA516" s="91">
        <v>-9.9000000000000008E-3</v>
      </c>
      <c r="AB516" s="91"/>
      <c r="AC516" s="90">
        <v>45412</v>
      </c>
      <c r="AD516" s="91">
        <v>4450</v>
      </c>
      <c r="AE516" s="91">
        <v>4409.8999020000001</v>
      </c>
      <c r="AF516" s="91">
        <v>4403.0620120000003</v>
      </c>
      <c r="AG516" s="91">
        <v>4924865</v>
      </c>
      <c r="AH516" s="91">
        <v>2.2200000000000001E-2</v>
      </c>
      <c r="AI516" s="91"/>
      <c r="AJ516" s="91">
        <f>(F516*'Part 3 Portfolio Analysis'!$B$8+M516*'Part 3 Portfolio Analysis'!$C$8+T516*'Part 3 Portfolio Analysis'!$D$8+AA516*'Part 3 Portfolio Analysis'!$E$8+AH516*'Part 3 Portfolio Analysis'!$F$8)/100</f>
        <v>-4.0526017928006084E-3</v>
      </c>
      <c r="AK516" s="91">
        <f>'Part 3 Portfolio Analysis'!$B$107*F516+M516*'Part 3 Portfolio Analysis'!$C$107+T516*'Part 3 Portfolio Analysis'!$D$107+AA516*'Part 3 Portfolio Analysis'!$E$107+AH516*'Part 3 Portfolio Analysis'!$F$107</f>
        <v>2.7878E-3</v>
      </c>
      <c r="AL516" s="91">
        <f>F516*'Part 3 Portfolio Analysis'!$B$121+M516*'Part 3 Portfolio Analysis'!$C$121+'Part 3 Portfolio Analysis'!$D$121*T516+AA516*'Part 3 Portfolio Analysis'!$E$121+'Part 3 Portfolio Analysis'!$F$121*AH516</f>
        <v>-3.0957000000000007E-3</v>
      </c>
      <c r="AM516" s="91"/>
      <c r="AN516" s="90">
        <v>45412</v>
      </c>
      <c r="AO516" s="91">
        <v>22679.650389999999</v>
      </c>
      <c r="AP516" s="91">
        <v>22604.849610000001</v>
      </c>
      <c r="AQ516" s="91">
        <v>22604.849610000001</v>
      </c>
      <c r="AR516" s="91">
        <v>361900</v>
      </c>
      <c r="AS516" s="91">
        <v>-1.6999999999999999E-3</v>
      </c>
    </row>
    <row r="517" spans="1:45" x14ac:dyDescent="0.55000000000000004">
      <c r="A517" s="90">
        <v>45414</v>
      </c>
      <c r="B517" s="91">
        <v>7098</v>
      </c>
      <c r="C517" s="91">
        <v>7151.4501950000003</v>
      </c>
      <c r="D517" s="91">
        <v>7003.1865230000003</v>
      </c>
      <c r="E517" s="91">
        <v>117397</v>
      </c>
      <c r="F517" s="91">
        <v>1.41E-2</v>
      </c>
      <c r="H517" s="90">
        <v>45414</v>
      </c>
      <c r="I517" s="91">
        <v>1472</v>
      </c>
      <c r="J517" s="91">
        <v>1466.5500489999999</v>
      </c>
      <c r="K517" s="91">
        <v>1455.7751459999999</v>
      </c>
      <c r="L517" s="91">
        <v>14512646</v>
      </c>
      <c r="M517" s="91">
        <v>-2.9999999999999997E-4</v>
      </c>
      <c r="O517" s="90">
        <v>45414</v>
      </c>
      <c r="P517" s="91">
        <v>761</v>
      </c>
      <c r="Q517" s="91">
        <v>766.125</v>
      </c>
      <c r="R517" s="91">
        <v>745.72418210000001</v>
      </c>
      <c r="S517" s="91">
        <v>33475006</v>
      </c>
      <c r="T517" s="91">
        <v>8.0000000000000002E-3</v>
      </c>
      <c r="V517" s="90">
        <v>45414</v>
      </c>
      <c r="W517" s="91">
        <v>1413</v>
      </c>
      <c r="X517" s="91">
        <v>1414.4499510000001</v>
      </c>
      <c r="Y517" s="91">
        <v>1331.6832280000001</v>
      </c>
      <c r="Z517" s="91">
        <v>10076354</v>
      </c>
      <c r="AA517" s="91">
        <v>-4.3E-3</v>
      </c>
      <c r="AB517" s="91"/>
      <c r="AC517" s="90">
        <v>45414</v>
      </c>
      <c r="AD517" s="91">
        <v>4409.8999020000001</v>
      </c>
      <c r="AE517" s="91">
        <v>4646.7001950000003</v>
      </c>
      <c r="AF517" s="91">
        <v>4639.4946289999998</v>
      </c>
      <c r="AG517" s="91">
        <v>1998618</v>
      </c>
      <c r="AH517" s="91">
        <v>5.3699999999999998E-2</v>
      </c>
      <c r="AI517" s="91"/>
      <c r="AJ517" s="91">
        <f>(F517*'Part 3 Portfolio Analysis'!$B$8+M517*'Part 3 Portfolio Analysis'!$C$8+T517*'Part 3 Portfolio Analysis'!$D$8+AA517*'Part 3 Portfolio Analysis'!$E$8+AH517*'Part 3 Portfolio Analysis'!$F$8)/100</f>
        <v>5.2885853614590009E-3</v>
      </c>
      <c r="AK517" s="91">
        <f>'Part 3 Portfolio Analysis'!$B$107*F517+M517*'Part 3 Portfolio Analysis'!$C$107+T517*'Part 3 Portfolio Analysis'!$D$107+AA517*'Part 3 Portfolio Analysis'!$E$107+AH517*'Part 3 Portfolio Analysis'!$F$107</f>
        <v>1.6786499999999999E-2</v>
      </c>
      <c r="AL517" s="91">
        <f>F517*'Part 3 Portfolio Analysis'!$B$121+M517*'Part 3 Portfolio Analysis'!$C$121+'Part 3 Portfolio Analysis'!$D$121*T517+AA517*'Part 3 Portfolio Analysis'!$E$121+'Part 3 Portfolio Analysis'!$F$121*AH517</f>
        <v>3.7560800000000002E-3</v>
      </c>
      <c r="AM517" s="91"/>
      <c r="AN517" s="90">
        <v>45414</v>
      </c>
      <c r="AO517" s="91">
        <v>22567.849610000001</v>
      </c>
      <c r="AP517" s="91">
        <v>22648.199219999999</v>
      </c>
      <c r="AQ517" s="91">
        <v>22648.199219999999</v>
      </c>
      <c r="AR517" s="91">
        <v>445900</v>
      </c>
      <c r="AS517" s="91">
        <v>1.9E-3</v>
      </c>
    </row>
    <row r="518" spans="1:45" x14ac:dyDescent="0.55000000000000004">
      <c r="A518" s="90">
        <v>45415</v>
      </c>
      <c r="B518" s="91">
        <v>7195</v>
      </c>
      <c r="C518" s="91">
        <v>7111.75</v>
      </c>
      <c r="D518" s="91">
        <v>6964.3095700000003</v>
      </c>
      <c r="E518" s="91">
        <v>82962</v>
      </c>
      <c r="F518" s="91">
        <v>-5.5999999999999999E-3</v>
      </c>
      <c r="H518" s="90">
        <v>45415</v>
      </c>
      <c r="I518" s="91">
        <v>1471</v>
      </c>
      <c r="J518" s="91">
        <v>1434</v>
      </c>
      <c r="K518" s="91">
        <v>1423.4643550000001</v>
      </c>
      <c r="L518" s="91">
        <v>17226958</v>
      </c>
      <c r="M518" s="91">
        <v>-2.2200000000000001E-2</v>
      </c>
      <c r="O518" s="90">
        <v>45415</v>
      </c>
      <c r="P518" s="91">
        <v>766.625</v>
      </c>
      <c r="Q518" s="91">
        <v>759.79998780000005</v>
      </c>
      <c r="R518" s="91">
        <v>739.56762700000002</v>
      </c>
      <c r="S518" s="91">
        <v>31865242</v>
      </c>
      <c r="T518" s="91">
        <v>-8.3000000000000001E-3</v>
      </c>
      <c r="V518" s="90">
        <v>45415</v>
      </c>
      <c r="W518" s="91">
        <v>1422.099976</v>
      </c>
      <c r="X518" s="91">
        <v>1416.3000489999999</v>
      </c>
      <c r="Y518" s="91">
        <v>1333.4250489999999</v>
      </c>
      <c r="Z518" s="91">
        <v>8842345</v>
      </c>
      <c r="AA518" s="91">
        <v>1.2999999999999999E-3</v>
      </c>
      <c r="AB518" s="91"/>
      <c r="AC518" s="90">
        <v>45415</v>
      </c>
      <c r="AD518" s="91">
        <v>4680.2001950000003</v>
      </c>
      <c r="AE518" s="91">
        <v>4523.6499020000001</v>
      </c>
      <c r="AF518" s="91">
        <v>4516.6352539999998</v>
      </c>
      <c r="AG518" s="91">
        <v>1313008</v>
      </c>
      <c r="AH518" s="91">
        <v>-2.6499999999999999E-2</v>
      </c>
      <c r="AI518" s="91"/>
      <c r="AJ518" s="91">
        <f>(F518*'Part 3 Portfolio Analysis'!$B$8+M518*'Part 3 Portfolio Analysis'!$C$8+T518*'Part 3 Portfolio Analysis'!$D$8+AA518*'Part 3 Portfolio Analysis'!$E$8+AH518*'Part 3 Portfolio Analysis'!$F$8)/100</f>
        <v>-1.1161391037740649E-2</v>
      </c>
      <c r="AK518" s="91">
        <f>'Part 3 Portfolio Analysis'!$B$107*F518+M518*'Part 3 Portfolio Analysis'!$C$107+T518*'Part 3 Portfolio Analysis'!$D$107+AA518*'Part 3 Portfolio Analysis'!$E$107+AH518*'Part 3 Portfolio Analysis'!$F$107</f>
        <v>-1.5791099999999999E-2</v>
      </c>
      <c r="AL518" s="91">
        <f>F518*'Part 3 Portfolio Analysis'!$B$121+M518*'Part 3 Portfolio Analysis'!$C$121+'Part 3 Portfolio Analysis'!$D$121*T518+AA518*'Part 3 Portfolio Analysis'!$E$121+'Part 3 Portfolio Analysis'!$F$121*AH518</f>
        <v>-1.246734E-2</v>
      </c>
      <c r="AM518" s="91"/>
      <c r="AN518" s="90">
        <v>45415</v>
      </c>
      <c r="AO518" s="91">
        <v>22766.349610000001</v>
      </c>
      <c r="AP518" s="91">
        <v>22475.849610000001</v>
      </c>
      <c r="AQ518" s="91">
        <v>22475.849610000001</v>
      </c>
      <c r="AR518" s="91">
        <v>438100</v>
      </c>
      <c r="AS518" s="91">
        <v>-7.6E-3</v>
      </c>
    </row>
    <row r="519" spans="1:45" x14ac:dyDescent="0.55000000000000004">
      <c r="A519" s="90">
        <v>45418</v>
      </c>
      <c r="B519" s="91">
        <v>7148</v>
      </c>
      <c r="C519" s="91">
        <v>7087.5498049999997</v>
      </c>
      <c r="D519" s="91">
        <v>6940.611328</v>
      </c>
      <c r="E519" s="91">
        <v>67837</v>
      </c>
      <c r="F519" s="91">
        <v>-3.3999999999999998E-3</v>
      </c>
      <c r="H519" s="90">
        <v>45418</v>
      </c>
      <c r="I519" s="91">
        <v>1435.5</v>
      </c>
      <c r="J519" s="91">
        <v>1419.525024</v>
      </c>
      <c r="K519" s="91">
        <v>1409.095703</v>
      </c>
      <c r="L519" s="91">
        <v>7394208</v>
      </c>
      <c r="M519" s="91">
        <v>-1.01E-2</v>
      </c>
      <c r="O519" s="90">
        <v>45418</v>
      </c>
      <c r="P519" s="91">
        <v>761</v>
      </c>
      <c r="Q519" s="91">
        <v>761.32501219999995</v>
      </c>
      <c r="R519" s="91">
        <v>741.05206299999998</v>
      </c>
      <c r="S519" s="91">
        <v>28793396</v>
      </c>
      <c r="T519" s="91">
        <v>2E-3</v>
      </c>
      <c r="V519" s="90">
        <v>45418</v>
      </c>
      <c r="W519" s="91">
        <v>1420</v>
      </c>
      <c r="X519" s="91">
        <v>1425.900024</v>
      </c>
      <c r="Y519" s="91">
        <v>1342.463379</v>
      </c>
      <c r="Z519" s="91">
        <v>6445422</v>
      </c>
      <c r="AA519" s="91">
        <v>6.7999999999999996E-3</v>
      </c>
      <c r="AB519" s="91"/>
      <c r="AC519" s="90">
        <v>45418</v>
      </c>
      <c r="AD519" s="91">
        <v>4555</v>
      </c>
      <c r="AE519" s="91">
        <v>4509.0498049999997</v>
      </c>
      <c r="AF519" s="91">
        <v>4502.0581050000001</v>
      </c>
      <c r="AG519" s="91">
        <v>735051</v>
      </c>
      <c r="AH519" s="91">
        <v>-3.2000000000000002E-3</v>
      </c>
      <c r="AI519" s="91"/>
      <c r="AJ519" s="91">
        <f>(F519*'Part 3 Portfolio Analysis'!$B$8+M519*'Part 3 Portfolio Analysis'!$C$8+T519*'Part 3 Portfolio Analysis'!$D$8+AA519*'Part 3 Portfolio Analysis'!$E$8+AH519*'Part 3 Portfolio Analysis'!$F$8)/100</f>
        <v>-3.2843511756081461E-3</v>
      </c>
      <c r="AK519" s="91">
        <f>'Part 3 Portfolio Analysis'!$B$107*F519+M519*'Part 3 Portfolio Analysis'!$C$107+T519*'Part 3 Portfolio Analysis'!$D$107+AA519*'Part 3 Portfolio Analysis'!$E$107+AH519*'Part 3 Portfolio Analysis'!$F$107</f>
        <v>-3.5896999999999995E-3</v>
      </c>
      <c r="AL519" s="91">
        <f>F519*'Part 3 Portfolio Analysis'!$B$121+M519*'Part 3 Portfolio Analysis'!$C$121+'Part 3 Portfolio Analysis'!$D$121*T519+AA519*'Part 3 Portfolio Analysis'!$E$121+'Part 3 Portfolio Analysis'!$F$121*AH519</f>
        <v>-2.6972799999999998E-3</v>
      </c>
      <c r="AM519" s="91"/>
      <c r="AN519" s="90">
        <v>45418</v>
      </c>
      <c r="AO519" s="91">
        <v>22561.599610000001</v>
      </c>
      <c r="AP519" s="91">
        <v>22442.699219999999</v>
      </c>
      <c r="AQ519" s="91">
        <v>22442.699219999999</v>
      </c>
      <c r="AR519" s="91">
        <v>320300</v>
      </c>
      <c r="AS519" s="91">
        <v>-1.5E-3</v>
      </c>
    </row>
    <row r="520" spans="1:45" x14ac:dyDescent="0.55000000000000004">
      <c r="A520" s="90">
        <v>45419</v>
      </c>
      <c r="B520" s="91">
        <v>7143.9501950000003</v>
      </c>
      <c r="C520" s="91">
        <v>7137.8500979999999</v>
      </c>
      <c r="D520" s="91">
        <v>6989.8686520000001</v>
      </c>
      <c r="E520" s="91">
        <v>84322</v>
      </c>
      <c r="F520" s="91">
        <v>7.1000000000000004E-3</v>
      </c>
      <c r="H520" s="90">
        <v>45419</v>
      </c>
      <c r="I520" s="91">
        <v>1415.974976</v>
      </c>
      <c r="J520" s="91">
        <v>1401.474976</v>
      </c>
      <c r="K520" s="91">
        <v>1391.1782229999999</v>
      </c>
      <c r="L520" s="91">
        <v>14517472</v>
      </c>
      <c r="M520" s="91">
        <v>-1.2699999999999999E-2</v>
      </c>
      <c r="O520" s="90">
        <v>45419</v>
      </c>
      <c r="P520" s="91">
        <v>760.97497559999999</v>
      </c>
      <c r="Q520" s="91">
        <v>753.07501219999995</v>
      </c>
      <c r="R520" s="91">
        <v>733.02172849999999</v>
      </c>
      <c r="S520" s="91">
        <v>28480602</v>
      </c>
      <c r="T520" s="91">
        <v>-1.0800000000000001E-2</v>
      </c>
      <c r="V520" s="90">
        <v>45419</v>
      </c>
      <c r="W520" s="91">
        <v>1424.9499510000001</v>
      </c>
      <c r="X520" s="91">
        <v>1440.9499510000001</v>
      </c>
      <c r="Y520" s="91">
        <v>1356.632568</v>
      </c>
      <c r="Z520" s="91">
        <v>6080661</v>
      </c>
      <c r="AA520" s="91">
        <v>1.06E-2</v>
      </c>
      <c r="AB520" s="91"/>
      <c r="AC520" s="90">
        <v>45419</v>
      </c>
      <c r="AD520" s="91">
        <v>4532</v>
      </c>
      <c r="AE520" s="91">
        <v>4503.9501950000003</v>
      </c>
      <c r="AF520" s="91">
        <v>4496.9663090000004</v>
      </c>
      <c r="AG520" s="91">
        <v>982212</v>
      </c>
      <c r="AH520" s="91">
        <v>-1.1000000000000001E-3</v>
      </c>
      <c r="AI520" s="91"/>
      <c r="AJ520" s="91">
        <f>(F520*'Part 3 Portfolio Analysis'!$B$8+M520*'Part 3 Portfolio Analysis'!$C$8+T520*'Part 3 Portfolio Analysis'!$D$8+AA520*'Part 3 Portfolio Analysis'!$E$8+AH520*'Part 3 Portfolio Analysis'!$F$8)/100</f>
        <v>-2.5799299677272641E-3</v>
      </c>
      <c r="AK520" s="91">
        <f>'Part 3 Portfolio Analysis'!$B$107*F520+M520*'Part 3 Portfolio Analysis'!$C$107+T520*'Part 3 Portfolio Analysis'!$D$107+AA520*'Part 3 Portfolio Analysis'!$E$107+AH520*'Part 3 Portfolio Analysis'!$F$107</f>
        <v>-3.5882999999999991E-3</v>
      </c>
      <c r="AL520" s="91">
        <f>F520*'Part 3 Portfolio Analysis'!$B$121+M520*'Part 3 Portfolio Analysis'!$C$121+'Part 3 Portfolio Analysis'!$D$121*T520+AA520*'Part 3 Portfolio Analysis'!$E$121+'Part 3 Portfolio Analysis'!$F$121*AH520</f>
        <v>-5.5917199999999988E-3</v>
      </c>
      <c r="AM520" s="91"/>
      <c r="AN520" s="90">
        <v>45419</v>
      </c>
      <c r="AO520" s="91">
        <v>22489.75</v>
      </c>
      <c r="AP520" s="91">
        <v>22302.5</v>
      </c>
      <c r="AQ520" s="91">
        <v>22302.5</v>
      </c>
      <c r="AR520" s="91">
        <v>297800</v>
      </c>
      <c r="AS520" s="91">
        <v>-6.1999999999999998E-3</v>
      </c>
    </row>
    <row r="521" spans="1:45" x14ac:dyDescent="0.55000000000000004">
      <c r="A521" s="90">
        <v>45420</v>
      </c>
      <c r="B521" s="91">
        <v>7140</v>
      </c>
      <c r="C521" s="91">
        <v>7115.6000979999999</v>
      </c>
      <c r="D521" s="91">
        <v>6968.080078</v>
      </c>
      <c r="E521" s="91">
        <v>65874</v>
      </c>
      <c r="F521" s="91">
        <v>-3.0999999999999999E-3</v>
      </c>
      <c r="H521" s="90">
        <v>45420</v>
      </c>
      <c r="I521" s="91">
        <v>1397.5</v>
      </c>
      <c r="J521" s="91">
        <v>1418.5500489999999</v>
      </c>
      <c r="K521" s="91">
        <v>1408.127808</v>
      </c>
      <c r="L521" s="91">
        <v>9439002</v>
      </c>
      <c r="M521" s="91">
        <v>1.2200000000000001E-2</v>
      </c>
      <c r="O521" s="90">
        <v>45420</v>
      </c>
      <c r="P521" s="91">
        <v>747.97497559999999</v>
      </c>
      <c r="Q521" s="91">
        <v>741.32501219999995</v>
      </c>
      <c r="R521" s="91">
        <v>721.58459470000003</v>
      </c>
      <c r="S521" s="91">
        <v>41687862</v>
      </c>
      <c r="T521" s="91">
        <v>-1.5599999999999999E-2</v>
      </c>
      <c r="V521" s="90">
        <v>45420</v>
      </c>
      <c r="W521" s="91">
        <v>1435.25</v>
      </c>
      <c r="X521" s="91">
        <v>1427.3000489999999</v>
      </c>
      <c r="Y521" s="91">
        <v>1343.7813719999999</v>
      </c>
      <c r="Z521" s="91">
        <v>6234983</v>
      </c>
      <c r="AA521" s="91">
        <v>-9.4999999999999998E-3</v>
      </c>
      <c r="AB521" s="91"/>
      <c r="AC521" s="90">
        <v>45420</v>
      </c>
      <c r="AD521" s="91">
        <v>4498.9501950000003</v>
      </c>
      <c r="AE521" s="91">
        <v>4498.6000979999999</v>
      </c>
      <c r="AF521" s="91">
        <v>4491.6245120000003</v>
      </c>
      <c r="AG521" s="91">
        <v>596788</v>
      </c>
      <c r="AH521" s="91">
        <v>-1.1999999999999999E-3</v>
      </c>
      <c r="AI521" s="91"/>
      <c r="AJ521" s="91">
        <f>(F521*'Part 3 Portfolio Analysis'!$B$8+M521*'Part 3 Portfolio Analysis'!$C$8+T521*'Part 3 Portfolio Analysis'!$D$8+AA521*'Part 3 Portfolio Analysis'!$E$8+AH521*'Part 3 Portfolio Analysis'!$F$8)/100</f>
        <v>-6.506177359099206E-4</v>
      </c>
      <c r="AK521" s="91">
        <f>'Part 3 Portfolio Analysis'!$B$107*F521+M521*'Part 3 Portfolio Analysis'!$C$107+T521*'Part 3 Portfolio Analysis'!$D$107+AA521*'Part 3 Portfolio Analysis'!$E$107+AH521*'Part 3 Portfolio Analysis'!$F$107</f>
        <v>-4.0979999999999977E-4</v>
      </c>
      <c r="AL521" s="91">
        <f>F521*'Part 3 Portfolio Analysis'!$B$121+M521*'Part 3 Portfolio Analysis'!$C$121+'Part 3 Portfolio Analysis'!$D$121*T521+AA521*'Part 3 Portfolio Analysis'!$E$121+'Part 3 Portfolio Analysis'!$F$121*AH521</f>
        <v>-1.3103400000000005E-3</v>
      </c>
      <c r="AM521" s="91"/>
      <c r="AN521" s="90">
        <v>45420</v>
      </c>
      <c r="AO521" s="91">
        <v>22231.199219999999</v>
      </c>
      <c r="AP521" s="91">
        <v>22302.5</v>
      </c>
      <c r="AQ521" s="91">
        <v>22302.5</v>
      </c>
      <c r="AR521" s="91">
        <v>277400</v>
      </c>
      <c r="AS521" s="91">
        <v>0</v>
      </c>
    </row>
    <row r="522" spans="1:45" x14ac:dyDescent="0.55000000000000004">
      <c r="A522" s="90">
        <v>45421</v>
      </c>
      <c r="B522" s="91">
        <v>7115.6000979999999</v>
      </c>
      <c r="C522" s="91">
        <v>7151.4501950000003</v>
      </c>
      <c r="D522" s="91">
        <v>7003.1865230000003</v>
      </c>
      <c r="E522" s="91">
        <v>82557</v>
      </c>
      <c r="F522" s="91">
        <v>5.0000000000000001E-3</v>
      </c>
      <c r="H522" s="90">
        <v>45421</v>
      </c>
      <c r="I522" s="91">
        <v>1413</v>
      </c>
      <c r="J522" s="91">
        <v>1394.125</v>
      </c>
      <c r="K522" s="91">
        <v>1383.882202</v>
      </c>
      <c r="L522" s="91">
        <v>11009612</v>
      </c>
      <c r="M522" s="91">
        <v>-1.72E-2</v>
      </c>
      <c r="O522" s="90">
        <v>45421</v>
      </c>
      <c r="P522" s="91">
        <v>737.47497559999999</v>
      </c>
      <c r="Q522" s="91">
        <v>723.75</v>
      </c>
      <c r="R522" s="91">
        <v>704.47760010000002</v>
      </c>
      <c r="S522" s="91">
        <v>46281278</v>
      </c>
      <c r="T522" s="91">
        <v>-2.3699999999999999E-2</v>
      </c>
      <c r="V522" s="90">
        <v>45421</v>
      </c>
      <c r="W522" s="91">
        <v>1427.5500489999999</v>
      </c>
      <c r="X522" s="91">
        <v>1439.5500489999999</v>
      </c>
      <c r="Y522" s="91">
        <v>1355.314453</v>
      </c>
      <c r="Z522" s="91">
        <v>6088406</v>
      </c>
      <c r="AA522" s="91">
        <v>8.6E-3</v>
      </c>
      <c r="AB522" s="91"/>
      <c r="AC522" s="90">
        <v>45421</v>
      </c>
      <c r="AD522" s="91">
        <v>4512.7998049999997</v>
      </c>
      <c r="AE522" s="91">
        <v>4407.9501950000003</v>
      </c>
      <c r="AF522" s="91">
        <v>4401.1147460000002</v>
      </c>
      <c r="AG522" s="91">
        <v>688477</v>
      </c>
      <c r="AH522" s="91">
        <v>-2.0199999999999999E-2</v>
      </c>
      <c r="AI522" s="91"/>
      <c r="AJ522" s="91">
        <f>(F522*'Part 3 Portfolio Analysis'!$B$8+M522*'Part 3 Portfolio Analysis'!$C$8+T522*'Part 3 Portfolio Analysis'!$D$8+AA522*'Part 3 Portfolio Analysis'!$E$8+AH522*'Part 3 Portfolio Analysis'!$F$8)/100</f>
        <v>-7.5015172399763427E-3</v>
      </c>
      <c r="AK522" s="91">
        <f>'Part 3 Portfolio Analysis'!$B$107*F522+M522*'Part 3 Portfolio Analysis'!$C$107+T522*'Part 3 Portfolio Analysis'!$D$107+AA522*'Part 3 Portfolio Analysis'!$E$107+AH522*'Part 3 Portfolio Analysis'!$F$107</f>
        <v>-1.2387500000000001E-2</v>
      </c>
      <c r="AL522" s="91">
        <f>F522*'Part 3 Portfolio Analysis'!$B$121+M522*'Part 3 Portfolio Analysis'!$C$121+'Part 3 Portfolio Analysis'!$D$121*T522+AA522*'Part 3 Portfolio Analysis'!$E$121+'Part 3 Portfolio Analysis'!$F$121*AH522</f>
        <v>-1.2061760000000001E-2</v>
      </c>
      <c r="AM522" s="91"/>
      <c r="AN522" s="90">
        <v>45421</v>
      </c>
      <c r="AO522" s="91">
        <v>22224.800780000001</v>
      </c>
      <c r="AP522" s="91">
        <v>21957.5</v>
      </c>
      <c r="AQ522" s="91">
        <v>21957.5</v>
      </c>
      <c r="AR522" s="91">
        <v>331300</v>
      </c>
      <c r="AS522" s="91">
        <v>-1.55E-2</v>
      </c>
    </row>
    <row r="523" spans="1:45" x14ac:dyDescent="0.55000000000000004">
      <c r="A523" s="90">
        <v>45422</v>
      </c>
      <c r="B523" s="91">
        <v>7151.2001950000003</v>
      </c>
      <c r="C523" s="91">
        <v>7127.3999020000001</v>
      </c>
      <c r="D523" s="91">
        <v>6979.6347660000001</v>
      </c>
      <c r="E523" s="91">
        <v>70788</v>
      </c>
      <c r="F523" s="91">
        <v>-3.3999999999999998E-3</v>
      </c>
      <c r="H523" s="90">
        <v>45422</v>
      </c>
      <c r="I523" s="91">
        <v>1396.75</v>
      </c>
      <c r="J523" s="91">
        <v>1407.4250489999999</v>
      </c>
      <c r="K523" s="91">
        <v>1397.084595</v>
      </c>
      <c r="L523" s="91">
        <v>10505096</v>
      </c>
      <c r="M523" s="91">
        <v>9.4999999999999998E-3</v>
      </c>
      <c r="O523" s="90">
        <v>45422</v>
      </c>
      <c r="P523" s="91">
        <v>719.5</v>
      </c>
      <c r="Q523" s="91">
        <v>718.95001219999995</v>
      </c>
      <c r="R523" s="91">
        <v>709.36157230000003</v>
      </c>
      <c r="S523" s="91">
        <v>27276608</v>
      </c>
      <c r="T523" s="91">
        <v>6.8999999999999999E-3</v>
      </c>
      <c r="V523" s="90">
        <v>45422</v>
      </c>
      <c r="W523" s="91">
        <v>1435.0500489999999</v>
      </c>
      <c r="X523" s="91">
        <v>1424.900024</v>
      </c>
      <c r="Y523" s="91">
        <v>1341.5217290000001</v>
      </c>
      <c r="Z523" s="91">
        <v>8777481</v>
      </c>
      <c r="AA523" s="91">
        <v>-1.0200000000000001E-2</v>
      </c>
      <c r="AB523" s="91"/>
      <c r="AC523" s="90">
        <v>45422</v>
      </c>
      <c r="AD523" s="91">
        <v>4433</v>
      </c>
      <c r="AE523" s="91">
        <v>4471.3999020000001</v>
      </c>
      <c r="AF523" s="91">
        <v>4464.4663090000004</v>
      </c>
      <c r="AG523" s="91">
        <v>549717</v>
      </c>
      <c r="AH523" s="91">
        <v>1.44E-2</v>
      </c>
      <c r="AI523" s="91"/>
      <c r="AJ523" s="91">
        <f>(F523*'Part 3 Portfolio Analysis'!$B$8+M523*'Part 3 Portfolio Analysis'!$C$8+T523*'Part 3 Portfolio Analysis'!$D$8+AA523*'Part 3 Portfolio Analysis'!$E$8+AH523*'Part 3 Portfolio Analysis'!$F$8)/100</f>
        <v>2.0737862763133227E-3</v>
      </c>
      <c r="AK523" s="91">
        <f>'Part 3 Portfolio Analysis'!$B$107*F523+M523*'Part 3 Portfolio Analysis'!$C$107+T523*'Part 3 Portfolio Analysis'!$D$107+AA523*'Part 3 Portfolio Analysis'!$E$107+AH523*'Part 3 Portfolio Analysis'!$F$107</f>
        <v>6.0397999999999997E-3</v>
      </c>
      <c r="AL523" s="91">
        <f>F523*'Part 3 Portfolio Analysis'!$B$121+M523*'Part 3 Portfolio Analysis'!$C$121+'Part 3 Portfolio Analysis'!$D$121*T523+AA523*'Part 3 Portfolio Analysis'!$E$121+'Part 3 Portfolio Analysis'!$F$121*AH523</f>
        <v>3.9207999999999995E-3</v>
      </c>
      <c r="AM523" s="91"/>
      <c r="AN523" s="90">
        <v>45422</v>
      </c>
      <c r="AO523" s="91">
        <v>21990.949219999999</v>
      </c>
      <c r="AP523" s="91">
        <v>22055.199219999999</v>
      </c>
      <c r="AQ523" s="91">
        <v>22055.199219999999</v>
      </c>
      <c r="AR523" s="91">
        <v>265800</v>
      </c>
      <c r="AS523" s="91">
        <v>4.4000000000000003E-3</v>
      </c>
    </row>
    <row r="524" spans="1:45" x14ac:dyDescent="0.55000000000000004">
      <c r="A524" s="90">
        <v>45425</v>
      </c>
      <c r="B524" s="91">
        <v>7120</v>
      </c>
      <c r="C524" s="91">
        <v>7069</v>
      </c>
      <c r="D524" s="91">
        <v>6922.4458009999998</v>
      </c>
      <c r="E524" s="91">
        <v>84651</v>
      </c>
      <c r="F524" s="91">
        <v>-8.2000000000000007E-3</v>
      </c>
      <c r="H524" s="90">
        <v>45425</v>
      </c>
      <c r="I524" s="91">
        <v>1399.900024</v>
      </c>
      <c r="J524" s="91">
        <v>1402.6999510000001</v>
      </c>
      <c r="K524" s="91">
        <v>1392.3942870000001</v>
      </c>
      <c r="L524" s="91">
        <v>8456620</v>
      </c>
      <c r="M524" s="91">
        <v>-3.3999999999999998E-3</v>
      </c>
      <c r="O524" s="90">
        <v>45425</v>
      </c>
      <c r="P524" s="91">
        <v>716</v>
      </c>
      <c r="Q524" s="91">
        <v>727.625</v>
      </c>
      <c r="R524" s="91">
        <v>717.92089840000006</v>
      </c>
      <c r="S524" s="91">
        <v>27047202</v>
      </c>
      <c r="T524" s="91">
        <v>1.21E-2</v>
      </c>
      <c r="V524" s="90">
        <v>45425</v>
      </c>
      <c r="W524" s="91">
        <v>1425</v>
      </c>
      <c r="X524" s="91">
        <v>1423.4499510000001</v>
      </c>
      <c r="Y524" s="91">
        <v>1340.156616</v>
      </c>
      <c r="Z524" s="91">
        <v>3735954</v>
      </c>
      <c r="AA524" s="91">
        <v>-1E-3</v>
      </c>
      <c r="AB524" s="91"/>
      <c r="AC524" s="90">
        <v>45425</v>
      </c>
      <c r="AD524" s="91">
        <v>4475.7001950000003</v>
      </c>
      <c r="AE524" s="91">
        <v>4465.7001950000003</v>
      </c>
      <c r="AF524" s="91">
        <v>4458.7753910000001</v>
      </c>
      <c r="AG524" s="91">
        <v>637292</v>
      </c>
      <c r="AH524" s="91">
        <v>-1.2999999999999999E-3</v>
      </c>
      <c r="AI524" s="91"/>
      <c r="AJ524" s="91">
        <f>(F524*'Part 3 Portfolio Analysis'!$B$8+M524*'Part 3 Portfolio Analysis'!$C$8+T524*'Part 3 Portfolio Analysis'!$D$8+AA524*'Part 3 Portfolio Analysis'!$E$8+AH524*'Part 3 Portfolio Analysis'!$F$8)/100</f>
        <v>-1.8476380222523497E-3</v>
      </c>
      <c r="AK524" s="91">
        <f>'Part 3 Portfolio Analysis'!$B$107*F524+M524*'Part 3 Portfolio Analysis'!$C$107+T524*'Part 3 Portfolio Analysis'!$D$107+AA524*'Part 3 Portfolio Analysis'!$E$107+AH524*'Part 3 Portfolio Analysis'!$F$107</f>
        <v>-1.0923000000000003E-3</v>
      </c>
      <c r="AL524" s="91">
        <f>F524*'Part 3 Portfolio Analysis'!$B$121+M524*'Part 3 Portfolio Analysis'!$C$121+'Part 3 Portfolio Analysis'!$D$121*T524+AA524*'Part 3 Portfolio Analysis'!$E$121+'Part 3 Portfolio Analysis'!$F$121*AH524</f>
        <v>9.5646000000000034E-4</v>
      </c>
      <c r="AM524" s="91"/>
      <c r="AN524" s="90">
        <v>45425</v>
      </c>
      <c r="AO524" s="91">
        <v>22027.949219999999</v>
      </c>
      <c r="AP524" s="91">
        <v>22104.050780000001</v>
      </c>
      <c r="AQ524" s="91">
        <v>22104.050780000001</v>
      </c>
      <c r="AR524" s="91">
        <v>278200</v>
      </c>
      <c r="AS524" s="91">
        <v>2.2000000000000001E-3</v>
      </c>
    </row>
    <row r="525" spans="1:45" x14ac:dyDescent="0.55000000000000004">
      <c r="A525" s="90">
        <v>45426</v>
      </c>
      <c r="B525" s="91">
        <v>7070</v>
      </c>
      <c r="C525" s="91">
        <v>7088.1499020000001</v>
      </c>
      <c r="D525" s="91">
        <v>6941.1987300000001</v>
      </c>
      <c r="E525" s="91">
        <v>50731</v>
      </c>
      <c r="F525" s="91">
        <v>2.7000000000000001E-3</v>
      </c>
      <c r="H525" s="90">
        <v>45426</v>
      </c>
      <c r="I525" s="91">
        <v>1400.974976</v>
      </c>
      <c r="J525" s="91">
        <v>1420.0749510000001</v>
      </c>
      <c r="K525" s="91">
        <v>1409.6416019999999</v>
      </c>
      <c r="L525" s="91">
        <v>7188300</v>
      </c>
      <c r="M525" s="91">
        <v>1.24E-2</v>
      </c>
      <c r="O525" s="90">
        <v>45426</v>
      </c>
      <c r="P525" s="91">
        <v>726.125</v>
      </c>
      <c r="Q525" s="91">
        <v>730.47497559999999</v>
      </c>
      <c r="R525" s="91">
        <v>720.73284909999995</v>
      </c>
      <c r="S525" s="91">
        <v>25665142</v>
      </c>
      <c r="T525" s="91">
        <v>3.8999999999999998E-3</v>
      </c>
      <c r="V525" s="90">
        <v>45426</v>
      </c>
      <c r="W525" s="91">
        <v>1426.400024</v>
      </c>
      <c r="X525" s="91">
        <v>1424.6999510000001</v>
      </c>
      <c r="Y525" s="91">
        <v>1341.333374</v>
      </c>
      <c r="Z525" s="91">
        <v>3463230</v>
      </c>
      <c r="AA525" s="91">
        <v>8.9999999999999998E-4</v>
      </c>
      <c r="AB525" s="91"/>
      <c r="AC525" s="90">
        <v>45426</v>
      </c>
      <c r="AD525" s="91">
        <v>4471</v>
      </c>
      <c r="AE525" s="91">
        <v>4540.3500979999999</v>
      </c>
      <c r="AF525" s="91">
        <v>4533.3100590000004</v>
      </c>
      <c r="AG525" s="91">
        <v>559577</v>
      </c>
      <c r="AH525" s="91">
        <v>1.67E-2</v>
      </c>
      <c r="AI525" s="91"/>
      <c r="AJ525" s="91">
        <f>(F525*'Part 3 Portfolio Analysis'!$B$8+M525*'Part 3 Portfolio Analysis'!$C$8+T525*'Part 3 Portfolio Analysis'!$D$8+AA525*'Part 3 Portfolio Analysis'!$E$8+AH525*'Part 3 Portfolio Analysis'!$F$8)/100</f>
        <v>6.2633824588017662E-3</v>
      </c>
      <c r="AK525" s="91">
        <f>'Part 3 Portfolio Analysis'!$B$107*F525+M525*'Part 3 Portfolio Analysis'!$C$107+T525*'Part 3 Portfolio Analysis'!$D$107+AA525*'Part 3 Portfolio Analysis'!$E$107+AH525*'Part 3 Portfolio Analysis'!$F$107</f>
        <v>9.2700999999999999E-3</v>
      </c>
      <c r="AL525" s="91">
        <f>F525*'Part 3 Portfolio Analysis'!$B$121+M525*'Part 3 Portfolio Analysis'!$C$121+'Part 3 Portfolio Analysis'!$D$121*T525+AA525*'Part 3 Portfolio Analysis'!$E$121+'Part 3 Portfolio Analysis'!$F$121*AH525</f>
        <v>7.1033199999999989E-3</v>
      </c>
      <c r="AM525" s="91"/>
      <c r="AN525" s="90">
        <v>45426</v>
      </c>
      <c r="AO525" s="91">
        <v>22112.900389999999</v>
      </c>
      <c r="AP525" s="91">
        <v>22217.849610000001</v>
      </c>
      <c r="AQ525" s="91">
        <v>22217.849610000001</v>
      </c>
      <c r="AR525" s="91">
        <v>230200</v>
      </c>
      <c r="AS525" s="91">
        <v>5.1000000000000004E-3</v>
      </c>
    </row>
    <row r="526" spans="1:45" x14ac:dyDescent="0.55000000000000004">
      <c r="A526" s="90">
        <v>45427</v>
      </c>
      <c r="B526" s="91">
        <v>7097</v>
      </c>
      <c r="C526" s="91">
        <v>7222.25</v>
      </c>
      <c r="D526" s="91">
        <v>7072.5185549999997</v>
      </c>
      <c r="E526" s="91">
        <v>126317</v>
      </c>
      <c r="F526" s="91">
        <v>1.89E-2</v>
      </c>
      <c r="H526" s="90">
        <v>45427</v>
      </c>
      <c r="I526" s="91">
        <v>1420.5</v>
      </c>
      <c r="J526" s="91">
        <v>1416.275024</v>
      </c>
      <c r="K526" s="91">
        <v>1405.869629</v>
      </c>
      <c r="L526" s="91">
        <v>5046534</v>
      </c>
      <c r="M526" s="91">
        <v>-2.7000000000000001E-3</v>
      </c>
      <c r="O526" s="90">
        <v>45427</v>
      </c>
      <c r="P526" s="91">
        <v>729.84997559999999</v>
      </c>
      <c r="Q526" s="91">
        <v>719.25</v>
      </c>
      <c r="R526" s="91">
        <v>709.65759279999997</v>
      </c>
      <c r="S526" s="91">
        <v>38931996</v>
      </c>
      <c r="T526" s="91">
        <v>-1.54E-2</v>
      </c>
      <c r="V526" s="90">
        <v>45427</v>
      </c>
      <c r="W526" s="91">
        <v>1426</v>
      </c>
      <c r="X526" s="91">
        <v>1419.9499510000001</v>
      </c>
      <c r="Y526" s="91">
        <v>1336.861328</v>
      </c>
      <c r="Z526" s="91">
        <v>4327544</v>
      </c>
      <c r="AA526" s="91">
        <v>-3.3E-3</v>
      </c>
      <c r="AB526" s="91"/>
      <c r="AC526" s="90">
        <v>45427</v>
      </c>
      <c r="AD526" s="91">
        <v>4550</v>
      </c>
      <c r="AE526" s="91">
        <v>4527</v>
      </c>
      <c r="AF526" s="91">
        <v>4519.9799800000001</v>
      </c>
      <c r="AG526" s="91">
        <v>413777</v>
      </c>
      <c r="AH526" s="91">
        <v>-2.8999999999999998E-3</v>
      </c>
      <c r="AI526" s="91"/>
      <c r="AJ526" s="91">
        <f>(F526*'Part 3 Portfolio Analysis'!$B$8+M526*'Part 3 Portfolio Analysis'!$C$8+T526*'Part 3 Portfolio Analysis'!$D$8+AA526*'Part 3 Portfolio Analysis'!$E$8+AH526*'Part 3 Portfolio Analysis'!$F$8)/100</f>
        <v>1.5629638432018728E-3</v>
      </c>
      <c r="AK526" s="91">
        <f>'Part 3 Portfolio Analysis'!$B$107*F526+M526*'Part 3 Portfolio Analysis'!$C$107+T526*'Part 3 Portfolio Analysis'!$D$107+AA526*'Part 3 Portfolio Analysis'!$E$107+AH526*'Part 3 Portfolio Analysis'!$F$107</f>
        <v>-8.9090000000000024E-4</v>
      </c>
      <c r="AL526" s="91">
        <f>F526*'Part 3 Portfolio Analysis'!$B$121+M526*'Part 3 Portfolio Analysis'!$C$121+'Part 3 Portfolio Analysis'!$D$121*T526+AA526*'Part 3 Portfolio Analysis'!$E$121+'Part 3 Portfolio Analysis'!$F$121*AH526</f>
        <v>-4.5041200000000003E-3</v>
      </c>
      <c r="AM526" s="91"/>
      <c r="AN526" s="90">
        <v>45427</v>
      </c>
      <c r="AO526" s="91">
        <v>22255.599610000001</v>
      </c>
      <c r="AP526" s="91">
        <v>22200.550780000001</v>
      </c>
      <c r="AQ526" s="91">
        <v>22200.550780000001</v>
      </c>
      <c r="AR526" s="91">
        <v>231900</v>
      </c>
      <c r="AS526" s="91">
        <v>-8.0000000000000004E-4</v>
      </c>
    </row>
    <row r="527" spans="1:45" x14ac:dyDescent="0.55000000000000004">
      <c r="A527" s="90">
        <v>45428</v>
      </c>
      <c r="B527" s="91">
        <v>7251</v>
      </c>
      <c r="C527" s="91">
        <v>7299.6000979999999</v>
      </c>
      <c r="D527" s="91">
        <v>7148.2651370000003</v>
      </c>
      <c r="E527" s="91">
        <v>146481</v>
      </c>
      <c r="F527" s="91">
        <v>1.0699999999999999E-2</v>
      </c>
      <c r="H527" s="90">
        <v>45428</v>
      </c>
      <c r="I527" s="91">
        <v>1418.5500489999999</v>
      </c>
      <c r="J527" s="91">
        <v>1425.349976</v>
      </c>
      <c r="K527" s="91">
        <v>1414.877808</v>
      </c>
      <c r="L527" s="91">
        <v>14711774</v>
      </c>
      <c r="M527" s="91">
        <v>6.4000000000000003E-3</v>
      </c>
      <c r="O527" s="90">
        <v>45428</v>
      </c>
      <c r="P527" s="91">
        <v>723.02502440000001</v>
      </c>
      <c r="Q527" s="91">
        <v>730.125</v>
      </c>
      <c r="R527" s="91">
        <v>720.38751219999995</v>
      </c>
      <c r="S527" s="91">
        <v>34945236</v>
      </c>
      <c r="T527" s="91">
        <v>1.5100000000000001E-2</v>
      </c>
      <c r="V527" s="90">
        <v>45428</v>
      </c>
      <c r="W527" s="91">
        <v>1433.9499510000001</v>
      </c>
      <c r="X527" s="91">
        <v>1453.349976</v>
      </c>
      <c r="Y527" s="91">
        <v>1368.3070070000001</v>
      </c>
      <c r="Z527" s="91">
        <v>9249145</v>
      </c>
      <c r="AA527" s="91">
        <v>2.35E-2</v>
      </c>
      <c r="AB527" s="91"/>
      <c r="AC527" s="90">
        <v>45428</v>
      </c>
      <c r="AD527" s="91">
        <v>4530.1000979999999</v>
      </c>
      <c r="AE527" s="91">
        <v>4596.6499020000001</v>
      </c>
      <c r="AF527" s="91">
        <v>4589.5224609999996</v>
      </c>
      <c r="AG527" s="91">
        <v>500593</v>
      </c>
      <c r="AH527" s="91">
        <v>1.54E-2</v>
      </c>
      <c r="AI527" s="91"/>
      <c r="AJ527" s="91">
        <f>(F527*'Part 3 Portfolio Analysis'!$B$8+M527*'Part 3 Portfolio Analysis'!$C$8+T527*'Part 3 Portfolio Analysis'!$D$8+AA527*'Part 3 Portfolio Analysis'!$E$8+AH527*'Part 3 Portfolio Analysis'!$F$8)/100</f>
        <v>1.1981196910187055E-2</v>
      </c>
      <c r="AK527" s="91">
        <f>'Part 3 Portfolio Analysis'!$B$107*F527+M527*'Part 3 Portfolio Analysis'!$C$107+T527*'Part 3 Portfolio Analysis'!$D$107+AA527*'Part 3 Portfolio Analysis'!$E$107+AH527*'Part 3 Portfolio Analysis'!$F$107</f>
        <v>1.2500499999999999E-2</v>
      </c>
      <c r="AL527" s="91">
        <f>F527*'Part 3 Portfolio Analysis'!$B$121+M527*'Part 3 Portfolio Analysis'!$C$121+'Part 3 Portfolio Analysis'!$D$121*T527+AA527*'Part 3 Portfolio Analysis'!$E$121+'Part 3 Portfolio Analysis'!$F$121*AH527</f>
        <v>1.2775659999999999E-2</v>
      </c>
      <c r="AM527" s="91"/>
      <c r="AN527" s="90">
        <v>45428</v>
      </c>
      <c r="AO527" s="91">
        <v>22319.199219999999</v>
      </c>
      <c r="AP527" s="91">
        <v>22403.849610000001</v>
      </c>
      <c r="AQ527" s="91">
        <v>22403.849610000001</v>
      </c>
      <c r="AR527" s="91">
        <v>368900</v>
      </c>
      <c r="AS527" s="91">
        <v>9.1999999999999998E-3</v>
      </c>
    </row>
    <row r="528" spans="1:45" x14ac:dyDescent="0.55000000000000004">
      <c r="A528" s="90">
        <v>45429</v>
      </c>
      <c r="B528" s="91">
        <v>7300</v>
      </c>
      <c r="C528" s="91">
        <v>7359</v>
      </c>
      <c r="D528" s="91">
        <v>7206.4335940000001</v>
      </c>
      <c r="E528" s="91">
        <v>82866</v>
      </c>
      <c r="F528" s="91">
        <v>8.0999999999999996E-3</v>
      </c>
      <c r="H528" s="90">
        <v>45429</v>
      </c>
      <c r="I528" s="91">
        <v>1423.0500489999999</v>
      </c>
      <c r="J528" s="91">
        <v>1435.6999510000001</v>
      </c>
      <c r="K528" s="91">
        <v>1425.1518550000001</v>
      </c>
      <c r="L528" s="91">
        <v>10916476</v>
      </c>
      <c r="M528" s="91">
        <v>7.3000000000000001E-3</v>
      </c>
      <c r="O528" s="90">
        <v>45429</v>
      </c>
      <c r="P528" s="91">
        <v>723.09997559999999</v>
      </c>
      <c r="Q528" s="91">
        <v>732.04998780000005</v>
      </c>
      <c r="R528" s="91">
        <v>722.28686519999997</v>
      </c>
      <c r="S528" s="91">
        <v>20920190</v>
      </c>
      <c r="T528" s="91">
        <v>2.5999999999999999E-3</v>
      </c>
      <c r="V528" s="90">
        <v>45429</v>
      </c>
      <c r="W528" s="91">
        <v>1457</v>
      </c>
      <c r="X528" s="91">
        <v>1444.3000489999999</v>
      </c>
      <c r="Y528" s="91">
        <v>1359.786499</v>
      </c>
      <c r="Z528" s="91">
        <v>7542860</v>
      </c>
      <c r="AA528" s="91">
        <v>-6.1999999999999998E-3</v>
      </c>
      <c r="AB528" s="91"/>
      <c r="AC528" s="90">
        <v>45429</v>
      </c>
      <c r="AD528" s="91">
        <v>4600</v>
      </c>
      <c r="AE528" s="91">
        <v>4634.5498049999997</v>
      </c>
      <c r="AF528" s="91">
        <v>4627.3632809999999</v>
      </c>
      <c r="AG528" s="91">
        <v>752254</v>
      </c>
      <c r="AH528" s="91">
        <v>8.2000000000000007E-3</v>
      </c>
      <c r="AI528" s="91"/>
      <c r="AJ528" s="91">
        <f>(F528*'Part 3 Portfolio Analysis'!$B$8+M528*'Part 3 Portfolio Analysis'!$C$8+T528*'Part 3 Portfolio Analysis'!$D$8+AA528*'Part 3 Portfolio Analysis'!$E$8+AH528*'Part 3 Portfolio Analysis'!$F$8)/100</f>
        <v>4.5921733515257987E-3</v>
      </c>
      <c r="AK528" s="91">
        <f>'Part 3 Portfolio Analysis'!$B$107*F528+M528*'Part 3 Portfolio Analysis'!$C$107+T528*'Part 3 Portfolio Analysis'!$D$107+AA528*'Part 3 Portfolio Analysis'!$E$107+AH528*'Part 3 Portfolio Analysis'!$F$107</f>
        <v>5.5922999999999997E-3</v>
      </c>
      <c r="AL528" s="91">
        <f>F528*'Part 3 Portfolio Analysis'!$B$121+M528*'Part 3 Portfolio Analysis'!$C$121+'Part 3 Portfolio Analysis'!$D$121*T528+AA528*'Part 3 Portfolio Analysis'!$E$121+'Part 3 Portfolio Analysis'!$F$121*AH528</f>
        <v>3.4109399999999995E-3</v>
      </c>
      <c r="AM528" s="91"/>
      <c r="AN528" s="90">
        <v>45429</v>
      </c>
      <c r="AO528" s="91">
        <v>22415.25</v>
      </c>
      <c r="AP528" s="91">
        <v>22466.099610000001</v>
      </c>
      <c r="AQ528" s="91">
        <v>22466.099610000001</v>
      </c>
      <c r="AR528" s="91">
        <v>242700</v>
      </c>
      <c r="AS528" s="91">
        <v>2.8E-3</v>
      </c>
    </row>
    <row r="529" spans="1:45" x14ac:dyDescent="0.55000000000000004">
      <c r="A529" s="90">
        <v>45433</v>
      </c>
      <c r="B529" s="91">
        <v>7350</v>
      </c>
      <c r="C529" s="91">
        <v>7238.8999020000001</v>
      </c>
      <c r="D529" s="91">
        <v>7088.8237300000001</v>
      </c>
      <c r="E529" s="91">
        <v>62475</v>
      </c>
      <c r="F529" s="91">
        <v>-1.6299999999999999E-2</v>
      </c>
      <c r="H529" s="90">
        <v>45433</v>
      </c>
      <c r="I529" s="91">
        <v>1425.599976</v>
      </c>
      <c r="J529" s="91">
        <v>1436.125</v>
      </c>
      <c r="K529" s="91">
        <v>1425.5737300000001</v>
      </c>
      <c r="L529" s="91">
        <v>11176128</v>
      </c>
      <c r="M529" s="91">
        <v>2.9999999999999997E-4</v>
      </c>
      <c r="O529" s="90">
        <v>45433</v>
      </c>
      <c r="P529" s="91">
        <v>725.04998780000005</v>
      </c>
      <c r="Q529" s="91">
        <v>729.40002440000001</v>
      </c>
      <c r="R529" s="91">
        <v>719.67218019999996</v>
      </c>
      <c r="S529" s="91">
        <v>43769978</v>
      </c>
      <c r="T529" s="91">
        <v>-3.5999999999999999E-3</v>
      </c>
      <c r="V529" s="90">
        <v>45433</v>
      </c>
      <c r="W529" s="91">
        <v>1430</v>
      </c>
      <c r="X529" s="91">
        <v>1434.150024</v>
      </c>
      <c r="Y529" s="91">
        <v>1350.230591</v>
      </c>
      <c r="Z529" s="91">
        <v>6752663</v>
      </c>
      <c r="AA529" s="91">
        <v>-7.0000000000000001E-3</v>
      </c>
      <c r="AB529" s="91"/>
      <c r="AC529" s="90">
        <v>45433</v>
      </c>
      <c r="AD529" s="91">
        <v>4690</v>
      </c>
      <c r="AE529" s="91">
        <v>4667.2998049999997</v>
      </c>
      <c r="AF529" s="91">
        <v>4660.0625</v>
      </c>
      <c r="AG529" s="91">
        <v>668195</v>
      </c>
      <c r="AH529" s="91">
        <v>7.1000000000000004E-3</v>
      </c>
      <c r="AI529" s="91"/>
      <c r="AJ529" s="91">
        <f>(F529*'Part 3 Portfolio Analysis'!$B$8+M529*'Part 3 Portfolio Analysis'!$C$8+T529*'Part 3 Portfolio Analysis'!$D$8+AA529*'Part 3 Portfolio Analysis'!$E$8+AH529*'Part 3 Portfolio Analysis'!$F$8)/100</f>
        <v>-6.4389241336419668E-3</v>
      </c>
      <c r="AK529" s="91">
        <f>'Part 3 Portfolio Analysis'!$B$107*F529+M529*'Part 3 Portfolio Analysis'!$C$107+T529*'Part 3 Portfolio Analysis'!$D$107+AA529*'Part 3 Portfolio Analysis'!$E$107+AH529*'Part 3 Portfolio Analysis'!$F$107</f>
        <v>-2.3088999999999991E-3</v>
      </c>
      <c r="AL529" s="91">
        <f>F529*'Part 3 Portfolio Analysis'!$B$121+M529*'Part 3 Portfolio Analysis'!$C$121+'Part 3 Portfolio Analysis'!$D$121*T529+AA529*'Part 3 Portfolio Analysis'!$E$121+'Part 3 Portfolio Analysis'!$F$121*AH529</f>
        <v>-3.4071600000000002E-3</v>
      </c>
      <c r="AM529" s="91"/>
      <c r="AN529" s="90">
        <v>45433</v>
      </c>
      <c r="AO529" s="91">
        <v>22404.550780000001</v>
      </c>
      <c r="AP529" s="91">
        <v>22529.050780000001</v>
      </c>
      <c r="AQ529" s="91">
        <v>22529.050780000001</v>
      </c>
      <c r="AR529" s="91">
        <v>347600</v>
      </c>
      <c r="AS529" s="91">
        <v>2.8E-3</v>
      </c>
    </row>
    <row r="530" spans="1:45" x14ac:dyDescent="0.55000000000000004">
      <c r="A530" s="90">
        <v>45434</v>
      </c>
      <c r="B530" s="91">
        <v>7232.0498049999997</v>
      </c>
      <c r="C530" s="91">
        <v>7211.6000979999999</v>
      </c>
      <c r="D530" s="91">
        <v>7062.0893550000001</v>
      </c>
      <c r="E530" s="91">
        <v>112856</v>
      </c>
      <c r="F530" s="91">
        <v>-3.8E-3</v>
      </c>
      <c r="H530" s="90">
        <v>45434</v>
      </c>
      <c r="I530" s="91">
        <v>1436.275024</v>
      </c>
      <c r="J530" s="91">
        <v>1460.650024</v>
      </c>
      <c r="K530" s="91">
        <v>1449.918457</v>
      </c>
      <c r="L530" s="91">
        <v>10281604</v>
      </c>
      <c r="M530" s="91">
        <v>1.7100000000000001E-2</v>
      </c>
      <c r="O530" s="90">
        <v>45434</v>
      </c>
      <c r="P530" s="91">
        <v>728.92498780000005</v>
      </c>
      <c r="Q530" s="91">
        <v>729.59997559999999</v>
      </c>
      <c r="R530" s="91">
        <v>719.86950679999995</v>
      </c>
      <c r="S530" s="91">
        <v>39996278</v>
      </c>
      <c r="T530" s="91">
        <v>2.9999999999999997E-4</v>
      </c>
      <c r="V530" s="90">
        <v>45434</v>
      </c>
      <c r="W530" s="91">
        <v>1428.75</v>
      </c>
      <c r="X530" s="91">
        <v>1454.8000489999999</v>
      </c>
      <c r="Y530" s="91">
        <v>1369.672241</v>
      </c>
      <c r="Z530" s="91">
        <v>7173285</v>
      </c>
      <c r="AA530" s="91">
        <v>1.44E-2</v>
      </c>
      <c r="AB530" s="91"/>
      <c r="AC530" s="90">
        <v>45434</v>
      </c>
      <c r="AD530" s="91">
        <v>4680.2998049999997</v>
      </c>
      <c r="AE530" s="91">
        <v>4646.9501950000003</v>
      </c>
      <c r="AF530" s="91">
        <v>4642.9277339999999</v>
      </c>
      <c r="AG530" s="91">
        <v>742788</v>
      </c>
      <c r="AH530" s="91">
        <v>-3.7000000000000002E-3</v>
      </c>
      <c r="AI530" s="91"/>
      <c r="AJ530" s="91">
        <f>(F530*'Part 3 Portfolio Analysis'!$B$8+M530*'Part 3 Portfolio Analysis'!$C$8+T530*'Part 3 Portfolio Analysis'!$D$8+AA530*'Part 3 Portfolio Analysis'!$E$8+AH530*'Part 3 Portfolio Analysis'!$F$8)/100</f>
        <v>7.3897351804788451E-3</v>
      </c>
      <c r="AK530" s="91">
        <f>'Part 3 Portfolio Analysis'!$B$107*F530+M530*'Part 3 Portfolio Analysis'!$C$107+T530*'Part 3 Portfolio Analysis'!$D$107+AA530*'Part 3 Portfolio Analysis'!$E$107+AH530*'Part 3 Portfolio Analysis'!$F$107</f>
        <v>5.2224000000000003E-3</v>
      </c>
      <c r="AL530" s="91">
        <f>F530*'Part 3 Portfolio Analysis'!$B$121+M530*'Part 3 Portfolio Analysis'!$C$121+'Part 3 Portfolio Analysis'!$D$121*T530+AA530*'Part 3 Portfolio Analysis'!$E$121+'Part 3 Portfolio Analysis'!$F$121*AH530</f>
        <v>9.7274600000000003E-3</v>
      </c>
      <c r="AM530" s="91"/>
      <c r="AN530" s="90">
        <v>45434</v>
      </c>
      <c r="AO530" s="91">
        <v>22576.599610000001</v>
      </c>
      <c r="AP530" s="91">
        <v>22597.800780000001</v>
      </c>
      <c r="AQ530" s="91">
        <v>22597.800780000001</v>
      </c>
      <c r="AR530" s="91">
        <v>290300</v>
      </c>
      <c r="AS530" s="91">
        <v>3.0999999999999999E-3</v>
      </c>
    </row>
    <row r="531" spans="1:45" x14ac:dyDescent="0.55000000000000004">
      <c r="A531" s="90">
        <v>45435</v>
      </c>
      <c r="B531" s="91">
        <v>7268.9501950000003</v>
      </c>
      <c r="C531" s="91">
        <v>7416.6000979999999</v>
      </c>
      <c r="D531" s="91">
        <v>7262.8393550000001</v>
      </c>
      <c r="E531" s="91">
        <v>280742</v>
      </c>
      <c r="F531" s="91">
        <v>2.8400000000000002E-2</v>
      </c>
      <c r="H531" s="90">
        <v>45435</v>
      </c>
      <c r="I531" s="91">
        <v>1458.5500489999999</v>
      </c>
      <c r="J531" s="91">
        <v>1486.0500489999999</v>
      </c>
      <c r="K531" s="91">
        <v>1475.1319579999999</v>
      </c>
      <c r="L531" s="91">
        <v>14608260</v>
      </c>
      <c r="M531" s="91">
        <v>1.7399999999999999E-2</v>
      </c>
      <c r="O531" s="90">
        <v>45435</v>
      </c>
      <c r="P531" s="91">
        <v>729.32501219999995</v>
      </c>
      <c r="Q531" s="91">
        <v>746.29998780000005</v>
      </c>
      <c r="R531" s="91">
        <v>736.34680179999998</v>
      </c>
      <c r="S531" s="91">
        <v>40861920</v>
      </c>
      <c r="T531" s="91">
        <v>2.29E-2</v>
      </c>
      <c r="V531" s="90">
        <v>45435</v>
      </c>
      <c r="W531" s="91">
        <v>1454.6999510000001</v>
      </c>
      <c r="X531" s="91">
        <v>1472.400024</v>
      </c>
      <c r="Y531" s="91">
        <v>1386.2421879999999</v>
      </c>
      <c r="Z531" s="91">
        <v>8641428</v>
      </c>
      <c r="AA531" s="91">
        <v>1.21E-2</v>
      </c>
      <c r="AB531" s="91"/>
      <c r="AC531" s="90">
        <v>45435</v>
      </c>
      <c r="AD531" s="91">
        <v>4653</v>
      </c>
      <c r="AE531" s="91">
        <v>4698.5498049999997</v>
      </c>
      <c r="AF531" s="91">
        <v>4694.4829099999997</v>
      </c>
      <c r="AG531" s="91">
        <v>459499</v>
      </c>
      <c r="AH531" s="91">
        <v>1.11E-2</v>
      </c>
      <c r="AI531" s="91"/>
      <c r="AJ531" s="91">
        <f>(F531*'Part 3 Portfolio Analysis'!$B$8+M531*'Part 3 Portfolio Analysis'!$C$8+T531*'Part 3 Portfolio Analysis'!$D$8+AA531*'Part 3 Portfolio Analysis'!$E$8+AH531*'Part 3 Portfolio Analysis'!$F$8)/100</f>
        <v>2.0702948272079066E-2</v>
      </c>
      <c r="AK531" s="91">
        <f>'Part 3 Portfolio Analysis'!$B$107*F531+M531*'Part 3 Portfolio Analysis'!$C$107+T531*'Part 3 Portfolio Analysis'!$D$107+AA531*'Part 3 Portfolio Analysis'!$E$107+AH531*'Part 3 Portfolio Analysis'!$F$107</f>
        <v>1.81149E-2</v>
      </c>
      <c r="AL531" s="91">
        <f>F531*'Part 3 Portfolio Analysis'!$B$121+M531*'Part 3 Portfolio Analysis'!$C$121+'Part 3 Portfolio Analysis'!$D$121*T531+AA531*'Part 3 Portfolio Analysis'!$E$121+'Part 3 Portfolio Analysis'!$F$121*AH531</f>
        <v>1.857514E-2</v>
      </c>
      <c r="AM531" s="91"/>
      <c r="AN531" s="90">
        <v>45435</v>
      </c>
      <c r="AO531" s="91">
        <v>22614.099610000001</v>
      </c>
      <c r="AP531" s="91">
        <v>22967.650389999999</v>
      </c>
      <c r="AQ531" s="91">
        <v>22967.650389999999</v>
      </c>
      <c r="AR531" s="91">
        <v>369800</v>
      </c>
      <c r="AS531" s="91">
        <v>1.6400000000000001E-2</v>
      </c>
    </row>
    <row r="532" spans="1:45" x14ac:dyDescent="0.55000000000000004">
      <c r="A532" s="90">
        <v>45436</v>
      </c>
      <c r="B532" s="91">
        <v>7416.6000979999999</v>
      </c>
      <c r="C532" s="91">
        <v>7374.9501950000003</v>
      </c>
      <c r="D532" s="91">
        <v>7222.0532229999999</v>
      </c>
      <c r="E532" s="91">
        <v>86161</v>
      </c>
      <c r="F532" s="91">
        <v>-5.5999999999999999E-3</v>
      </c>
      <c r="H532" s="90">
        <v>45436</v>
      </c>
      <c r="I532" s="91">
        <v>1483.625</v>
      </c>
      <c r="J532" s="91">
        <v>1480.25</v>
      </c>
      <c r="K532" s="91">
        <v>1469.3745120000001</v>
      </c>
      <c r="L532" s="91">
        <v>7094776</v>
      </c>
      <c r="M532" s="91">
        <v>-3.8999999999999998E-3</v>
      </c>
      <c r="O532" s="90">
        <v>45436</v>
      </c>
      <c r="P532" s="91">
        <v>743.75</v>
      </c>
      <c r="Q532" s="91">
        <v>758.59997559999999</v>
      </c>
      <c r="R532" s="91">
        <v>748.48278809999999</v>
      </c>
      <c r="S532" s="91">
        <v>31060206</v>
      </c>
      <c r="T532" s="91">
        <v>1.6500000000000001E-2</v>
      </c>
      <c r="V532" s="90">
        <v>45436</v>
      </c>
      <c r="W532" s="91">
        <v>1468.25</v>
      </c>
      <c r="X532" s="91">
        <v>1465.099976</v>
      </c>
      <c r="Y532" s="91">
        <v>1379.369385</v>
      </c>
      <c r="Z532" s="91">
        <v>5277938</v>
      </c>
      <c r="AA532" s="91">
        <v>-5.0000000000000001E-3</v>
      </c>
      <c r="AB532" s="91"/>
      <c r="AC532" s="90">
        <v>45436</v>
      </c>
      <c r="AD532" s="91">
        <v>4708</v>
      </c>
      <c r="AE532" s="91">
        <v>4715.3999020000001</v>
      </c>
      <c r="AF532" s="91">
        <v>4711.3183589999999</v>
      </c>
      <c r="AG532" s="91">
        <v>549566</v>
      </c>
      <c r="AH532" s="91">
        <v>3.5999999999999999E-3</v>
      </c>
      <c r="AI532" s="91"/>
      <c r="AJ532" s="91">
        <f>(F532*'Part 3 Portfolio Analysis'!$B$8+M532*'Part 3 Portfolio Analysis'!$C$8+T532*'Part 3 Portfolio Analysis'!$D$8+AA532*'Part 3 Portfolio Analysis'!$E$8+AH532*'Part 3 Portfolio Analysis'!$F$8)/100</f>
        <v>-1.1107458620133472E-3</v>
      </c>
      <c r="AK532" s="91">
        <f>'Part 3 Portfolio Analysis'!$B$107*F532+M532*'Part 3 Portfolio Analysis'!$C$107+T532*'Part 3 Portfolio Analysis'!$D$107+AA532*'Part 3 Portfolio Analysis'!$E$107+AH532*'Part 3 Portfolio Analysis'!$F$107</f>
        <v>7.3600000000000011E-4</v>
      </c>
      <c r="AL532" s="91">
        <f>F532*'Part 3 Portfolio Analysis'!$B$121+M532*'Part 3 Portfolio Analysis'!$C$121+'Part 3 Portfolio Analysis'!$D$121*T532+AA532*'Part 3 Portfolio Analysis'!$E$121+'Part 3 Portfolio Analysis'!$F$121*AH532</f>
        <v>1.485560000000001E-3</v>
      </c>
      <c r="AM532" s="91"/>
      <c r="AN532" s="90">
        <v>45436</v>
      </c>
      <c r="AO532" s="91">
        <v>22930.75</v>
      </c>
      <c r="AP532" s="91">
        <v>22957.099610000001</v>
      </c>
      <c r="AQ532" s="91">
        <v>22957.099610000001</v>
      </c>
      <c r="AR532" s="91">
        <v>261900</v>
      </c>
      <c r="AS532" s="91">
        <v>-5.0000000000000001E-4</v>
      </c>
    </row>
    <row r="533" spans="1:45" x14ac:dyDescent="0.55000000000000004">
      <c r="A533" s="90">
        <v>45439</v>
      </c>
      <c r="B533" s="91">
        <v>7374.9501950000003</v>
      </c>
      <c r="C533" s="91">
        <v>7316.7998049999997</v>
      </c>
      <c r="D533" s="91">
        <v>7165.1083980000003</v>
      </c>
      <c r="E533" s="91">
        <v>83671</v>
      </c>
      <c r="F533" s="91">
        <v>-7.9000000000000008E-3</v>
      </c>
      <c r="H533" s="90">
        <v>45439</v>
      </c>
      <c r="I533" s="91">
        <v>1480.224976</v>
      </c>
      <c r="J533" s="91">
        <v>1466.25</v>
      </c>
      <c r="K533" s="91">
        <v>1455.4774170000001</v>
      </c>
      <c r="L533" s="91">
        <v>6629010</v>
      </c>
      <c r="M533" s="91">
        <v>-9.4999999999999998E-3</v>
      </c>
      <c r="O533" s="90">
        <v>45439</v>
      </c>
      <c r="P533" s="91">
        <v>761.67498780000005</v>
      </c>
      <c r="Q533" s="91">
        <v>763.84997559999999</v>
      </c>
      <c r="R533" s="91">
        <v>753.66278079999995</v>
      </c>
      <c r="S533" s="91">
        <v>29385440</v>
      </c>
      <c r="T533" s="91">
        <v>6.8999999999999999E-3</v>
      </c>
      <c r="V533" s="90">
        <v>45439</v>
      </c>
      <c r="W533" s="91">
        <v>1471.849976</v>
      </c>
      <c r="X533" s="91">
        <v>1471.349976</v>
      </c>
      <c r="Y533" s="91">
        <v>1385.2536620000001</v>
      </c>
      <c r="Z533" s="91">
        <v>5821844</v>
      </c>
      <c r="AA533" s="91">
        <v>4.3E-3</v>
      </c>
      <c r="AB533" s="91"/>
      <c r="AC533" s="90">
        <v>45439</v>
      </c>
      <c r="AD533" s="91">
        <v>4759</v>
      </c>
      <c r="AE533" s="91">
        <v>4682</v>
      </c>
      <c r="AF533" s="91">
        <v>4677.9472660000001</v>
      </c>
      <c r="AG533" s="91">
        <v>611635</v>
      </c>
      <c r="AH533" s="91">
        <v>-7.1000000000000004E-3</v>
      </c>
      <c r="AI533" s="91"/>
      <c r="AJ533" s="91">
        <f>(F533*'Part 3 Portfolio Analysis'!$B$8+M533*'Part 3 Portfolio Analysis'!$C$8+T533*'Part 3 Portfolio Analysis'!$D$8+AA533*'Part 3 Portfolio Analysis'!$E$8+AH533*'Part 3 Portfolio Analysis'!$F$8)/100</f>
        <v>-4.0399318160352343E-3</v>
      </c>
      <c r="AK533" s="91">
        <f>'Part 3 Portfolio Analysis'!$B$107*F533+M533*'Part 3 Portfolio Analysis'!$C$107+T533*'Part 3 Portfolio Analysis'!$D$107+AA533*'Part 3 Portfolio Analysis'!$E$107+AH533*'Part 3 Portfolio Analysis'!$F$107</f>
        <v>-4.6852000000000005E-3</v>
      </c>
      <c r="AL533" s="91">
        <f>F533*'Part 3 Portfolio Analysis'!$B$121+M533*'Part 3 Portfolio Analysis'!$C$121+'Part 3 Portfolio Analysis'!$D$121*T533+AA533*'Part 3 Portfolio Analysis'!$E$121+'Part 3 Portfolio Analysis'!$F$121*AH533</f>
        <v>-2.0847999999999991E-3</v>
      </c>
      <c r="AM533" s="91"/>
      <c r="AN533" s="90">
        <v>45439</v>
      </c>
      <c r="AO533" s="91">
        <v>23038.949219999999</v>
      </c>
      <c r="AP533" s="91">
        <v>22932.449219999999</v>
      </c>
      <c r="AQ533" s="91">
        <v>22932.449219999999</v>
      </c>
      <c r="AR533" s="91">
        <v>260000</v>
      </c>
      <c r="AS533" s="91">
        <v>-1.1000000000000001E-3</v>
      </c>
    </row>
    <row r="534" spans="1:45" x14ac:dyDescent="0.55000000000000004">
      <c r="A534" s="90">
        <v>45440</v>
      </c>
      <c r="B534" s="91">
        <v>7360</v>
      </c>
      <c r="C534" s="91">
        <v>7319.8999020000001</v>
      </c>
      <c r="D534" s="91">
        <v>7168.1440430000002</v>
      </c>
      <c r="E534" s="91">
        <v>64306</v>
      </c>
      <c r="F534" s="91">
        <v>4.0000000000000002E-4</v>
      </c>
      <c r="H534" s="90">
        <v>45440</v>
      </c>
      <c r="I534" s="91">
        <v>1468</v>
      </c>
      <c r="J534" s="91">
        <v>1456.1999510000001</v>
      </c>
      <c r="K534" s="91">
        <v>1445.501221</v>
      </c>
      <c r="L534" s="91">
        <v>7820162</v>
      </c>
      <c r="M534" s="91">
        <v>-6.8999999999999999E-3</v>
      </c>
      <c r="O534" s="90">
        <v>45440</v>
      </c>
      <c r="P534" s="91">
        <v>765.04998780000005</v>
      </c>
      <c r="Q534" s="91">
        <v>765.25</v>
      </c>
      <c r="R534" s="91">
        <v>755.04406740000002</v>
      </c>
      <c r="S534" s="91">
        <v>27908904</v>
      </c>
      <c r="T534" s="91">
        <v>1.8E-3</v>
      </c>
      <c r="V534" s="90">
        <v>45440</v>
      </c>
      <c r="W534" s="91">
        <v>1475.5</v>
      </c>
      <c r="X534" s="91">
        <v>1467.0500489999999</v>
      </c>
      <c r="Y534" s="91">
        <v>1381.2054439999999</v>
      </c>
      <c r="Z534" s="91">
        <v>6186922</v>
      </c>
      <c r="AA534" s="91">
        <v>-2.8999999999999998E-3</v>
      </c>
      <c r="AB534" s="91"/>
      <c r="AC534" s="90">
        <v>45440</v>
      </c>
      <c r="AD534" s="91">
        <v>4697.8500979999999</v>
      </c>
      <c r="AE534" s="91">
        <v>4615.8999020000001</v>
      </c>
      <c r="AF534" s="91">
        <v>4611.904297</v>
      </c>
      <c r="AG534" s="91">
        <v>445558</v>
      </c>
      <c r="AH534" s="91">
        <v>-1.41E-2</v>
      </c>
      <c r="AI534" s="91"/>
      <c r="AJ534" s="91">
        <f>(F534*'Part 3 Portfolio Analysis'!$B$8+M534*'Part 3 Portfolio Analysis'!$C$8+T534*'Part 3 Portfolio Analysis'!$D$8+AA534*'Part 3 Portfolio Analysis'!$E$8+AH534*'Part 3 Portfolio Analysis'!$F$8)/100</f>
        <v>-2.6853651236491871E-3</v>
      </c>
      <c r="AK534" s="91">
        <f>'Part 3 Portfolio Analysis'!$B$107*F534+M534*'Part 3 Portfolio Analysis'!$C$107+T534*'Part 3 Portfolio Analysis'!$D$107+AA534*'Part 3 Portfolio Analysis'!$E$107+AH534*'Part 3 Portfolio Analysis'!$F$107</f>
        <v>-5.6518999999999996E-3</v>
      </c>
      <c r="AL534" s="91">
        <f>F534*'Part 3 Portfolio Analysis'!$B$121+M534*'Part 3 Portfolio Analysis'!$C$121+'Part 3 Portfolio Analysis'!$D$121*T534+AA534*'Part 3 Portfolio Analysis'!$E$121+'Part 3 Portfolio Analysis'!$F$121*AH534</f>
        <v>-3.3221799999999997E-3</v>
      </c>
      <c r="AM534" s="91"/>
      <c r="AN534" s="90">
        <v>45440</v>
      </c>
      <c r="AO534" s="91">
        <v>22977.150389999999</v>
      </c>
      <c r="AP534" s="91">
        <v>22888.150389999999</v>
      </c>
      <c r="AQ534" s="91">
        <v>22888.150389999999</v>
      </c>
      <c r="AR534" s="91">
        <v>217900</v>
      </c>
      <c r="AS534" s="91">
        <v>-1.9E-3</v>
      </c>
    </row>
    <row r="535" spans="1:45" x14ac:dyDescent="0.55000000000000004">
      <c r="A535" s="90">
        <v>45441</v>
      </c>
      <c r="B535" s="91">
        <v>7310.5</v>
      </c>
      <c r="C535" s="91">
        <v>7290.2001950000003</v>
      </c>
      <c r="D535" s="91">
        <v>7139.060547</v>
      </c>
      <c r="E535" s="91">
        <v>67954</v>
      </c>
      <c r="F535" s="91">
        <v>-4.1000000000000003E-3</v>
      </c>
      <c r="H535" s="90">
        <v>45441</v>
      </c>
      <c r="I535" s="91">
        <v>1446.5</v>
      </c>
      <c r="J535" s="91">
        <v>1440.775024</v>
      </c>
      <c r="K535" s="91">
        <v>1430.1895750000001</v>
      </c>
      <c r="L535" s="91">
        <v>7383556</v>
      </c>
      <c r="M535" s="91">
        <v>-1.06E-2</v>
      </c>
      <c r="O535" s="90">
        <v>45441</v>
      </c>
      <c r="P535" s="91">
        <v>759</v>
      </c>
      <c r="Q535" s="91">
        <v>754.15002440000001</v>
      </c>
      <c r="R535" s="91">
        <v>744.09216309999999</v>
      </c>
      <c r="S535" s="91">
        <v>35147706</v>
      </c>
      <c r="T535" s="91">
        <v>-1.4500000000000001E-2</v>
      </c>
      <c r="V535" s="90">
        <v>45441</v>
      </c>
      <c r="W535" s="91">
        <v>1465.400024</v>
      </c>
      <c r="X535" s="91">
        <v>1450.9499510000001</v>
      </c>
      <c r="Y535" s="91">
        <v>1366.0474850000001</v>
      </c>
      <c r="Z535" s="91">
        <v>7401634</v>
      </c>
      <c r="AA535" s="91">
        <v>-1.0999999999999999E-2</v>
      </c>
      <c r="AB535" s="91"/>
      <c r="AC535" s="90">
        <v>45441</v>
      </c>
      <c r="AD535" s="91">
        <v>4650</v>
      </c>
      <c r="AE535" s="91">
        <v>4672.0498049999997</v>
      </c>
      <c r="AF535" s="91">
        <v>4668.0058589999999</v>
      </c>
      <c r="AG535" s="91">
        <v>744694</v>
      </c>
      <c r="AH535" s="91">
        <v>1.2200000000000001E-2</v>
      </c>
      <c r="AI535" s="91"/>
      <c r="AJ535" s="91">
        <f>(F535*'Part 3 Portfolio Analysis'!$B$8+M535*'Part 3 Portfolio Analysis'!$C$8+T535*'Part 3 Portfolio Analysis'!$D$8+AA535*'Part 3 Portfolio Analysis'!$E$8+AH535*'Part 3 Portfolio Analysis'!$F$8)/100</f>
        <v>-9.1421049525063323E-3</v>
      </c>
      <c r="AK535" s="91">
        <f>'Part 3 Portfolio Analysis'!$B$107*F535+M535*'Part 3 Portfolio Analysis'!$C$107+T535*'Part 3 Portfolio Analysis'!$D$107+AA535*'Part 3 Portfolio Analysis'!$E$107+AH535*'Part 3 Portfolio Analysis'!$F$107</f>
        <v>-4.3289000000000001E-3</v>
      </c>
      <c r="AL535" s="91">
        <f>F535*'Part 3 Portfolio Analysis'!$B$121+M535*'Part 3 Portfolio Analysis'!$C$121+'Part 3 Portfolio Analysis'!$D$121*T535+AA535*'Part 3 Portfolio Analysis'!$E$121+'Part 3 Portfolio Analysis'!$F$121*AH535</f>
        <v>-1.0609140000000001E-2</v>
      </c>
      <c r="AM535" s="91"/>
      <c r="AN535" s="90">
        <v>45441</v>
      </c>
      <c r="AO535" s="91">
        <v>22762.75</v>
      </c>
      <c r="AP535" s="91">
        <v>22704.699219999999</v>
      </c>
      <c r="AQ535" s="91">
        <v>22704.699219999999</v>
      </c>
      <c r="AR535" s="91">
        <v>269900</v>
      </c>
      <c r="AS535" s="91">
        <v>-8.0000000000000002E-3</v>
      </c>
    </row>
    <row r="536" spans="1:45" x14ac:dyDescent="0.55000000000000004">
      <c r="A536" s="90">
        <v>45442</v>
      </c>
      <c r="B536" s="91">
        <v>7326.7001950000003</v>
      </c>
      <c r="C536" s="91">
        <v>7194.8500979999999</v>
      </c>
      <c r="D536" s="91">
        <v>7045.6870120000003</v>
      </c>
      <c r="E536" s="91">
        <v>189987</v>
      </c>
      <c r="F536" s="91">
        <v>-1.3100000000000001E-2</v>
      </c>
      <c r="H536" s="90">
        <v>45442</v>
      </c>
      <c r="I536" s="91">
        <v>1435.5</v>
      </c>
      <c r="J536" s="91">
        <v>1424.849976</v>
      </c>
      <c r="K536" s="91">
        <v>1414.38147</v>
      </c>
      <c r="L536" s="91">
        <v>13206858</v>
      </c>
      <c r="M536" s="91">
        <v>-1.11E-2</v>
      </c>
      <c r="O536" s="90">
        <v>45442</v>
      </c>
      <c r="P536" s="91">
        <v>749.59997559999999</v>
      </c>
      <c r="Q536" s="91">
        <v>757.42498780000005</v>
      </c>
      <c r="R536" s="91">
        <v>747.32342530000005</v>
      </c>
      <c r="S536" s="91">
        <v>33755350</v>
      </c>
      <c r="T536" s="91">
        <v>4.3E-3</v>
      </c>
      <c r="V536" s="90">
        <v>45442</v>
      </c>
      <c r="W536" s="91">
        <v>1442.8000489999999</v>
      </c>
      <c r="X536" s="91">
        <v>1427.4499510000001</v>
      </c>
      <c r="Y536" s="91">
        <v>1343.922607</v>
      </c>
      <c r="Z536" s="91">
        <v>9663150</v>
      </c>
      <c r="AA536" s="91">
        <v>-1.6199999999999999E-2</v>
      </c>
      <c r="AB536" s="91"/>
      <c r="AC536" s="90">
        <v>45442</v>
      </c>
      <c r="AD536" s="91">
        <v>4669.1000979999999</v>
      </c>
      <c r="AE536" s="91">
        <v>4651.3500979999999</v>
      </c>
      <c r="AF536" s="91">
        <v>4647.3242190000001</v>
      </c>
      <c r="AG536" s="91">
        <v>523206</v>
      </c>
      <c r="AH536" s="91">
        <v>-4.4000000000000003E-3</v>
      </c>
      <c r="AI536" s="91"/>
      <c r="AJ536" s="91">
        <f>(F536*'Part 3 Portfolio Analysis'!$B$8+M536*'Part 3 Portfolio Analysis'!$C$8+T536*'Part 3 Portfolio Analysis'!$D$8+AA536*'Part 3 Portfolio Analysis'!$E$8+AH536*'Part 3 Portfolio Analysis'!$F$8)/100</f>
        <v>-9.8863625211966909E-3</v>
      </c>
      <c r="AK536" s="91">
        <f>'Part 3 Portfolio Analysis'!$B$107*F536+M536*'Part 3 Portfolio Analysis'!$C$107+T536*'Part 3 Portfolio Analysis'!$D$107+AA536*'Part 3 Portfolio Analysis'!$E$107+AH536*'Part 3 Portfolio Analysis'!$F$107</f>
        <v>-7.8945999999999999E-3</v>
      </c>
      <c r="AL536" s="91">
        <f>F536*'Part 3 Portfolio Analysis'!$B$121+M536*'Part 3 Portfolio Analysis'!$C$121+'Part 3 Portfolio Analysis'!$D$121*T536+AA536*'Part 3 Portfolio Analysis'!$E$121+'Part 3 Portfolio Analysis'!$F$121*AH536</f>
        <v>-7.9200599999999996E-3</v>
      </c>
      <c r="AM536" s="91"/>
      <c r="AN536" s="90">
        <v>45442</v>
      </c>
      <c r="AO536" s="91">
        <v>22617.449219999999</v>
      </c>
      <c r="AP536" s="91">
        <v>22488.650389999999</v>
      </c>
      <c r="AQ536" s="91">
        <v>22488.650389999999</v>
      </c>
      <c r="AR536" s="91">
        <v>373400</v>
      </c>
      <c r="AS536" s="91">
        <v>-9.4999999999999998E-3</v>
      </c>
    </row>
    <row r="537" spans="1:45" x14ac:dyDescent="0.55000000000000004">
      <c r="A537" s="90">
        <v>45443</v>
      </c>
      <c r="B537" s="91">
        <v>7240</v>
      </c>
      <c r="C537" s="91">
        <v>6944.3500979999999</v>
      </c>
      <c r="D537" s="91">
        <v>6800.3803710000002</v>
      </c>
      <c r="E537" s="91">
        <v>506546</v>
      </c>
      <c r="F537" s="91">
        <v>-3.4799999999999998E-2</v>
      </c>
      <c r="H537" s="90">
        <v>45443</v>
      </c>
      <c r="I537" s="91">
        <v>1431.3000489999999</v>
      </c>
      <c r="J537" s="91">
        <v>1430.400024</v>
      </c>
      <c r="K537" s="91">
        <v>1419.8907469999999</v>
      </c>
      <c r="L537" s="91">
        <v>31069832</v>
      </c>
      <c r="M537" s="91">
        <v>3.8999999999999998E-3</v>
      </c>
      <c r="O537" s="90">
        <v>45443</v>
      </c>
      <c r="P537" s="91">
        <v>759.5</v>
      </c>
      <c r="Q537" s="91">
        <v>765.77502440000001</v>
      </c>
      <c r="R537" s="91">
        <v>755.56207280000001</v>
      </c>
      <c r="S537" s="91">
        <v>74079588</v>
      </c>
      <c r="T537" s="91">
        <v>1.0999999999999999E-2</v>
      </c>
      <c r="V537" s="90">
        <v>45443</v>
      </c>
      <c r="W537" s="91">
        <v>1409.8000489999999</v>
      </c>
      <c r="X537" s="91">
        <v>1406.900024</v>
      </c>
      <c r="Y537" s="91">
        <v>1351.076904</v>
      </c>
      <c r="Z537" s="91">
        <v>37113815</v>
      </c>
      <c r="AA537" s="91">
        <v>5.3E-3</v>
      </c>
      <c r="AB537" s="91"/>
      <c r="AC537" s="90">
        <v>45443</v>
      </c>
      <c r="AD537" s="91">
        <v>4665</v>
      </c>
      <c r="AE537" s="91">
        <v>4559.1499020000001</v>
      </c>
      <c r="AF537" s="91">
        <v>4555.2036129999997</v>
      </c>
      <c r="AG537" s="91">
        <v>3005008</v>
      </c>
      <c r="AH537" s="91">
        <v>-1.9800000000000002E-2</v>
      </c>
      <c r="AI537" s="91"/>
      <c r="AJ537" s="91">
        <f>(F537*'Part 3 Portfolio Analysis'!$B$8+M537*'Part 3 Portfolio Analysis'!$C$8+T537*'Part 3 Portfolio Analysis'!$D$8+AA537*'Part 3 Portfolio Analysis'!$E$8+AH537*'Part 3 Portfolio Analysis'!$F$8)/100</f>
        <v>-6.5319570733380124E-3</v>
      </c>
      <c r="AK537" s="91">
        <f>'Part 3 Portfolio Analysis'!$B$107*F537+M537*'Part 3 Portfolio Analysis'!$C$107+T537*'Part 3 Portfolio Analysis'!$D$107+AA537*'Part 3 Portfolio Analysis'!$E$107+AH537*'Part 3 Portfolio Analysis'!$F$107</f>
        <v>-7.7979E-3</v>
      </c>
      <c r="AL537" s="91">
        <f>F537*'Part 3 Portfolio Analysis'!$B$121+M537*'Part 3 Portfolio Analysis'!$C$121+'Part 3 Portfolio Analysis'!$D$121*T537+AA537*'Part 3 Portfolio Analysis'!$E$121+'Part 3 Portfolio Analysis'!$F$121*AH537</f>
        <v>2.3091199999999996E-3</v>
      </c>
      <c r="AM537" s="91"/>
      <c r="AN537" s="90">
        <v>45443</v>
      </c>
      <c r="AO537" s="91">
        <v>22568.099610000001</v>
      </c>
      <c r="AP537" s="91">
        <v>22530.699219999999</v>
      </c>
      <c r="AQ537" s="91">
        <v>22530.699219999999</v>
      </c>
      <c r="AR537" s="91">
        <v>572100</v>
      </c>
      <c r="AS537" s="91">
        <v>1.9E-3</v>
      </c>
    </row>
    <row r="538" spans="1:45" x14ac:dyDescent="0.55000000000000004">
      <c r="A538" s="90">
        <v>45446</v>
      </c>
      <c r="B538" s="91">
        <v>7148</v>
      </c>
      <c r="C538" s="91">
        <v>6947.6000979999999</v>
      </c>
      <c r="D538" s="91">
        <v>6803.5629879999997</v>
      </c>
      <c r="E538" s="91">
        <v>189575</v>
      </c>
      <c r="F538" s="91">
        <v>5.0000000000000001E-4</v>
      </c>
      <c r="H538" s="90">
        <v>45446</v>
      </c>
      <c r="I538" s="91">
        <v>1483</v>
      </c>
      <c r="J538" s="91">
        <v>1510.3249510000001</v>
      </c>
      <c r="K538" s="91">
        <v>1499.2285159999999</v>
      </c>
      <c r="L538" s="91">
        <v>21527942</v>
      </c>
      <c r="M538" s="91">
        <v>5.5899999999999998E-2</v>
      </c>
      <c r="O538" s="90">
        <v>45446</v>
      </c>
      <c r="P538" s="91">
        <v>799.5</v>
      </c>
      <c r="Q538" s="91">
        <v>786.09997559999999</v>
      </c>
      <c r="R538" s="91">
        <v>775.61596680000002</v>
      </c>
      <c r="S538" s="91">
        <v>72637256</v>
      </c>
      <c r="T538" s="91">
        <v>2.6499999999999999E-2</v>
      </c>
      <c r="V538" s="90">
        <v>45446</v>
      </c>
      <c r="W538" s="91">
        <v>1440</v>
      </c>
      <c r="X538" s="91">
        <v>1405.900024</v>
      </c>
      <c r="Y538" s="91">
        <v>1350.1166989999999</v>
      </c>
      <c r="Z538" s="91">
        <v>10589244</v>
      </c>
      <c r="AA538" s="91">
        <v>-6.9999999999999999E-4</v>
      </c>
      <c r="AB538" s="91"/>
      <c r="AC538" s="90">
        <v>45446</v>
      </c>
      <c r="AD538" s="91">
        <v>4745.7998049999997</v>
      </c>
      <c r="AE538" s="91">
        <v>4662.2001950000003</v>
      </c>
      <c r="AF538" s="91">
        <v>4658.1645509999998</v>
      </c>
      <c r="AG538" s="91">
        <v>450140</v>
      </c>
      <c r="AH538" s="91">
        <v>2.2599999999999999E-2</v>
      </c>
      <c r="AI538" s="91"/>
      <c r="AJ538" s="91">
        <f>(F538*'Part 3 Portfolio Analysis'!$B$8+M538*'Part 3 Portfolio Analysis'!$C$8+T538*'Part 3 Portfolio Analysis'!$D$8+AA538*'Part 3 Portfolio Analysis'!$E$8+AH538*'Part 3 Portfolio Analysis'!$F$8)/100</f>
        <v>2.4941405777706094E-2</v>
      </c>
      <c r="AK538" s="91">
        <f>'Part 3 Portfolio Analysis'!$B$107*F538+M538*'Part 3 Portfolio Analysis'!$C$107+T538*'Part 3 Portfolio Analysis'!$D$107+AA538*'Part 3 Portfolio Analysis'!$E$107+AH538*'Part 3 Portfolio Analysis'!$F$107</f>
        <v>2.7319400000000001E-2</v>
      </c>
      <c r="AL538" s="91">
        <f>F538*'Part 3 Portfolio Analysis'!$B$121+M538*'Part 3 Portfolio Analysis'!$C$121+'Part 3 Portfolio Analysis'!$D$121*T538+AA538*'Part 3 Portfolio Analysis'!$E$121+'Part 3 Portfolio Analysis'!$F$121*AH538</f>
        <v>3.1156859999999995E-2</v>
      </c>
      <c r="AM538" s="91"/>
      <c r="AN538" s="90">
        <v>45446</v>
      </c>
      <c r="AO538" s="91">
        <v>23337.900389999999</v>
      </c>
      <c r="AP538" s="91">
        <v>23263.900389999999</v>
      </c>
      <c r="AQ538" s="91">
        <v>23263.900389999999</v>
      </c>
      <c r="AR538" s="91">
        <v>569400</v>
      </c>
      <c r="AS538" s="91">
        <v>3.2500000000000001E-2</v>
      </c>
    </row>
    <row r="539" spans="1:45" x14ac:dyDescent="0.55000000000000004">
      <c r="A539" s="90">
        <v>45447</v>
      </c>
      <c r="B539" s="91">
        <v>6975</v>
      </c>
      <c r="C539" s="91">
        <v>6726.2001950000003</v>
      </c>
      <c r="D539" s="91">
        <v>6586.7529299999997</v>
      </c>
      <c r="E539" s="91">
        <v>298357</v>
      </c>
      <c r="F539" s="91">
        <v>-3.1899999999999998E-2</v>
      </c>
      <c r="H539" s="90">
        <v>45447</v>
      </c>
      <c r="I539" s="91">
        <v>1498.0500489999999</v>
      </c>
      <c r="J539" s="91">
        <v>1397.275024</v>
      </c>
      <c r="K539" s="91">
        <v>1387.009155</v>
      </c>
      <c r="L539" s="91">
        <v>36709098</v>
      </c>
      <c r="M539" s="91">
        <v>-7.4899999999999994E-2</v>
      </c>
      <c r="O539" s="90">
        <v>45447</v>
      </c>
      <c r="P539" s="91">
        <v>778.5</v>
      </c>
      <c r="Q539" s="91">
        <v>741.57501219999995</v>
      </c>
      <c r="R539" s="91">
        <v>731.68487549999998</v>
      </c>
      <c r="S539" s="91">
        <v>89531240</v>
      </c>
      <c r="T539" s="91">
        <v>-5.6599999999999998E-2</v>
      </c>
      <c r="V539" s="90">
        <v>45447</v>
      </c>
      <c r="W539" s="91">
        <v>1409</v>
      </c>
      <c r="X539" s="91">
        <v>1393.650024</v>
      </c>
      <c r="Y539" s="91">
        <v>1338.3526609999999</v>
      </c>
      <c r="Z539" s="91">
        <v>13736134</v>
      </c>
      <c r="AA539" s="91">
        <v>-8.6999999999999994E-3</v>
      </c>
      <c r="AB539" s="91"/>
      <c r="AC539" s="90">
        <v>45447</v>
      </c>
      <c r="AD539" s="91">
        <v>4685</v>
      </c>
      <c r="AE539" s="91">
        <v>4538.1499020000001</v>
      </c>
      <c r="AF539" s="91">
        <v>4534.2216799999997</v>
      </c>
      <c r="AG539" s="91">
        <v>1175204</v>
      </c>
      <c r="AH539" s="91">
        <v>-2.6599999999999999E-2</v>
      </c>
      <c r="AI539" s="91"/>
      <c r="AJ539" s="91">
        <f>(F539*'Part 3 Portfolio Analysis'!$B$8+M539*'Part 3 Portfolio Analysis'!$C$8+T539*'Part 3 Portfolio Analysis'!$D$8+AA539*'Part 3 Portfolio Analysis'!$E$8+AH539*'Part 3 Portfolio Analysis'!$F$8)/100</f>
        <v>-4.7821460529470478E-2</v>
      </c>
      <c r="AK539" s="91">
        <f>'Part 3 Portfolio Analysis'!$B$107*F539+M539*'Part 3 Portfolio Analysis'!$C$107+T539*'Part 3 Portfolio Analysis'!$D$107+AA539*'Part 3 Portfolio Analysis'!$E$107+AH539*'Part 3 Portfolio Analysis'!$F$107</f>
        <v>-4.55319E-2</v>
      </c>
      <c r="AL539" s="91">
        <f>F539*'Part 3 Portfolio Analysis'!$B$121+M539*'Part 3 Portfolio Analysis'!$C$121+'Part 3 Portfolio Analysis'!$D$121*T539+AA539*'Part 3 Portfolio Analysis'!$E$121+'Part 3 Portfolio Analysis'!$F$121*AH539</f>
        <v>-5.1882339999999999E-2</v>
      </c>
      <c r="AM539" s="91"/>
      <c r="AN539" s="90">
        <v>45447</v>
      </c>
      <c r="AO539" s="91">
        <v>23179.5</v>
      </c>
      <c r="AP539" s="91">
        <v>21884.5</v>
      </c>
      <c r="AQ539" s="91">
        <v>21884.5</v>
      </c>
      <c r="AR539" s="91">
        <v>1006100</v>
      </c>
      <c r="AS539" s="91">
        <v>-5.9299999999999999E-2</v>
      </c>
    </row>
    <row r="540" spans="1:45" x14ac:dyDescent="0.55000000000000004">
      <c r="A540" s="90">
        <v>45448</v>
      </c>
      <c r="B540" s="91">
        <v>6850</v>
      </c>
      <c r="C540" s="91">
        <v>6878.8999020000001</v>
      </c>
      <c r="D540" s="91">
        <v>6736.2871089999999</v>
      </c>
      <c r="E540" s="91">
        <v>116845</v>
      </c>
      <c r="F540" s="91">
        <v>2.2700000000000001E-2</v>
      </c>
      <c r="H540" s="90">
        <v>45448</v>
      </c>
      <c r="I540" s="91">
        <v>1422</v>
      </c>
      <c r="J540" s="91">
        <v>1420.75</v>
      </c>
      <c r="K540" s="91">
        <v>1410.3116460000001</v>
      </c>
      <c r="L540" s="91">
        <v>17464890</v>
      </c>
      <c r="M540" s="91">
        <v>1.6799999999999999E-2</v>
      </c>
      <c r="O540" s="90">
        <v>45448</v>
      </c>
      <c r="P540" s="91">
        <v>747.02502440000001</v>
      </c>
      <c r="Q540" s="91">
        <v>775.90002440000001</v>
      </c>
      <c r="R540" s="91">
        <v>765.55206299999998</v>
      </c>
      <c r="S540" s="91">
        <v>81631650</v>
      </c>
      <c r="T540" s="91">
        <v>4.6300000000000001E-2</v>
      </c>
      <c r="V540" s="90">
        <v>45448</v>
      </c>
      <c r="W540" s="91">
        <v>1400.150024</v>
      </c>
      <c r="X540" s="91">
        <v>1430.099976</v>
      </c>
      <c r="Y540" s="91">
        <v>1373.356323</v>
      </c>
      <c r="Z540" s="91">
        <v>9233424</v>
      </c>
      <c r="AA540" s="91">
        <v>2.6200000000000001E-2</v>
      </c>
      <c r="AB540" s="91"/>
      <c r="AC540" s="90">
        <v>45448</v>
      </c>
      <c r="AD540" s="91">
        <v>4684</v>
      </c>
      <c r="AE540" s="91">
        <v>4903.7998049999997</v>
      </c>
      <c r="AF540" s="91">
        <v>4899.5551759999998</v>
      </c>
      <c r="AG540" s="91">
        <v>1231971</v>
      </c>
      <c r="AH540" s="91">
        <v>8.0600000000000005E-2</v>
      </c>
      <c r="AI540" s="91"/>
      <c r="AJ540" s="91">
        <f>(F540*'Part 3 Portfolio Analysis'!$B$8+M540*'Part 3 Portfolio Analysis'!$C$8+T540*'Part 3 Portfolio Analysis'!$D$8+AA540*'Part 3 Portfolio Analysis'!$E$8+AH540*'Part 3 Portfolio Analysis'!$F$8)/100</f>
        <v>2.5627305695898123E-2</v>
      </c>
      <c r="AK540" s="91">
        <f>'Part 3 Portfolio Analysis'!$B$107*F540+M540*'Part 3 Portfolio Analysis'!$C$107+T540*'Part 3 Portfolio Analysis'!$D$107+AA540*'Part 3 Portfolio Analysis'!$E$107+AH540*'Part 3 Portfolio Analysis'!$F$107</f>
        <v>3.9452100000000004E-2</v>
      </c>
      <c r="AL540" s="91">
        <f>F540*'Part 3 Portfolio Analysis'!$B$121+M540*'Part 3 Portfolio Analysis'!$C$121+'Part 3 Portfolio Analysis'!$D$121*T540+AA540*'Part 3 Portfolio Analysis'!$E$121+'Part 3 Portfolio Analysis'!$F$121*AH540</f>
        <v>2.886054E-2</v>
      </c>
      <c r="AM540" s="91"/>
      <c r="AN540" s="90">
        <v>45448</v>
      </c>
      <c r="AO540" s="91">
        <v>22128.349610000001</v>
      </c>
      <c r="AP540" s="91">
        <v>22620.349610000001</v>
      </c>
      <c r="AQ540" s="91">
        <v>22620.349610000001</v>
      </c>
      <c r="AR540" s="91">
        <v>638500</v>
      </c>
      <c r="AS540" s="91">
        <v>3.3599999999999998E-2</v>
      </c>
    </row>
    <row r="541" spans="1:45" x14ac:dyDescent="0.55000000000000004">
      <c r="A541" s="90">
        <v>45449</v>
      </c>
      <c r="B541" s="91">
        <v>6983.2998049999997</v>
      </c>
      <c r="C541" s="91">
        <v>6932.2001950000003</v>
      </c>
      <c r="D541" s="91">
        <v>6788.482422</v>
      </c>
      <c r="E541" s="91">
        <v>138019</v>
      </c>
      <c r="F541" s="91">
        <v>7.7000000000000002E-3</v>
      </c>
      <c r="H541" s="90">
        <v>45449</v>
      </c>
      <c r="I541" s="91">
        <v>1435</v>
      </c>
      <c r="J541" s="91">
        <v>1431.599976</v>
      </c>
      <c r="K541" s="91">
        <v>1421.081909</v>
      </c>
      <c r="L541" s="91">
        <v>17855722</v>
      </c>
      <c r="M541" s="91">
        <v>7.6E-3</v>
      </c>
      <c r="O541" s="90">
        <v>45449</v>
      </c>
      <c r="P541" s="91">
        <v>782.45001219999995</v>
      </c>
      <c r="Q541" s="91">
        <v>779.84997559999999</v>
      </c>
      <c r="R541" s="91">
        <v>769.44934079999996</v>
      </c>
      <c r="S541" s="91">
        <v>46422870</v>
      </c>
      <c r="T541" s="91">
        <v>5.1000000000000004E-3</v>
      </c>
      <c r="V541" s="90">
        <v>45449</v>
      </c>
      <c r="W541" s="91">
        <v>1444.9499510000001</v>
      </c>
      <c r="X541" s="91">
        <v>1472.25</v>
      </c>
      <c r="Y541" s="91">
        <v>1413.834106</v>
      </c>
      <c r="Z541" s="91">
        <v>12660930</v>
      </c>
      <c r="AA541" s="91">
        <v>2.9499999999999998E-2</v>
      </c>
      <c r="AB541" s="91"/>
      <c r="AC541" s="90">
        <v>45449</v>
      </c>
      <c r="AD541" s="91">
        <v>4910.0498049999997</v>
      </c>
      <c r="AE541" s="91">
        <v>4878.4501950000003</v>
      </c>
      <c r="AF541" s="91">
        <v>4874.2275390000004</v>
      </c>
      <c r="AG541" s="91">
        <v>512601</v>
      </c>
      <c r="AH541" s="91">
        <v>-5.1999999999999998E-3</v>
      </c>
      <c r="AI541" s="91"/>
      <c r="AJ541" s="91">
        <f>(F541*'Part 3 Portfolio Analysis'!$B$8+M541*'Part 3 Portfolio Analysis'!$C$8+T541*'Part 3 Portfolio Analysis'!$D$8+AA541*'Part 3 Portfolio Analysis'!$E$8+AH541*'Part 3 Portfolio Analysis'!$F$8)/100</f>
        <v>1.0612311390488481E-2</v>
      </c>
      <c r="AK541" s="91">
        <f>'Part 3 Portfolio Analysis'!$B$107*F541+M541*'Part 3 Portfolio Analysis'!$C$107+T541*'Part 3 Portfolio Analysis'!$D$107+AA541*'Part 3 Portfolio Analysis'!$E$107+AH541*'Part 3 Portfolio Analysis'!$F$107</f>
        <v>6.1948999999999997E-3</v>
      </c>
      <c r="AL541" s="91">
        <f>F541*'Part 3 Portfolio Analysis'!$B$121+M541*'Part 3 Portfolio Analysis'!$C$121+'Part 3 Portfolio Analysis'!$D$121*T541+AA541*'Part 3 Portfolio Analysis'!$E$121+'Part 3 Portfolio Analysis'!$F$121*AH541</f>
        <v>1.0972860000000001E-2</v>
      </c>
      <c r="AM541" s="91"/>
      <c r="AN541" s="90">
        <v>45449</v>
      </c>
      <c r="AO541" s="91">
        <v>22798.599610000001</v>
      </c>
      <c r="AP541" s="91">
        <v>22821.400389999999</v>
      </c>
      <c r="AQ541" s="91">
        <v>22821.400389999999</v>
      </c>
      <c r="AR541" s="91">
        <v>480400</v>
      </c>
      <c r="AS541" s="91">
        <v>8.8999999999999999E-3</v>
      </c>
    </row>
    <row r="542" spans="1:45" x14ac:dyDescent="0.55000000000000004">
      <c r="A542" s="90">
        <v>45450</v>
      </c>
      <c r="B542" s="91">
        <v>6960</v>
      </c>
      <c r="C542" s="91">
        <v>7120</v>
      </c>
      <c r="D542" s="91">
        <v>6972.388672</v>
      </c>
      <c r="E542" s="91">
        <v>231746</v>
      </c>
      <c r="F542" s="91">
        <v>2.7099999999999999E-2</v>
      </c>
      <c r="H542" s="90">
        <v>45450</v>
      </c>
      <c r="I542" s="91">
        <v>1428.5</v>
      </c>
      <c r="J542" s="91">
        <v>1469.9499510000001</v>
      </c>
      <c r="K542" s="91">
        <v>1459.150024</v>
      </c>
      <c r="L542" s="91">
        <v>18558696</v>
      </c>
      <c r="M542" s="91">
        <v>2.6800000000000001E-2</v>
      </c>
      <c r="O542" s="90">
        <v>45450</v>
      </c>
      <c r="P542" s="91">
        <v>780.52502440000001</v>
      </c>
      <c r="Q542" s="91">
        <v>786.67498780000005</v>
      </c>
      <c r="R542" s="91">
        <v>776.18328859999997</v>
      </c>
      <c r="S542" s="91">
        <v>36712216</v>
      </c>
      <c r="T542" s="91">
        <v>8.8000000000000005E-3</v>
      </c>
      <c r="V542" s="90">
        <v>45450</v>
      </c>
      <c r="W542" s="91">
        <v>1481</v>
      </c>
      <c r="X542" s="91">
        <v>1533.599976</v>
      </c>
      <c r="Y542" s="91">
        <v>1472.749634</v>
      </c>
      <c r="Z542" s="91">
        <v>24075302</v>
      </c>
      <c r="AA542" s="91">
        <v>4.1700000000000001E-2</v>
      </c>
      <c r="AB542" s="91"/>
      <c r="AC542" s="90">
        <v>45450</v>
      </c>
      <c r="AD542" s="91">
        <v>4878.4501950000003</v>
      </c>
      <c r="AE542" s="91">
        <v>4964.6000979999999</v>
      </c>
      <c r="AF542" s="91">
        <v>4960.3027339999999</v>
      </c>
      <c r="AG542" s="91">
        <v>488611</v>
      </c>
      <c r="AH542" s="91">
        <v>1.77E-2</v>
      </c>
      <c r="AI542" s="91"/>
      <c r="AJ542" s="91">
        <f>(F542*'Part 3 Portfolio Analysis'!$B$8+M542*'Part 3 Portfolio Analysis'!$C$8+T542*'Part 3 Portfolio Analysis'!$D$8+AA542*'Part 3 Portfolio Analysis'!$E$8+AH542*'Part 3 Portfolio Analysis'!$F$8)/100</f>
        <v>2.6196341852696248E-2</v>
      </c>
      <c r="AK542" s="91">
        <f>'Part 3 Portfolio Analysis'!$B$107*F542+M542*'Part 3 Portfolio Analysis'!$C$107+T542*'Part 3 Portfolio Analysis'!$D$107+AA542*'Part 3 Portfolio Analysis'!$E$107+AH542*'Part 3 Portfolio Analysis'!$F$107</f>
        <v>2.3260800000000002E-2</v>
      </c>
      <c r="AL542" s="91">
        <f>F542*'Part 3 Portfolio Analysis'!$B$121+M542*'Part 3 Portfolio Analysis'!$C$121+'Part 3 Portfolio Analysis'!$D$121*T542+AA542*'Part 3 Portfolio Analysis'!$E$121+'Part 3 Portfolio Analysis'!$F$121*AH542</f>
        <v>2.467024E-2</v>
      </c>
      <c r="AM542" s="91"/>
      <c r="AN542" s="90">
        <v>45450</v>
      </c>
      <c r="AO542" s="91">
        <v>22821.849610000001</v>
      </c>
      <c r="AP542" s="91">
        <v>23290.150389999999</v>
      </c>
      <c r="AQ542" s="91">
        <v>23290.150389999999</v>
      </c>
      <c r="AR542" s="91">
        <v>473600</v>
      </c>
      <c r="AS542" s="91">
        <v>2.0500000000000001E-2</v>
      </c>
    </row>
    <row r="543" spans="1:45" x14ac:dyDescent="0.55000000000000004">
      <c r="A543" s="90">
        <v>45453</v>
      </c>
      <c r="B543" s="91">
        <v>7189</v>
      </c>
      <c r="C543" s="91">
        <v>7140.1499020000001</v>
      </c>
      <c r="D543" s="91">
        <v>6992.1206050000001</v>
      </c>
      <c r="E543" s="91">
        <v>75286</v>
      </c>
      <c r="F543" s="91">
        <v>2.8E-3</v>
      </c>
      <c r="H543" s="90">
        <v>45453</v>
      </c>
      <c r="I543" s="91">
        <v>1469.9499510000001</v>
      </c>
      <c r="J543" s="91">
        <v>1471.400024</v>
      </c>
      <c r="K543" s="91">
        <v>1460.5894780000001</v>
      </c>
      <c r="L543" s="91">
        <v>9251760</v>
      </c>
      <c r="M543" s="91">
        <v>1E-3</v>
      </c>
      <c r="O543" s="90">
        <v>45453</v>
      </c>
      <c r="P543" s="91">
        <v>787</v>
      </c>
      <c r="Q543" s="91">
        <v>780.65002440000001</v>
      </c>
      <c r="R543" s="91">
        <v>770.23876949999999</v>
      </c>
      <c r="S543" s="91">
        <v>22454058</v>
      </c>
      <c r="T543" s="91">
        <v>-7.7000000000000002E-3</v>
      </c>
      <c r="V543" s="90">
        <v>45453</v>
      </c>
      <c r="W543" s="91">
        <v>1525.3000489999999</v>
      </c>
      <c r="X543" s="91">
        <v>1499.75</v>
      </c>
      <c r="Y543" s="91">
        <v>1440.2429199999999</v>
      </c>
      <c r="Z543" s="91">
        <v>6810606</v>
      </c>
      <c r="AA543" s="91">
        <v>-2.2100000000000002E-2</v>
      </c>
      <c r="AB543" s="91"/>
      <c r="AC543" s="90">
        <v>45453</v>
      </c>
      <c r="AD543" s="91">
        <v>5025</v>
      </c>
      <c r="AE543" s="91">
        <v>4969.4501950000003</v>
      </c>
      <c r="AF543" s="91">
        <v>4965.1489259999998</v>
      </c>
      <c r="AG543" s="91">
        <v>417996</v>
      </c>
      <c r="AH543" s="91">
        <v>1E-3</v>
      </c>
      <c r="AI543" s="91"/>
      <c r="AJ543" s="91">
        <f>(F543*'Part 3 Portfolio Analysis'!$B$8+M543*'Part 3 Portfolio Analysis'!$C$8+T543*'Part 3 Portfolio Analysis'!$D$8+AA543*'Part 3 Portfolio Analysis'!$E$8+AH543*'Part 3 Portfolio Analysis'!$F$8)/100</f>
        <v>-3.6288359583084499E-3</v>
      </c>
      <c r="AK543" s="91">
        <f>'Part 3 Portfolio Analysis'!$B$107*F543+M543*'Part 3 Portfolio Analysis'!$C$107+T543*'Part 3 Portfolio Analysis'!$D$107+AA543*'Part 3 Portfolio Analysis'!$E$107+AH543*'Part 3 Portfolio Analysis'!$F$107</f>
        <v>-2.3345000000000002E-3</v>
      </c>
      <c r="AL543" s="91">
        <f>F543*'Part 3 Portfolio Analysis'!$B$121+M543*'Part 3 Portfolio Analysis'!$C$121+'Part 3 Portfolio Analysis'!$D$121*T543+AA543*'Part 3 Portfolio Analysis'!$E$121+'Part 3 Portfolio Analysis'!$F$121*AH543</f>
        <v>-5.8384400000000012E-3</v>
      </c>
      <c r="AM543" s="91"/>
      <c r="AN543" s="90">
        <v>45453</v>
      </c>
      <c r="AO543" s="91">
        <v>23319.150389999999</v>
      </c>
      <c r="AP543" s="91">
        <v>23259.199219999999</v>
      </c>
      <c r="AQ543" s="91">
        <v>23259.199219999999</v>
      </c>
      <c r="AR543" s="91">
        <v>304400</v>
      </c>
      <c r="AS543" s="91">
        <v>-1.2999999999999999E-3</v>
      </c>
    </row>
    <row r="544" spans="1:45" x14ac:dyDescent="0.55000000000000004">
      <c r="A544" s="90">
        <v>45454</v>
      </c>
      <c r="B544" s="91">
        <v>7159.8999020000001</v>
      </c>
      <c r="C544" s="91">
        <v>7087.6499020000001</v>
      </c>
      <c r="D544" s="91">
        <v>6940.7094729999999</v>
      </c>
      <c r="E544" s="91">
        <v>77665</v>
      </c>
      <c r="F544" s="91">
        <v>-7.4000000000000003E-3</v>
      </c>
      <c r="H544" s="90">
        <v>45454</v>
      </c>
      <c r="I544" s="91">
        <v>1469</v>
      </c>
      <c r="J544" s="91">
        <v>1456.6750489999999</v>
      </c>
      <c r="K544" s="91">
        <v>1445.9727780000001</v>
      </c>
      <c r="L544" s="91">
        <v>11774902</v>
      </c>
      <c r="M544" s="91">
        <v>-0.01</v>
      </c>
      <c r="O544" s="90">
        <v>45454</v>
      </c>
      <c r="P544" s="91">
        <v>778</v>
      </c>
      <c r="Q544" s="91">
        <v>782.40002440000001</v>
      </c>
      <c r="R544" s="91">
        <v>771.96539310000003</v>
      </c>
      <c r="S544" s="91">
        <v>29545326</v>
      </c>
      <c r="T544" s="91">
        <v>2.2000000000000001E-3</v>
      </c>
      <c r="V544" s="90">
        <v>45454</v>
      </c>
      <c r="W544" s="91">
        <v>1500.0500489999999</v>
      </c>
      <c r="X544" s="91">
        <v>1495.75</v>
      </c>
      <c r="Y544" s="91">
        <v>1436.4014890000001</v>
      </c>
      <c r="Z544" s="91">
        <v>4853054</v>
      </c>
      <c r="AA544" s="91">
        <v>-2.7000000000000001E-3</v>
      </c>
      <c r="AB544" s="91"/>
      <c r="AC544" s="90">
        <v>45454</v>
      </c>
      <c r="AD544" s="91">
        <v>5009</v>
      </c>
      <c r="AE544" s="91">
        <v>4906.6000979999999</v>
      </c>
      <c r="AF544" s="91">
        <v>4902.3530270000001</v>
      </c>
      <c r="AG544" s="91">
        <v>512441</v>
      </c>
      <c r="AH544" s="91">
        <v>-1.26E-2</v>
      </c>
      <c r="AI544" s="91"/>
      <c r="AJ544" s="91">
        <f>(F544*'Part 3 Portfolio Analysis'!$B$8+M544*'Part 3 Portfolio Analysis'!$C$8+T544*'Part 3 Portfolio Analysis'!$D$8+AA544*'Part 3 Portfolio Analysis'!$E$8+AH544*'Part 3 Portfolio Analysis'!$F$8)/100</f>
        <v>-6.0354813461843048E-3</v>
      </c>
      <c r="AK544" s="91">
        <f>'Part 3 Portfolio Analysis'!$B$107*F544+M544*'Part 3 Portfolio Analysis'!$C$107+T544*'Part 3 Portfolio Analysis'!$D$107+AA544*'Part 3 Portfolio Analysis'!$E$107+AH544*'Part 3 Portfolio Analysis'!$F$107</f>
        <v>-7.5662000000000004E-3</v>
      </c>
      <c r="AL544" s="91">
        <f>F544*'Part 3 Portfolio Analysis'!$B$121+M544*'Part 3 Portfolio Analysis'!$C$121+'Part 3 Portfolio Analysis'!$D$121*T544+AA544*'Part 3 Portfolio Analysis'!$E$121+'Part 3 Portfolio Analysis'!$F$121*AH544</f>
        <v>-5.0759999999999998E-3</v>
      </c>
      <c r="AM544" s="91"/>
      <c r="AN544" s="90">
        <v>45454</v>
      </c>
      <c r="AO544" s="91">
        <v>23283.75</v>
      </c>
      <c r="AP544" s="91">
        <v>23264.849610000001</v>
      </c>
      <c r="AQ544" s="91">
        <v>23264.849610000001</v>
      </c>
      <c r="AR544" s="91">
        <v>305200</v>
      </c>
      <c r="AS544" s="91">
        <v>2.0000000000000001E-4</v>
      </c>
    </row>
    <row r="545" spans="1:45" x14ac:dyDescent="0.55000000000000004">
      <c r="A545" s="90">
        <v>45455</v>
      </c>
      <c r="B545" s="91">
        <v>7099.2001950000003</v>
      </c>
      <c r="C545" s="91">
        <v>7120.25</v>
      </c>
      <c r="D545" s="91">
        <v>6972.6333009999998</v>
      </c>
      <c r="E545" s="91">
        <v>68176</v>
      </c>
      <c r="F545" s="91">
        <v>4.5999999999999999E-3</v>
      </c>
      <c r="H545" s="90">
        <v>45455</v>
      </c>
      <c r="I545" s="91">
        <v>1457.5</v>
      </c>
      <c r="J545" s="91">
        <v>1463.3249510000001</v>
      </c>
      <c r="K545" s="91">
        <v>1452.5737300000001</v>
      </c>
      <c r="L545" s="91">
        <v>10081742</v>
      </c>
      <c r="M545" s="91">
        <v>4.5999999999999999E-3</v>
      </c>
      <c r="O545" s="90">
        <v>45455</v>
      </c>
      <c r="P545" s="91">
        <v>787.5</v>
      </c>
      <c r="Q545" s="91">
        <v>787.07501219999995</v>
      </c>
      <c r="R545" s="91">
        <v>776.5780029</v>
      </c>
      <c r="S545" s="91">
        <v>39280436</v>
      </c>
      <c r="T545" s="91">
        <v>6.0000000000000001E-3</v>
      </c>
      <c r="V545" s="90">
        <v>45455</v>
      </c>
      <c r="W545" s="91">
        <v>1507</v>
      </c>
      <c r="X545" s="91">
        <v>1485.1999510000001</v>
      </c>
      <c r="Y545" s="91">
        <v>1426.2701420000001</v>
      </c>
      <c r="Z545" s="91">
        <v>9564320</v>
      </c>
      <c r="AA545" s="91">
        <v>-7.1000000000000004E-3</v>
      </c>
      <c r="AB545" s="91"/>
      <c r="AC545" s="90">
        <v>45455</v>
      </c>
      <c r="AD545" s="91">
        <v>4945</v>
      </c>
      <c r="AE545" s="91">
        <v>5028.0498049999997</v>
      </c>
      <c r="AF545" s="91">
        <v>5023.6977539999998</v>
      </c>
      <c r="AG545" s="91">
        <v>954491</v>
      </c>
      <c r="AH545" s="91">
        <v>2.4799999999999999E-2</v>
      </c>
      <c r="AI545" s="91"/>
      <c r="AJ545" s="91">
        <f>(F545*'Part 3 Portfolio Analysis'!$B$8+M545*'Part 3 Portfolio Analysis'!$C$8+T545*'Part 3 Portfolio Analysis'!$D$8+AA545*'Part 3 Portfolio Analysis'!$E$8+AH545*'Part 3 Portfolio Analysis'!$F$8)/100</f>
        <v>3.1480416683013729E-3</v>
      </c>
      <c r="AK545" s="91">
        <f>'Part 3 Portfolio Analysis'!$B$107*F545+M545*'Part 3 Portfolio Analysis'!$C$107+T545*'Part 3 Portfolio Analysis'!$D$107+AA545*'Part 3 Portfolio Analysis'!$E$107+AH545*'Part 3 Portfolio Analysis'!$F$107</f>
        <v>8.7373999999999993E-3</v>
      </c>
      <c r="AL545" s="91">
        <f>F545*'Part 3 Portfolio Analysis'!$B$121+M545*'Part 3 Portfolio Analysis'!$C$121+'Part 3 Portfolio Analysis'!$D$121*T545+AA545*'Part 3 Portfolio Analysis'!$E$121+'Part 3 Portfolio Analysis'!$F$121*AH545</f>
        <v>3.1700399999999998E-3</v>
      </c>
      <c r="AM545" s="91"/>
      <c r="AN545" s="90">
        <v>45455</v>
      </c>
      <c r="AO545" s="91">
        <v>23344.449219999999</v>
      </c>
      <c r="AP545" s="91">
        <v>23322.949219999999</v>
      </c>
      <c r="AQ545" s="91">
        <v>23322.949219999999</v>
      </c>
      <c r="AR545" s="91">
        <v>295600</v>
      </c>
      <c r="AS545" s="91">
        <v>2.5000000000000001E-3</v>
      </c>
    </row>
    <row r="546" spans="1:45" x14ac:dyDescent="0.55000000000000004">
      <c r="A546" s="90">
        <v>45456</v>
      </c>
      <c r="B546" s="91">
        <v>7151</v>
      </c>
      <c r="C546" s="91">
        <v>7231.0498049999997</v>
      </c>
      <c r="D546" s="91">
        <v>7081.1362300000001</v>
      </c>
      <c r="E546" s="91">
        <v>162140</v>
      </c>
      <c r="F546" s="91">
        <v>1.5599999999999999E-2</v>
      </c>
      <c r="H546" s="90">
        <v>45456</v>
      </c>
      <c r="I546" s="91">
        <v>1472</v>
      </c>
      <c r="J546" s="91">
        <v>1465.25</v>
      </c>
      <c r="K546" s="91">
        <v>1454.484741</v>
      </c>
      <c r="L546" s="91">
        <v>9181160</v>
      </c>
      <c r="M546" s="91">
        <v>1.2999999999999999E-3</v>
      </c>
      <c r="O546" s="90">
        <v>45456</v>
      </c>
      <c r="P546" s="91">
        <v>790.875</v>
      </c>
      <c r="Q546" s="91">
        <v>790.375</v>
      </c>
      <c r="R546" s="91">
        <v>779.83404540000004</v>
      </c>
      <c r="S546" s="91">
        <v>24120192</v>
      </c>
      <c r="T546" s="91">
        <v>4.1999999999999997E-3</v>
      </c>
      <c r="V546" s="90">
        <v>45456</v>
      </c>
      <c r="W546" s="91">
        <v>1495</v>
      </c>
      <c r="X546" s="91">
        <v>1493.9499510000001</v>
      </c>
      <c r="Y546" s="91">
        <v>1434.6729740000001</v>
      </c>
      <c r="Z546" s="91">
        <v>7307565</v>
      </c>
      <c r="AA546" s="91">
        <v>5.8999999999999999E-3</v>
      </c>
      <c r="AB546" s="91"/>
      <c r="AC546" s="90">
        <v>45456</v>
      </c>
      <c r="AD546" s="91">
        <v>5188</v>
      </c>
      <c r="AE546" s="91">
        <v>5023.8500979999999</v>
      </c>
      <c r="AF546" s="91">
        <v>5019.5014650000003</v>
      </c>
      <c r="AG546" s="91">
        <v>932377</v>
      </c>
      <c r="AH546" s="91">
        <v>-8.0000000000000004E-4</v>
      </c>
      <c r="AI546" s="91"/>
      <c r="AJ546" s="91">
        <f>(F546*'Part 3 Portfolio Analysis'!$B$8+M546*'Part 3 Portfolio Analysis'!$C$8+T546*'Part 3 Portfolio Analysis'!$D$8+AA546*'Part 3 Portfolio Analysis'!$E$8+AH546*'Part 3 Portfolio Analysis'!$F$8)/100</f>
        <v>6.7935266994770382E-3</v>
      </c>
      <c r="AK546" s="91">
        <f>'Part 3 Portfolio Analysis'!$B$107*F546+M546*'Part 3 Portfolio Analysis'!$C$107+T546*'Part 3 Portfolio Analysis'!$D$107+AA546*'Part 3 Portfolio Analysis'!$E$107+AH546*'Part 3 Portfolio Analysis'!$F$107</f>
        <v>4.2542999999999999E-3</v>
      </c>
      <c r="AL546" s="91">
        <f>F546*'Part 3 Portfolio Analysis'!$B$121+M546*'Part 3 Portfolio Analysis'!$C$121+'Part 3 Portfolio Analysis'!$D$121*T546+AA546*'Part 3 Portfolio Analysis'!$E$121+'Part 3 Portfolio Analysis'!$F$121*AH546</f>
        <v>4.1292399999999993E-3</v>
      </c>
      <c r="AM546" s="91"/>
      <c r="AN546" s="90">
        <v>45456</v>
      </c>
      <c r="AO546" s="91">
        <v>23480.949219999999</v>
      </c>
      <c r="AP546" s="91">
        <v>23398.900389999999</v>
      </c>
      <c r="AQ546" s="91">
        <v>23398.900389999999</v>
      </c>
      <c r="AR546" s="91">
        <v>268300</v>
      </c>
      <c r="AS546" s="91">
        <v>3.3E-3</v>
      </c>
    </row>
    <row r="547" spans="1:45" x14ac:dyDescent="0.55000000000000004">
      <c r="A547" s="90">
        <v>45457</v>
      </c>
      <c r="B547" s="91">
        <v>7260</v>
      </c>
      <c r="C547" s="91">
        <v>7268</v>
      </c>
      <c r="D547" s="91">
        <v>7117.3203130000002</v>
      </c>
      <c r="E547" s="91">
        <v>168944</v>
      </c>
      <c r="F547" s="91">
        <v>5.1000000000000004E-3</v>
      </c>
      <c r="H547" s="90">
        <v>45457</v>
      </c>
      <c r="I547" s="91">
        <v>1470</v>
      </c>
      <c r="J547" s="91">
        <v>1477.5500489999999</v>
      </c>
      <c r="K547" s="91">
        <v>1466.6944579999999</v>
      </c>
      <c r="L547" s="91">
        <v>8157998</v>
      </c>
      <c r="M547" s="91">
        <v>8.3999999999999995E-3</v>
      </c>
      <c r="O547" s="90">
        <v>45457</v>
      </c>
      <c r="P547" s="91">
        <v>792</v>
      </c>
      <c r="Q547" s="91">
        <v>798.45001219999995</v>
      </c>
      <c r="R547" s="91">
        <v>787.80133060000003</v>
      </c>
      <c r="S547" s="91">
        <v>25540554</v>
      </c>
      <c r="T547" s="91">
        <v>1.0200000000000001E-2</v>
      </c>
      <c r="V547" s="90">
        <v>45457</v>
      </c>
      <c r="W547" s="91">
        <v>1503.6999510000001</v>
      </c>
      <c r="X547" s="91">
        <v>1488.900024</v>
      </c>
      <c r="Y547" s="91">
        <v>1429.8233640000001</v>
      </c>
      <c r="Z547" s="91">
        <v>4237727</v>
      </c>
      <c r="AA547" s="91">
        <v>-3.3999999999999998E-3</v>
      </c>
      <c r="AB547" s="91"/>
      <c r="AC547" s="90">
        <v>45457</v>
      </c>
      <c r="AD547" s="91">
        <v>5050.0498049999997</v>
      </c>
      <c r="AE547" s="91">
        <v>5245.5498049999997</v>
      </c>
      <c r="AF547" s="91">
        <v>5241.0092770000001</v>
      </c>
      <c r="AG547" s="91">
        <v>1424125</v>
      </c>
      <c r="AH547" s="91">
        <v>4.41E-2</v>
      </c>
      <c r="AI547" s="91"/>
      <c r="AJ547" s="91">
        <f>(F547*'Part 3 Portfolio Analysis'!$B$8+M547*'Part 3 Portfolio Analysis'!$C$8+T547*'Part 3 Portfolio Analysis'!$D$8+AA547*'Part 3 Portfolio Analysis'!$E$8+AH547*'Part 3 Portfolio Analysis'!$F$8)/100</f>
        <v>6.1601641419535402E-3</v>
      </c>
      <c r="AK547" s="91">
        <f>'Part 3 Portfolio Analysis'!$B$107*F547+M547*'Part 3 Portfolio Analysis'!$C$107+T547*'Part 3 Portfolio Analysis'!$D$107+AA547*'Part 3 Portfolio Analysis'!$E$107+AH547*'Part 3 Portfolio Analysis'!$F$107</f>
        <v>1.59014E-2</v>
      </c>
      <c r="AL547" s="91">
        <f>F547*'Part 3 Portfolio Analysis'!$B$121+M547*'Part 3 Portfolio Analysis'!$C$121+'Part 3 Portfolio Analysis'!$D$121*T547+AA547*'Part 3 Portfolio Analysis'!$E$121+'Part 3 Portfolio Analysis'!$F$121*AH547</f>
        <v>7.19368E-3</v>
      </c>
      <c r="AM547" s="91"/>
      <c r="AN547" s="90">
        <v>45457</v>
      </c>
      <c r="AO547" s="91">
        <v>23464.949219999999</v>
      </c>
      <c r="AP547" s="91">
        <v>23465.599610000001</v>
      </c>
      <c r="AQ547" s="91">
        <v>23465.599610000001</v>
      </c>
      <c r="AR547" s="91">
        <v>223100</v>
      </c>
      <c r="AS547" s="91">
        <v>2.8999999999999998E-3</v>
      </c>
    </row>
    <row r="548" spans="1:45" x14ac:dyDescent="0.55000000000000004">
      <c r="A548" s="90">
        <v>45461</v>
      </c>
      <c r="B548" s="91">
        <v>7327.25</v>
      </c>
      <c r="C548" s="91">
        <v>7289.7001950000003</v>
      </c>
      <c r="D548" s="91">
        <v>7138.5703130000002</v>
      </c>
      <c r="E548" s="91">
        <v>94020</v>
      </c>
      <c r="F548" s="91">
        <v>3.0000000000000001E-3</v>
      </c>
      <c r="H548" s="90">
        <v>45461</v>
      </c>
      <c r="I548" s="91">
        <v>1487.349976</v>
      </c>
      <c r="J548" s="91">
        <v>1481.025024</v>
      </c>
      <c r="K548" s="91">
        <v>1470.1439210000001</v>
      </c>
      <c r="L548" s="91">
        <v>7196766</v>
      </c>
      <c r="M548" s="91">
        <v>2.3999999999999998E-3</v>
      </c>
      <c r="O548" s="90">
        <v>45461</v>
      </c>
      <c r="P548" s="91">
        <v>798.45001219999995</v>
      </c>
      <c r="Q548" s="91">
        <v>803.90002440000001</v>
      </c>
      <c r="R548" s="91">
        <v>793.17858890000002</v>
      </c>
      <c r="S548" s="91">
        <v>32415714</v>
      </c>
      <c r="T548" s="91">
        <v>6.7999999999999996E-3</v>
      </c>
      <c r="V548" s="90">
        <v>45461</v>
      </c>
      <c r="W548" s="91">
        <v>1497</v>
      </c>
      <c r="X548" s="91">
        <v>1498.1999510000001</v>
      </c>
      <c r="Y548" s="91">
        <v>1438.7542719999999</v>
      </c>
      <c r="Z548" s="91">
        <v>5420939</v>
      </c>
      <c r="AA548" s="91">
        <v>6.1999999999999998E-3</v>
      </c>
      <c r="AB548" s="91"/>
      <c r="AC548" s="90">
        <v>45461</v>
      </c>
      <c r="AD548" s="91">
        <v>5299</v>
      </c>
      <c r="AE548" s="91">
        <v>5357.6000979999999</v>
      </c>
      <c r="AF548" s="91">
        <v>5352.9628910000001</v>
      </c>
      <c r="AG548" s="91">
        <v>1247457</v>
      </c>
      <c r="AH548" s="91">
        <v>2.1399999999999999E-2</v>
      </c>
      <c r="AI548" s="91"/>
      <c r="AJ548" s="91">
        <f>(F548*'Part 3 Portfolio Analysis'!$B$8+M548*'Part 3 Portfolio Analysis'!$C$8+T548*'Part 3 Portfolio Analysis'!$D$8+AA548*'Part 3 Portfolio Analysis'!$E$8+AH548*'Part 3 Portfolio Analysis'!$F$8)/100</f>
        <v>4.1112217867848889E-3</v>
      </c>
      <c r="AK548" s="91">
        <f>'Part 3 Portfolio Analysis'!$B$107*F548+M548*'Part 3 Portfolio Analysis'!$C$107+T548*'Part 3 Portfolio Analysis'!$D$107+AA548*'Part 3 Portfolio Analysis'!$E$107+AH548*'Part 3 Portfolio Analysis'!$F$107</f>
        <v>8.3579999999999991E-3</v>
      </c>
      <c r="AL548" s="91">
        <f>F548*'Part 3 Portfolio Analysis'!$B$121+M548*'Part 3 Portfolio Analysis'!$C$121+'Part 3 Portfolio Analysis'!$D$121*T548+AA548*'Part 3 Portfolio Analysis'!$E$121+'Part 3 Portfolio Analysis'!$F$121*AH548</f>
        <v>4.90392E-3</v>
      </c>
      <c r="AM548" s="91"/>
      <c r="AN548" s="90">
        <v>45461</v>
      </c>
      <c r="AO548" s="91">
        <v>23570.800780000001</v>
      </c>
      <c r="AP548" s="91">
        <v>23557.900389999999</v>
      </c>
      <c r="AQ548" s="91">
        <v>23557.900389999999</v>
      </c>
      <c r="AR548" s="91">
        <v>272200</v>
      </c>
      <c r="AS548" s="91">
        <v>3.8999999999999998E-3</v>
      </c>
    </row>
    <row r="549" spans="1:45" x14ac:dyDescent="0.55000000000000004">
      <c r="A549" s="90">
        <v>45462</v>
      </c>
      <c r="B549" s="91">
        <v>7290</v>
      </c>
      <c r="C549" s="91">
        <v>7244.7998049999997</v>
      </c>
      <c r="D549" s="91">
        <v>7094.6010740000002</v>
      </c>
      <c r="E549" s="91">
        <v>58610</v>
      </c>
      <c r="F549" s="91">
        <v>-6.1999999999999998E-3</v>
      </c>
      <c r="H549" s="90">
        <v>45462</v>
      </c>
      <c r="I549" s="91">
        <v>1487.5</v>
      </c>
      <c r="J549" s="91">
        <v>1458.650024</v>
      </c>
      <c r="K549" s="91">
        <v>1447.9332280000001</v>
      </c>
      <c r="L549" s="91">
        <v>8725874</v>
      </c>
      <c r="M549" s="91">
        <v>-1.5100000000000001E-2</v>
      </c>
      <c r="O549" s="90">
        <v>45462</v>
      </c>
      <c r="P549" s="91">
        <v>806.70001219999995</v>
      </c>
      <c r="Q549" s="91">
        <v>828.92498780000005</v>
      </c>
      <c r="R549" s="91">
        <v>817.86987299999998</v>
      </c>
      <c r="S549" s="91">
        <v>90131196</v>
      </c>
      <c r="T549" s="91">
        <v>3.1099999999999999E-2</v>
      </c>
      <c r="V549" s="90">
        <v>45462</v>
      </c>
      <c r="W549" s="91">
        <v>1505</v>
      </c>
      <c r="X549" s="91">
        <v>1511.349976</v>
      </c>
      <c r="Y549" s="91">
        <v>1451.382568</v>
      </c>
      <c r="Z549" s="91">
        <v>5493456</v>
      </c>
      <c r="AA549" s="91">
        <v>8.8000000000000005E-3</v>
      </c>
      <c r="AB549" s="91"/>
      <c r="AC549" s="90">
        <v>45462</v>
      </c>
      <c r="AD549" s="91">
        <v>5374.9501950000003</v>
      </c>
      <c r="AE549" s="91">
        <v>5356.7998049999997</v>
      </c>
      <c r="AF549" s="91">
        <v>5352.1630859999996</v>
      </c>
      <c r="AG549" s="91">
        <v>707909</v>
      </c>
      <c r="AH549" s="91">
        <v>-1E-4</v>
      </c>
      <c r="AI549" s="91"/>
      <c r="AJ549" s="91">
        <f>(F549*'Part 3 Portfolio Analysis'!$B$8+M549*'Part 3 Portfolio Analysis'!$C$8+T549*'Part 3 Portfolio Analysis'!$D$8+AA549*'Part 3 Portfolio Analysis'!$E$8+AH549*'Part 3 Portfolio Analysis'!$F$8)/100</f>
        <v>-7.3033696746716513E-4</v>
      </c>
      <c r="AK549" s="91">
        <f>'Part 3 Portfolio Analysis'!$B$107*F549+M549*'Part 3 Portfolio Analysis'!$C$107+T549*'Part 3 Portfolio Analysis'!$D$107+AA549*'Part 3 Portfolio Analysis'!$E$107+AH549*'Part 3 Portfolio Analysis'!$F$107</f>
        <v>-1.6699999999999967E-4</v>
      </c>
      <c r="AL549" s="91">
        <f>F549*'Part 3 Portfolio Analysis'!$B$121+M549*'Part 3 Portfolio Analysis'!$C$121+'Part 3 Portfolio Analysis'!$D$121*T549+AA549*'Part 3 Portfolio Analysis'!$E$121+'Part 3 Portfolio Analysis'!$F$121*AH549</f>
        <v>3.37098E-3</v>
      </c>
      <c r="AM549" s="91"/>
      <c r="AN549" s="90">
        <v>45462</v>
      </c>
      <c r="AO549" s="91">
        <v>23629.849610000001</v>
      </c>
      <c r="AP549" s="91">
        <v>23516</v>
      </c>
      <c r="AQ549" s="91">
        <v>23516</v>
      </c>
      <c r="AR549" s="91">
        <v>328800</v>
      </c>
      <c r="AS549" s="91">
        <v>-1.8E-3</v>
      </c>
    </row>
    <row r="550" spans="1:45" x14ac:dyDescent="0.55000000000000004">
      <c r="A550" s="90">
        <v>45463</v>
      </c>
      <c r="B550" s="91">
        <v>7244.0498049999997</v>
      </c>
      <c r="C550" s="91">
        <v>7230.5498049999997</v>
      </c>
      <c r="D550" s="91">
        <v>7080.6464839999999</v>
      </c>
      <c r="E550" s="91">
        <v>68329</v>
      </c>
      <c r="F550" s="91">
        <v>-2E-3</v>
      </c>
      <c r="H550" s="90">
        <v>45463</v>
      </c>
      <c r="I550" s="91">
        <v>1459</v>
      </c>
      <c r="J550" s="91">
        <v>1473.6999510000001</v>
      </c>
      <c r="K550" s="91">
        <v>1462.8725589999999</v>
      </c>
      <c r="L550" s="91">
        <v>16113776</v>
      </c>
      <c r="M550" s="91">
        <v>1.03E-2</v>
      </c>
      <c r="O550" s="90">
        <v>45463</v>
      </c>
      <c r="P550" s="91">
        <v>834.90002440000001</v>
      </c>
      <c r="Q550" s="91">
        <v>834.67498780000005</v>
      </c>
      <c r="R550" s="91">
        <v>823.5431519</v>
      </c>
      <c r="S550" s="91">
        <v>41408742</v>
      </c>
      <c r="T550" s="91">
        <v>6.8999999999999999E-3</v>
      </c>
      <c r="V550" s="90">
        <v>45463</v>
      </c>
      <c r="W550" s="91">
        <v>1516.3000489999999</v>
      </c>
      <c r="X550" s="91">
        <v>1515.400024</v>
      </c>
      <c r="Y550" s="91">
        <v>1455.271851</v>
      </c>
      <c r="Z550" s="91">
        <v>7927010</v>
      </c>
      <c r="AA550" s="91">
        <v>2.7000000000000001E-3</v>
      </c>
      <c r="AB550" s="91"/>
      <c r="AC550" s="90">
        <v>45463</v>
      </c>
      <c r="AD550" s="91">
        <v>5374.8999020000001</v>
      </c>
      <c r="AE550" s="91">
        <v>5337.1499020000001</v>
      </c>
      <c r="AF550" s="91">
        <v>5332.5302730000003</v>
      </c>
      <c r="AG550" s="91">
        <v>516737</v>
      </c>
      <c r="AH550" s="91">
        <v>-3.7000000000000002E-3</v>
      </c>
      <c r="AI550" s="91"/>
      <c r="AJ550" s="91">
        <f>(F550*'Part 3 Portfolio Analysis'!$B$8+M550*'Part 3 Portfolio Analysis'!$C$8+T550*'Part 3 Portfolio Analysis'!$D$8+AA550*'Part 3 Portfolio Analysis'!$E$8+AH550*'Part 3 Portfolio Analysis'!$F$8)/100</f>
        <v>4.6829113320749731E-3</v>
      </c>
      <c r="AK550" s="91">
        <f>'Part 3 Portfolio Analysis'!$B$107*F550+M550*'Part 3 Portfolio Analysis'!$C$107+T550*'Part 3 Portfolio Analysis'!$D$107+AA550*'Part 3 Portfolio Analysis'!$E$107+AH550*'Part 3 Portfolio Analysis'!$F$107</f>
        <v>3.2710000000000005E-3</v>
      </c>
      <c r="AL550" s="91">
        <f>F550*'Part 3 Portfolio Analysis'!$B$121+M550*'Part 3 Portfolio Analysis'!$C$121+'Part 3 Portfolio Analysis'!$D$121*T550+AA550*'Part 3 Portfolio Analysis'!$E$121+'Part 3 Portfolio Analysis'!$F$121*AH550</f>
        <v>6.477339999999999E-3</v>
      </c>
      <c r="AM550" s="91"/>
      <c r="AN550" s="90">
        <v>45463</v>
      </c>
      <c r="AO550" s="91">
        <v>23586.150389999999</v>
      </c>
      <c r="AP550" s="91">
        <v>23567</v>
      </c>
      <c r="AQ550" s="91">
        <v>23567</v>
      </c>
      <c r="AR550" s="91">
        <v>280300</v>
      </c>
      <c r="AS550" s="91">
        <v>2.2000000000000001E-3</v>
      </c>
    </row>
    <row r="551" spans="1:45" x14ac:dyDescent="0.55000000000000004">
      <c r="A551" s="90">
        <v>45464</v>
      </c>
      <c r="B551" s="91">
        <v>7260</v>
      </c>
      <c r="C551" s="91">
        <v>7120.6000979999999</v>
      </c>
      <c r="D551" s="91">
        <v>6972.9760740000002</v>
      </c>
      <c r="E551" s="91">
        <v>173733</v>
      </c>
      <c r="F551" s="91">
        <v>-1.52E-2</v>
      </c>
      <c r="H551" s="90">
        <v>45464</v>
      </c>
      <c r="I551" s="91">
        <v>1473.625</v>
      </c>
      <c r="J551" s="91">
        <v>1454.1999510000001</v>
      </c>
      <c r="K551" s="91">
        <v>1443.5158690000001</v>
      </c>
      <c r="L551" s="91">
        <v>31170360</v>
      </c>
      <c r="M551" s="91">
        <v>-1.32E-2</v>
      </c>
      <c r="O551" s="90">
        <v>45464</v>
      </c>
      <c r="P551" s="91">
        <v>836.42498780000005</v>
      </c>
      <c r="Q551" s="91">
        <v>832.875</v>
      </c>
      <c r="R551" s="91">
        <v>821.76721190000001</v>
      </c>
      <c r="S551" s="91">
        <v>51630776</v>
      </c>
      <c r="T551" s="91">
        <v>-2.2000000000000001E-3</v>
      </c>
      <c r="V551" s="90">
        <v>45464</v>
      </c>
      <c r="W551" s="91">
        <v>1545</v>
      </c>
      <c r="X551" s="91">
        <v>1532.6999510000001</v>
      </c>
      <c r="Y551" s="91">
        <v>1471.8854980000001</v>
      </c>
      <c r="Z551" s="91">
        <v>17301941</v>
      </c>
      <c r="AA551" s="91">
        <v>1.14E-2</v>
      </c>
      <c r="AB551" s="91"/>
      <c r="AC551" s="90">
        <v>45464</v>
      </c>
      <c r="AD551" s="91">
        <v>5337.1499020000001</v>
      </c>
      <c r="AE551" s="91">
        <v>5266.3500979999999</v>
      </c>
      <c r="AF551" s="91">
        <v>5261.7915039999998</v>
      </c>
      <c r="AG551" s="91">
        <v>638917</v>
      </c>
      <c r="AH551" s="91">
        <v>-1.3299999999999999E-2</v>
      </c>
      <c r="AI551" s="91"/>
      <c r="AJ551" s="91">
        <f>(F551*'Part 3 Portfolio Analysis'!$B$8+M551*'Part 3 Portfolio Analysis'!$C$8+T551*'Part 3 Portfolio Analysis'!$D$8+AA551*'Part 3 Portfolio Analysis'!$E$8+AH551*'Part 3 Portfolio Analysis'!$F$8)/100</f>
        <v>-8.007071835535463E-3</v>
      </c>
      <c r="AK551" s="91">
        <f>'Part 3 Portfolio Analysis'!$B$107*F551+M551*'Part 3 Portfolio Analysis'!$C$107+T551*'Part 3 Portfolio Analysis'!$D$107+AA551*'Part 3 Portfolio Analysis'!$E$107+AH551*'Part 3 Portfolio Analysis'!$F$107</f>
        <v>-9.4202000000000001E-3</v>
      </c>
      <c r="AL551" s="91">
        <f>F551*'Part 3 Portfolio Analysis'!$B$121+M551*'Part 3 Portfolio Analysis'!$C$121+'Part 3 Portfolio Analysis'!$D$121*T551+AA551*'Part 3 Portfolio Analysis'!$E$121+'Part 3 Portfolio Analysis'!$F$121*AH551</f>
        <v>-5.4550199999999997E-3</v>
      </c>
      <c r="AM551" s="91"/>
      <c r="AN551" s="90">
        <v>45464</v>
      </c>
      <c r="AO551" s="91">
        <v>23661.150389999999</v>
      </c>
      <c r="AP551" s="91">
        <v>23501.099610000001</v>
      </c>
      <c r="AQ551" s="91">
        <v>23501.099610000001</v>
      </c>
      <c r="AR551" s="91">
        <v>609900</v>
      </c>
      <c r="AS551" s="91">
        <v>-2.8E-3</v>
      </c>
    </row>
    <row r="552" spans="1:45" x14ac:dyDescent="0.55000000000000004">
      <c r="A552" s="90">
        <v>45467</v>
      </c>
      <c r="B552" s="91">
        <v>7161.8999020000001</v>
      </c>
      <c r="C552" s="91">
        <v>7250.7001950000003</v>
      </c>
      <c r="D552" s="91">
        <v>7100.3793949999999</v>
      </c>
      <c r="E552" s="91">
        <v>152443</v>
      </c>
      <c r="F552" s="91">
        <v>1.83E-2</v>
      </c>
      <c r="H552" s="90">
        <v>45467</v>
      </c>
      <c r="I552" s="91">
        <v>1445.525024</v>
      </c>
      <c r="J552" s="91">
        <v>1441.474976</v>
      </c>
      <c r="K552" s="91">
        <v>1430.8842770000001</v>
      </c>
      <c r="L552" s="91">
        <v>8878386</v>
      </c>
      <c r="M552" s="91">
        <v>-8.8000000000000005E-3</v>
      </c>
      <c r="O552" s="90">
        <v>45467</v>
      </c>
      <c r="P552" s="91">
        <v>823.5</v>
      </c>
      <c r="Q552" s="91">
        <v>836.20001219999995</v>
      </c>
      <c r="R552" s="91">
        <v>825.04785159999994</v>
      </c>
      <c r="S552" s="91">
        <v>28544994</v>
      </c>
      <c r="T552" s="91">
        <v>4.0000000000000001E-3</v>
      </c>
      <c r="V552" s="90">
        <v>45467</v>
      </c>
      <c r="W552" s="91">
        <v>1524.5500489999999</v>
      </c>
      <c r="X552" s="91">
        <v>1527.150024</v>
      </c>
      <c r="Y552" s="91">
        <v>1466.555664</v>
      </c>
      <c r="Z552" s="91">
        <v>5564989</v>
      </c>
      <c r="AA552" s="91">
        <v>-3.5999999999999999E-3</v>
      </c>
      <c r="AB552" s="91"/>
      <c r="AC552" s="90">
        <v>45467</v>
      </c>
      <c r="AD552" s="91">
        <v>5266.3500979999999</v>
      </c>
      <c r="AE552" s="91">
        <v>5395.75</v>
      </c>
      <c r="AF552" s="91">
        <v>5391.0795900000003</v>
      </c>
      <c r="AG552" s="91">
        <v>543826</v>
      </c>
      <c r="AH552" s="91">
        <v>2.46E-2</v>
      </c>
      <c r="AI552" s="91"/>
      <c r="AJ552" s="91">
        <f>(F552*'Part 3 Portfolio Analysis'!$B$8+M552*'Part 3 Portfolio Analysis'!$C$8+T552*'Part 3 Portfolio Analysis'!$D$8+AA552*'Part 3 Portfolio Analysis'!$E$8+AH552*'Part 3 Portfolio Analysis'!$F$8)/100</f>
        <v>2.6284952622577552E-3</v>
      </c>
      <c r="AK552" s="91">
        <f>'Part 3 Portfolio Analysis'!$B$107*F552+M552*'Part 3 Portfolio Analysis'!$C$107+T552*'Part 3 Portfolio Analysis'!$D$107+AA552*'Part 3 Portfolio Analysis'!$E$107+AH552*'Part 3 Portfolio Analysis'!$F$107</f>
        <v>6.9987999999999995E-3</v>
      </c>
      <c r="AL552" s="91">
        <f>F552*'Part 3 Portfolio Analysis'!$B$121+M552*'Part 3 Portfolio Analysis'!$C$121+'Part 3 Portfolio Analysis'!$D$121*T552+AA552*'Part 3 Portfolio Analysis'!$E$121+'Part 3 Portfolio Analysis'!$F$121*AH552</f>
        <v>-1.1757E-3</v>
      </c>
      <c r="AM552" s="91"/>
      <c r="AN552" s="90">
        <v>45467</v>
      </c>
      <c r="AO552" s="91">
        <v>23382.300780000001</v>
      </c>
      <c r="AP552" s="91">
        <v>23537.849610000001</v>
      </c>
      <c r="AQ552" s="91">
        <v>23537.849610000001</v>
      </c>
      <c r="AR552" s="91">
        <v>239400</v>
      </c>
      <c r="AS552" s="91">
        <v>1.6000000000000001E-3</v>
      </c>
    </row>
    <row r="553" spans="1:45" x14ac:dyDescent="0.55000000000000004">
      <c r="A553" s="90">
        <v>45468</v>
      </c>
      <c r="B553" s="91">
        <v>7200</v>
      </c>
      <c r="C553" s="91">
        <v>7106.0498049999997</v>
      </c>
      <c r="D553" s="91">
        <v>7026.5634769999997</v>
      </c>
      <c r="E553" s="91">
        <v>153628</v>
      </c>
      <c r="F553" s="91">
        <v>-1.04E-2</v>
      </c>
      <c r="H553" s="90">
        <v>45468</v>
      </c>
      <c r="I553" s="91">
        <v>1443</v>
      </c>
      <c r="J553" s="91">
        <v>1454.150024</v>
      </c>
      <c r="K553" s="91">
        <v>1443.4663089999999</v>
      </c>
      <c r="L553" s="91">
        <v>7045386</v>
      </c>
      <c r="M553" s="91">
        <v>8.8000000000000005E-3</v>
      </c>
      <c r="O553" s="90">
        <v>45468</v>
      </c>
      <c r="P553" s="91">
        <v>835.54998780000005</v>
      </c>
      <c r="Q553" s="91">
        <v>855.67498780000005</v>
      </c>
      <c r="R553" s="91">
        <v>844.26312259999997</v>
      </c>
      <c r="S553" s="91">
        <v>74521548</v>
      </c>
      <c r="T553" s="91">
        <v>2.3300000000000001E-2</v>
      </c>
      <c r="V553" s="90">
        <v>45468</v>
      </c>
      <c r="W553" s="91">
        <v>1526</v>
      </c>
      <c r="X553" s="91">
        <v>1541.9499510000001</v>
      </c>
      <c r="Y553" s="91">
        <v>1480.768433</v>
      </c>
      <c r="Z553" s="91">
        <v>4551525</v>
      </c>
      <c r="AA553" s="91">
        <v>9.7000000000000003E-3</v>
      </c>
      <c r="AB553" s="91"/>
      <c r="AC553" s="90">
        <v>45468</v>
      </c>
      <c r="AD553" s="91">
        <v>5440.5</v>
      </c>
      <c r="AE553" s="91">
        <v>5338.7998049999997</v>
      </c>
      <c r="AF553" s="91">
        <v>5334.1787109999996</v>
      </c>
      <c r="AG553" s="91">
        <v>559045</v>
      </c>
      <c r="AH553" s="91">
        <v>-1.06E-2</v>
      </c>
      <c r="AI553" s="91"/>
      <c r="AJ553" s="91">
        <f>(F553*'Part 3 Portfolio Analysis'!$B$8+M553*'Part 3 Portfolio Analysis'!$C$8+T553*'Part 3 Portfolio Analysis'!$D$8+AA553*'Part 3 Portfolio Analysis'!$E$8+AH553*'Part 3 Portfolio Analysis'!$F$8)/100</f>
        <v>5.4140165911795608E-3</v>
      </c>
      <c r="AK553" s="91">
        <f>'Part 3 Portfolio Analysis'!$B$107*F553+M553*'Part 3 Portfolio Analysis'!$C$107+T553*'Part 3 Portfolio Analysis'!$D$107+AA553*'Part 3 Portfolio Analysis'!$E$107+AH553*'Part 3 Portfolio Analysis'!$F$107</f>
        <v>2.7927000000000008E-3</v>
      </c>
      <c r="AL553" s="91">
        <f>F553*'Part 3 Portfolio Analysis'!$B$121+M553*'Part 3 Portfolio Analysis'!$C$121+'Part 3 Portfolio Analysis'!$D$121*T553+AA553*'Part 3 Portfolio Analysis'!$E$121+'Part 3 Portfolio Analysis'!$F$121*AH553</f>
        <v>1.0837480000000002E-2</v>
      </c>
      <c r="AM553" s="91"/>
      <c r="AN553" s="90">
        <v>45468</v>
      </c>
      <c r="AO553" s="91">
        <v>23577.099610000001</v>
      </c>
      <c r="AP553" s="91">
        <v>23721.300780000001</v>
      </c>
      <c r="AQ553" s="91">
        <v>23721.300780000001</v>
      </c>
      <c r="AR553" s="91">
        <v>298100</v>
      </c>
      <c r="AS553" s="91">
        <v>7.7999999999999996E-3</v>
      </c>
    </row>
    <row r="554" spans="1:45" x14ac:dyDescent="0.55000000000000004">
      <c r="A554" s="90">
        <v>45469</v>
      </c>
      <c r="B554" s="91">
        <v>7106.0498049999997</v>
      </c>
      <c r="C554" s="91">
        <v>7089.8999020000001</v>
      </c>
      <c r="D554" s="91">
        <v>7010.5942379999997</v>
      </c>
      <c r="E554" s="91">
        <v>67695</v>
      </c>
      <c r="F554" s="91">
        <v>-2.3E-3</v>
      </c>
      <c r="H554" s="90">
        <v>45469</v>
      </c>
      <c r="I554" s="91">
        <v>1446.0500489999999</v>
      </c>
      <c r="J554" s="91">
        <v>1514.025024</v>
      </c>
      <c r="K554" s="91">
        <v>1502.9013669999999</v>
      </c>
      <c r="L554" s="91">
        <v>22014882</v>
      </c>
      <c r="M554" s="91">
        <v>4.1200000000000001E-2</v>
      </c>
      <c r="O554" s="90">
        <v>45469</v>
      </c>
      <c r="P554" s="91">
        <v>853.97497559999999</v>
      </c>
      <c r="Q554" s="91">
        <v>850.75</v>
      </c>
      <c r="R554" s="91">
        <v>839.40380860000005</v>
      </c>
      <c r="S554" s="91">
        <v>47596666</v>
      </c>
      <c r="T554" s="91">
        <v>-5.7999999999999996E-3</v>
      </c>
      <c r="V554" s="90">
        <v>45469</v>
      </c>
      <c r="W554" s="91">
        <v>1541</v>
      </c>
      <c r="X554" s="91">
        <v>1540.6999510000001</v>
      </c>
      <c r="Y554" s="91">
        <v>1479.567871</v>
      </c>
      <c r="Z554" s="91">
        <v>4851004</v>
      </c>
      <c r="AA554" s="91">
        <v>-8.0000000000000004E-4</v>
      </c>
      <c r="AB554" s="91"/>
      <c r="AC554" s="90">
        <v>45469</v>
      </c>
      <c r="AD554" s="91">
        <v>5345</v>
      </c>
      <c r="AE554" s="91">
        <v>5363.7998049999997</v>
      </c>
      <c r="AF554" s="91">
        <v>5359.1572269999997</v>
      </c>
      <c r="AG554" s="91">
        <v>578724</v>
      </c>
      <c r="AH554" s="91">
        <v>4.7000000000000002E-3</v>
      </c>
      <c r="AI554" s="91"/>
      <c r="AJ554" s="91">
        <f>(F554*'Part 3 Portfolio Analysis'!$B$8+M554*'Part 3 Portfolio Analysis'!$C$8+T554*'Part 3 Portfolio Analysis'!$D$8+AA554*'Part 3 Portfolio Analysis'!$E$8+AH554*'Part 3 Portfolio Analysis'!$F$8)/100</f>
        <v>1.3193856860753535E-2</v>
      </c>
      <c r="AK554" s="91">
        <f>'Part 3 Portfolio Analysis'!$B$107*F554+M554*'Part 3 Portfolio Analysis'!$C$107+T554*'Part 3 Portfolio Analysis'!$D$107+AA554*'Part 3 Portfolio Analysis'!$E$107+AH554*'Part 3 Portfolio Analysis'!$F$107</f>
        <v>1.2687E-2</v>
      </c>
      <c r="AL554" s="91">
        <f>F554*'Part 3 Portfolio Analysis'!$B$121+M554*'Part 3 Portfolio Analysis'!$C$121+'Part 3 Portfolio Analysis'!$D$121*T554+AA554*'Part 3 Portfolio Analysis'!$E$121+'Part 3 Portfolio Analysis'!$F$121*AH554</f>
        <v>1.5484E-2</v>
      </c>
      <c r="AM554" s="91"/>
      <c r="AN554" s="90">
        <v>45469</v>
      </c>
      <c r="AO554" s="91">
        <v>23723.099610000001</v>
      </c>
      <c r="AP554" s="91">
        <v>23868.800780000001</v>
      </c>
      <c r="AQ554" s="91">
        <v>23868.800780000001</v>
      </c>
      <c r="AR554" s="91">
        <v>287800</v>
      </c>
      <c r="AS554" s="91">
        <v>6.1999999999999998E-3</v>
      </c>
    </row>
    <row r="555" spans="1:45" x14ac:dyDescent="0.55000000000000004">
      <c r="A555" s="90">
        <v>45470</v>
      </c>
      <c r="B555" s="91">
        <v>7095.0498049999997</v>
      </c>
      <c r="C555" s="91">
        <v>6997.5498049999997</v>
      </c>
      <c r="D555" s="91">
        <v>6919.2773440000001</v>
      </c>
      <c r="E555" s="91">
        <v>235708</v>
      </c>
      <c r="F555" s="91">
        <v>-1.2999999999999999E-2</v>
      </c>
      <c r="H555" s="90">
        <v>45470</v>
      </c>
      <c r="I555" s="91">
        <v>1513.75</v>
      </c>
      <c r="J555" s="91">
        <v>1530.5500489999999</v>
      </c>
      <c r="K555" s="91">
        <v>1519.3050539999999</v>
      </c>
      <c r="L555" s="91">
        <v>28383030</v>
      </c>
      <c r="M555" s="91">
        <v>1.09E-2</v>
      </c>
      <c r="O555" s="90">
        <v>45470</v>
      </c>
      <c r="P555" s="91">
        <v>848.04998780000005</v>
      </c>
      <c r="Q555" s="91">
        <v>848.07501219999995</v>
      </c>
      <c r="R555" s="91">
        <v>836.76446529999998</v>
      </c>
      <c r="S555" s="91">
        <v>55074650</v>
      </c>
      <c r="T555" s="91">
        <v>-3.0999999999999999E-3</v>
      </c>
      <c r="V555" s="90">
        <v>45470</v>
      </c>
      <c r="W555" s="91">
        <v>1538.4499510000001</v>
      </c>
      <c r="X555" s="91">
        <v>1573.349976</v>
      </c>
      <c r="Y555" s="91">
        <v>1510.9224850000001</v>
      </c>
      <c r="Z555" s="91">
        <v>14757754</v>
      </c>
      <c r="AA555" s="91">
        <v>2.12E-2</v>
      </c>
      <c r="AB555" s="91"/>
      <c r="AC555" s="90">
        <v>45470</v>
      </c>
      <c r="AD555" s="91">
        <v>5360</v>
      </c>
      <c r="AE555" s="91">
        <v>5329</v>
      </c>
      <c r="AF555" s="91">
        <v>5324.3872069999998</v>
      </c>
      <c r="AG555" s="91">
        <v>900729</v>
      </c>
      <c r="AH555" s="91">
        <v>-6.4999999999999997E-3</v>
      </c>
      <c r="AI555" s="91"/>
      <c r="AJ555" s="91">
        <f>(F555*'Part 3 Portfolio Analysis'!$B$8+M555*'Part 3 Portfolio Analysis'!$C$8+T555*'Part 3 Portfolio Analysis'!$D$8+AA555*'Part 3 Portfolio Analysis'!$E$8+AH555*'Part 3 Portfolio Analysis'!$F$8)/100</f>
        <v>2.8821773794422238E-3</v>
      </c>
      <c r="AK555" s="91">
        <f>'Part 3 Portfolio Analysis'!$B$107*F555+M555*'Part 3 Portfolio Analysis'!$C$107+T555*'Part 3 Portfolio Analysis'!$D$107+AA555*'Part 3 Portfolio Analysis'!$E$107+AH555*'Part 3 Portfolio Analysis'!$F$107</f>
        <v>1.0732000000000005E-3</v>
      </c>
      <c r="AL555" s="91">
        <f>F555*'Part 3 Portfolio Analysis'!$B$121+M555*'Part 3 Portfolio Analysis'!$C$121+'Part 3 Portfolio Analysis'!$D$121*T555+AA555*'Part 3 Portfolio Analysis'!$E$121+'Part 3 Portfolio Analysis'!$F$121*AH555</f>
        <v>6.7315399999999994E-3</v>
      </c>
      <c r="AM555" s="91"/>
      <c r="AN555" s="90">
        <v>45470</v>
      </c>
      <c r="AO555" s="91">
        <v>23881.550780000001</v>
      </c>
      <c r="AP555" s="91">
        <v>24044.5</v>
      </c>
      <c r="AQ555" s="91">
        <v>24044.5</v>
      </c>
      <c r="AR555" s="91">
        <v>515200</v>
      </c>
      <c r="AS555" s="91">
        <v>7.4000000000000003E-3</v>
      </c>
    </row>
    <row r="556" spans="1:45" x14ac:dyDescent="0.55000000000000004">
      <c r="A556" s="90">
        <v>45471</v>
      </c>
      <c r="B556" s="91">
        <v>7045.9501950000003</v>
      </c>
      <c r="C556" s="91">
        <v>7001.3999020000001</v>
      </c>
      <c r="D556" s="91">
        <v>6923.0844729999999</v>
      </c>
      <c r="E556" s="91">
        <v>104106</v>
      </c>
      <c r="F556" s="91">
        <v>5.9999999999999995E-4</v>
      </c>
      <c r="H556" s="90">
        <v>45471</v>
      </c>
      <c r="I556" s="91">
        <v>1531.025024</v>
      </c>
      <c r="J556" s="91">
        <v>1565.400024</v>
      </c>
      <c r="K556" s="91">
        <v>1553.8989260000001</v>
      </c>
      <c r="L556" s="91">
        <v>28957336</v>
      </c>
      <c r="M556" s="91">
        <v>2.2800000000000001E-2</v>
      </c>
      <c r="O556" s="90">
        <v>45471</v>
      </c>
      <c r="P556" s="91">
        <v>848.79998780000005</v>
      </c>
      <c r="Q556" s="91">
        <v>841.90002440000001</v>
      </c>
      <c r="R556" s="91">
        <v>830.671875</v>
      </c>
      <c r="S556" s="91">
        <v>26476046</v>
      </c>
      <c r="T556" s="91">
        <v>-7.3000000000000001E-3</v>
      </c>
      <c r="V556" s="90">
        <v>45471</v>
      </c>
      <c r="W556" s="91">
        <v>1572.5500489999999</v>
      </c>
      <c r="X556" s="91">
        <v>1566.75</v>
      </c>
      <c r="Y556" s="91">
        <v>1504.584351</v>
      </c>
      <c r="Z556" s="91">
        <v>8197544</v>
      </c>
      <c r="AA556" s="91">
        <v>-4.1999999999999997E-3</v>
      </c>
      <c r="AB556" s="91"/>
      <c r="AC556" s="90">
        <v>45471</v>
      </c>
      <c r="AD556" s="91">
        <v>5360</v>
      </c>
      <c r="AE556" s="91">
        <v>5479.8500979999999</v>
      </c>
      <c r="AF556" s="91">
        <v>5475.1069340000004</v>
      </c>
      <c r="AG556" s="91">
        <v>970080</v>
      </c>
      <c r="AH556" s="91">
        <v>2.8299999999999999E-2</v>
      </c>
      <c r="AI556" s="91"/>
      <c r="AJ556" s="91">
        <f>(F556*'Part 3 Portfolio Analysis'!$B$8+M556*'Part 3 Portfolio Analysis'!$C$8+T556*'Part 3 Portfolio Analysis'!$D$8+AA556*'Part 3 Portfolio Analysis'!$E$8+AH556*'Part 3 Portfolio Analysis'!$F$8)/100</f>
        <v>6.8274861122614603E-3</v>
      </c>
      <c r="AK556" s="91">
        <f>'Part 3 Portfolio Analysis'!$B$107*F556+M556*'Part 3 Portfolio Analysis'!$C$107+T556*'Part 3 Portfolio Analysis'!$D$107+AA556*'Part 3 Portfolio Analysis'!$E$107+AH556*'Part 3 Portfolio Analysis'!$F$107</f>
        <v>1.2824499999999999E-2</v>
      </c>
      <c r="AL556" s="91">
        <f>F556*'Part 3 Portfolio Analysis'!$B$121+M556*'Part 3 Portfolio Analysis'!$C$121+'Part 3 Portfolio Analysis'!$D$121*T556+AA556*'Part 3 Portfolio Analysis'!$E$121+'Part 3 Portfolio Analysis'!$F$121*AH556</f>
        <v>7.5320599999999993E-3</v>
      </c>
      <c r="AM556" s="91"/>
      <c r="AN556" s="90">
        <v>45471</v>
      </c>
      <c r="AO556" s="91">
        <v>24085.900389999999</v>
      </c>
      <c r="AP556" s="91">
        <v>24010.599610000001</v>
      </c>
      <c r="AQ556" s="91">
        <v>24010.599610000001</v>
      </c>
      <c r="AR556" s="91">
        <v>354800</v>
      </c>
      <c r="AS556" s="91">
        <v>-1.4E-3</v>
      </c>
    </row>
    <row r="557" spans="1:45" x14ac:dyDescent="0.55000000000000004">
      <c r="A557" s="90">
        <v>45474</v>
      </c>
      <c r="B557" s="91">
        <v>7001.3999020000001</v>
      </c>
      <c r="C557" s="91">
        <v>7072.9501950000003</v>
      </c>
      <c r="D557" s="91">
        <v>6993.8344729999999</v>
      </c>
      <c r="E557" s="91">
        <v>93997</v>
      </c>
      <c r="F557" s="91">
        <v>1.0200000000000001E-2</v>
      </c>
      <c r="H557" s="90">
        <v>45474</v>
      </c>
      <c r="I557" s="91">
        <v>1562.525024</v>
      </c>
      <c r="J557" s="91">
        <v>1560.150024</v>
      </c>
      <c r="K557" s="91">
        <v>1548.6875</v>
      </c>
      <c r="L557" s="91">
        <v>7724306</v>
      </c>
      <c r="M557" s="91">
        <v>-3.3999999999999998E-3</v>
      </c>
      <c r="O557" s="90">
        <v>45474</v>
      </c>
      <c r="P557" s="91">
        <v>840</v>
      </c>
      <c r="Q557" s="91">
        <v>852.59997559999999</v>
      </c>
      <c r="R557" s="91">
        <v>841.22906490000003</v>
      </c>
      <c r="S557" s="91">
        <v>21187024</v>
      </c>
      <c r="T557" s="91">
        <v>1.2699999999999999E-2</v>
      </c>
      <c r="V557" s="90">
        <v>45474</v>
      </c>
      <c r="W557" s="91">
        <v>1559.5</v>
      </c>
      <c r="X557" s="91">
        <v>1590.8000489999999</v>
      </c>
      <c r="Y557" s="91">
        <v>1527.680298</v>
      </c>
      <c r="Z557" s="91">
        <v>6801771</v>
      </c>
      <c r="AA557" s="91">
        <v>1.54E-2</v>
      </c>
      <c r="AB557" s="91"/>
      <c r="AC557" s="90">
        <v>45474</v>
      </c>
      <c r="AD557" s="91">
        <v>5500</v>
      </c>
      <c r="AE557" s="91">
        <v>5515.6499020000001</v>
      </c>
      <c r="AF557" s="91">
        <v>5510.8754879999997</v>
      </c>
      <c r="AG557" s="91">
        <v>544030</v>
      </c>
      <c r="AH557" s="91">
        <v>6.4999999999999997E-3</v>
      </c>
      <c r="AI557" s="91"/>
      <c r="AJ557" s="91">
        <f>(F557*'Part 3 Portfolio Analysis'!$B$8+M557*'Part 3 Portfolio Analysis'!$C$8+T557*'Part 3 Portfolio Analysis'!$D$8+AA557*'Part 3 Portfolio Analysis'!$E$8+AH557*'Part 3 Portfolio Analysis'!$F$8)/100</f>
        <v>6.4879941993353663E-3</v>
      </c>
      <c r="AK557" s="91">
        <f>'Part 3 Portfolio Analysis'!$B$107*F557+M557*'Part 3 Portfolio Analysis'!$C$107+T557*'Part 3 Portfolio Analysis'!$D$107+AA557*'Part 3 Portfolio Analysis'!$E$107+AH557*'Part 3 Portfolio Analysis'!$F$107</f>
        <v>5.9182999999999996E-3</v>
      </c>
      <c r="AL557" s="91">
        <f>F557*'Part 3 Portfolio Analysis'!$B$121+M557*'Part 3 Portfolio Analysis'!$C$121+'Part 3 Portfolio Analysis'!$D$121*T557+AA557*'Part 3 Portfolio Analysis'!$E$121+'Part 3 Portfolio Analysis'!$F$121*AH557</f>
        <v>6.1165000000000004E-3</v>
      </c>
      <c r="AM557" s="91"/>
      <c r="AN557" s="90">
        <v>45474</v>
      </c>
      <c r="AO557" s="91">
        <v>23992.949219999999</v>
      </c>
      <c r="AP557" s="91">
        <v>24141.949219999999</v>
      </c>
      <c r="AQ557" s="91">
        <v>24141.949219999999</v>
      </c>
      <c r="AR557" s="91">
        <v>0</v>
      </c>
      <c r="AS557" s="91">
        <v>5.4999999999999997E-3</v>
      </c>
    </row>
    <row r="558" spans="1:45" x14ac:dyDescent="0.55000000000000004">
      <c r="A558" s="90">
        <v>45475</v>
      </c>
      <c r="B558" s="91">
        <v>7100</v>
      </c>
      <c r="C558" s="91">
        <v>7057.75</v>
      </c>
      <c r="D558" s="91">
        <v>6978.8041990000002</v>
      </c>
      <c r="E558" s="91">
        <v>69081</v>
      </c>
      <c r="F558" s="91">
        <v>-2.0999999999999999E-3</v>
      </c>
      <c r="H558" s="90">
        <v>45475</v>
      </c>
      <c r="I558" s="91">
        <v>1569.5</v>
      </c>
      <c r="J558" s="91">
        <v>1565.1750489999999</v>
      </c>
      <c r="K558" s="91">
        <v>1553.6755370000001</v>
      </c>
      <c r="L558" s="91">
        <v>7749246</v>
      </c>
      <c r="M558" s="91">
        <v>3.2000000000000002E-3</v>
      </c>
      <c r="O558" s="90">
        <v>45475</v>
      </c>
      <c r="P558" s="91">
        <v>857.5</v>
      </c>
      <c r="Q558" s="91">
        <v>865.29998780000005</v>
      </c>
      <c r="R558" s="91">
        <v>853.75970459999996</v>
      </c>
      <c r="S558" s="91">
        <v>45921690</v>
      </c>
      <c r="T558" s="91">
        <v>1.49E-2</v>
      </c>
      <c r="V558" s="90">
        <v>45475</v>
      </c>
      <c r="W558" s="91">
        <v>1596.1999510000001</v>
      </c>
      <c r="X558" s="91">
        <v>1621.0500489999999</v>
      </c>
      <c r="Y558" s="91">
        <v>1556.7299800000001</v>
      </c>
      <c r="Z558" s="91">
        <v>10493173</v>
      </c>
      <c r="AA558" s="91">
        <v>1.9E-2</v>
      </c>
      <c r="AB558" s="91"/>
      <c r="AC558" s="90">
        <v>45475</v>
      </c>
      <c r="AD558" s="91">
        <v>5515</v>
      </c>
      <c r="AE558" s="91">
        <v>5535.8999020000001</v>
      </c>
      <c r="AF558" s="91">
        <v>5531.1079099999997</v>
      </c>
      <c r="AG558" s="91">
        <v>428098</v>
      </c>
      <c r="AH558" s="91">
        <v>3.7000000000000002E-3</v>
      </c>
      <c r="AI558" s="91"/>
      <c r="AJ558" s="91">
        <f>(F558*'Part 3 Portfolio Analysis'!$B$8+M558*'Part 3 Portfolio Analysis'!$C$8+T558*'Part 3 Portfolio Analysis'!$D$8+AA558*'Part 3 Portfolio Analysis'!$E$8+AH558*'Part 3 Portfolio Analysis'!$F$8)/100</f>
        <v>6.1093457977875517E-3</v>
      </c>
      <c r="AK558" s="91">
        <f>'Part 3 Portfolio Analysis'!$B$107*F558+M558*'Part 3 Portfolio Analysis'!$C$107+T558*'Part 3 Portfolio Analysis'!$D$107+AA558*'Part 3 Portfolio Analysis'!$E$107+AH558*'Part 3 Portfolio Analysis'!$F$107</f>
        <v>5.7654999999999998E-3</v>
      </c>
      <c r="AL558" s="91">
        <f>F558*'Part 3 Portfolio Analysis'!$B$121+M558*'Part 3 Portfolio Analysis'!$C$121+'Part 3 Portfolio Analysis'!$D$121*T558+AA558*'Part 3 Portfolio Analysis'!$E$121+'Part 3 Portfolio Analysis'!$F$121*AH558</f>
        <v>9.1198400000000006E-3</v>
      </c>
      <c r="AM558" s="91"/>
      <c r="AN558" s="90">
        <v>45475</v>
      </c>
      <c r="AO558" s="91">
        <v>24228.75</v>
      </c>
      <c r="AP558" s="91">
        <v>24123.849610000001</v>
      </c>
      <c r="AQ558" s="91">
        <v>24123.849610000001</v>
      </c>
      <c r="AR558" s="91">
        <v>0</v>
      </c>
      <c r="AS558" s="91">
        <v>-6.9999999999999999E-4</v>
      </c>
    </row>
    <row r="559" spans="1:45" x14ac:dyDescent="0.55000000000000004">
      <c r="A559" s="90">
        <v>45476</v>
      </c>
      <c r="B559" s="91">
        <v>7071.7998049999997</v>
      </c>
      <c r="C559" s="91">
        <v>7096.1499020000001</v>
      </c>
      <c r="D559" s="91">
        <v>7016.7744140000004</v>
      </c>
      <c r="E559" s="91">
        <v>86404</v>
      </c>
      <c r="F559" s="91">
        <v>5.4000000000000003E-3</v>
      </c>
      <c r="H559" s="90">
        <v>45476</v>
      </c>
      <c r="I559" s="91">
        <v>1566.3249510000001</v>
      </c>
      <c r="J559" s="91">
        <v>1552.4250489999999</v>
      </c>
      <c r="K559" s="91">
        <v>1541.0192870000001</v>
      </c>
      <c r="L559" s="91">
        <v>9049620</v>
      </c>
      <c r="M559" s="91">
        <v>-8.0999999999999996E-3</v>
      </c>
      <c r="O559" s="90">
        <v>45476</v>
      </c>
      <c r="P559" s="91">
        <v>895.5</v>
      </c>
      <c r="Q559" s="91">
        <v>884.32501219999995</v>
      </c>
      <c r="R559" s="91">
        <v>872.53100589999997</v>
      </c>
      <c r="S559" s="91">
        <v>123217802</v>
      </c>
      <c r="T559" s="91">
        <v>2.1999999999999999E-2</v>
      </c>
      <c r="V559" s="90">
        <v>45476</v>
      </c>
      <c r="W559" s="91">
        <v>1625</v>
      </c>
      <c r="X559" s="91">
        <v>1627.400024</v>
      </c>
      <c r="Y559" s="91">
        <v>1562.8280030000001</v>
      </c>
      <c r="Z559" s="91">
        <v>7269965</v>
      </c>
      <c r="AA559" s="91">
        <v>3.8999999999999998E-3</v>
      </c>
      <c r="AB559" s="91"/>
      <c r="AC559" s="90">
        <v>45476</v>
      </c>
      <c r="AD559" s="91">
        <v>5560</v>
      </c>
      <c r="AE559" s="91">
        <v>5494.1000979999999</v>
      </c>
      <c r="AF559" s="91">
        <v>5489.3447269999997</v>
      </c>
      <c r="AG559" s="91">
        <v>355297</v>
      </c>
      <c r="AH559" s="91">
        <v>-7.6E-3</v>
      </c>
      <c r="AI559" s="91"/>
      <c r="AJ559" s="91">
        <f>(F559*'Part 3 Portfolio Analysis'!$B$8+M559*'Part 3 Portfolio Analysis'!$C$8+T559*'Part 3 Portfolio Analysis'!$D$8+AA559*'Part 3 Portfolio Analysis'!$E$8+AH559*'Part 3 Portfolio Analysis'!$F$8)/100</f>
        <v>2.9071519201623957E-3</v>
      </c>
      <c r="AK559" s="91">
        <f>'Part 3 Portfolio Analysis'!$B$107*F559+M559*'Part 3 Portfolio Analysis'!$C$107+T559*'Part 3 Portfolio Analysis'!$D$107+AA559*'Part 3 Portfolio Analysis'!$E$107+AH559*'Part 3 Portfolio Analysis'!$F$107</f>
        <v>3.2149999999999995E-4</v>
      </c>
      <c r="AL559" s="91">
        <f>F559*'Part 3 Portfolio Analysis'!$B$121+M559*'Part 3 Portfolio Analysis'!$C$121+'Part 3 Portfolio Analysis'!$D$121*T559+AA559*'Part 3 Portfolio Analysis'!$E$121+'Part 3 Portfolio Analysis'!$F$121*AH559</f>
        <v>3.6099999999999995E-3</v>
      </c>
      <c r="AM559" s="91"/>
      <c r="AN559" s="90">
        <v>45476</v>
      </c>
      <c r="AO559" s="91">
        <v>24291.75</v>
      </c>
      <c r="AP559" s="91">
        <v>24286.5</v>
      </c>
      <c r="AQ559" s="91">
        <v>24286.5</v>
      </c>
      <c r="AR559" s="91">
        <v>0</v>
      </c>
      <c r="AS559" s="91">
        <v>6.7000000000000002E-3</v>
      </c>
    </row>
    <row r="560" spans="1:45" x14ac:dyDescent="0.55000000000000004">
      <c r="A560" s="90">
        <v>45477</v>
      </c>
      <c r="B560" s="91">
        <v>7114</v>
      </c>
      <c r="C560" s="91">
        <v>7075.8500979999999</v>
      </c>
      <c r="D560" s="91">
        <v>6996.7016599999997</v>
      </c>
      <c r="E560" s="91">
        <v>65868</v>
      </c>
      <c r="F560" s="91">
        <v>-2.8999999999999998E-3</v>
      </c>
      <c r="H560" s="90">
        <v>45477</v>
      </c>
      <c r="I560" s="91">
        <v>1557</v>
      </c>
      <c r="J560" s="91">
        <v>1554.025024</v>
      </c>
      <c r="K560" s="91">
        <v>1542.607544</v>
      </c>
      <c r="L560" s="91">
        <v>6837176</v>
      </c>
      <c r="M560" s="91">
        <v>1E-3</v>
      </c>
      <c r="O560" s="90">
        <v>45477</v>
      </c>
      <c r="P560" s="91">
        <v>879.875</v>
      </c>
      <c r="Q560" s="91">
        <v>863.57501219999995</v>
      </c>
      <c r="R560" s="91">
        <v>852.05780030000005</v>
      </c>
      <c r="S560" s="91">
        <v>45848658</v>
      </c>
      <c r="T560" s="91">
        <v>-2.35E-2</v>
      </c>
      <c r="V560" s="90">
        <v>45477</v>
      </c>
      <c r="W560" s="91">
        <v>1628.1999510000001</v>
      </c>
      <c r="X560" s="91">
        <v>1650.650024</v>
      </c>
      <c r="Y560" s="91">
        <v>1585.155518</v>
      </c>
      <c r="Z560" s="91">
        <v>8008311</v>
      </c>
      <c r="AA560" s="91">
        <v>1.43E-2</v>
      </c>
      <c r="AB560" s="91"/>
      <c r="AC560" s="90">
        <v>45477</v>
      </c>
      <c r="AD560" s="91">
        <v>5548</v>
      </c>
      <c r="AE560" s="91">
        <v>5597.4501950000003</v>
      </c>
      <c r="AF560" s="91">
        <v>5592.6049800000001</v>
      </c>
      <c r="AG560" s="91">
        <v>440575</v>
      </c>
      <c r="AH560" s="91">
        <v>1.8800000000000001E-2</v>
      </c>
      <c r="AI560" s="91"/>
      <c r="AJ560" s="91">
        <f>(F560*'Part 3 Portfolio Analysis'!$B$8+M560*'Part 3 Portfolio Analysis'!$C$8+T560*'Part 3 Portfolio Analysis'!$D$8+AA560*'Part 3 Portfolio Analysis'!$E$8+AH560*'Part 3 Portfolio Analysis'!$F$8)/100</f>
        <v>-1.9425246579104531E-3</v>
      </c>
      <c r="AK560" s="91">
        <f>'Part 3 Portfolio Analysis'!$B$107*F560+M560*'Part 3 Portfolio Analysis'!$C$107+T560*'Part 3 Portfolio Analysis'!$D$107+AA560*'Part 3 Portfolio Analysis'!$E$107+AH560*'Part 3 Portfolio Analysis'!$F$107</f>
        <v>2.3160999999999998E-3</v>
      </c>
      <c r="AL560" s="91">
        <f>F560*'Part 3 Portfolio Analysis'!$B$121+M560*'Part 3 Portfolio Analysis'!$C$121+'Part 3 Portfolio Analysis'!$D$121*T560+AA560*'Part 3 Portfolio Analysis'!$E$121+'Part 3 Portfolio Analysis'!$F$121*AH560</f>
        <v>-2.8582199999999999E-3</v>
      </c>
      <c r="AM560" s="91"/>
      <c r="AN560" s="90">
        <v>45477</v>
      </c>
      <c r="AO560" s="91">
        <v>24369.949219999999</v>
      </c>
      <c r="AP560" s="91">
        <v>24302.150389999999</v>
      </c>
      <c r="AQ560" s="91">
        <v>24302.150389999999</v>
      </c>
      <c r="AR560" s="91">
        <v>251200</v>
      </c>
      <c r="AS560" s="91">
        <v>5.9999999999999995E-4</v>
      </c>
    </row>
    <row r="561" spans="1:45" x14ac:dyDescent="0.55000000000000004">
      <c r="A561" s="90">
        <v>45478</v>
      </c>
      <c r="B561" s="91">
        <v>7075.8500979999999</v>
      </c>
      <c r="C561" s="91">
        <v>7054.4501950000003</v>
      </c>
      <c r="D561" s="91">
        <v>6975.5410160000001</v>
      </c>
      <c r="E561" s="91">
        <v>90055</v>
      </c>
      <c r="F561" s="91">
        <v>-3.0000000000000001E-3</v>
      </c>
      <c r="H561" s="90">
        <v>45478</v>
      </c>
      <c r="I561" s="91">
        <v>1553.8249510000001</v>
      </c>
      <c r="J561" s="91">
        <v>1588.625</v>
      </c>
      <c r="K561" s="91">
        <v>1576.9532469999999</v>
      </c>
      <c r="L561" s="91">
        <v>12269710</v>
      </c>
      <c r="M561" s="91">
        <v>2.23E-2</v>
      </c>
      <c r="O561" s="90">
        <v>45478</v>
      </c>
      <c r="P561" s="91">
        <v>842.5</v>
      </c>
      <c r="Q561" s="91">
        <v>824.04998780000005</v>
      </c>
      <c r="R561" s="91">
        <v>813.05987549999998</v>
      </c>
      <c r="S561" s="91">
        <v>82242548</v>
      </c>
      <c r="T561" s="91">
        <v>-4.58E-2</v>
      </c>
      <c r="V561" s="90">
        <v>45478</v>
      </c>
      <c r="W561" s="91">
        <v>1651.4499510000001</v>
      </c>
      <c r="X561" s="91">
        <v>1647.4499510000001</v>
      </c>
      <c r="Y561" s="91">
        <v>1582.0823969999999</v>
      </c>
      <c r="Z561" s="91">
        <v>7065022</v>
      </c>
      <c r="AA561" s="91">
        <v>-1.9E-3</v>
      </c>
      <c r="AB561" s="91"/>
      <c r="AC561" s="90">
        <v>45478</v>
      </c>
      <c r="AD561" s="91">
        <v>5560</v>
      </c>
      <c r="AE561" s="91">
        <v>5619.8999020000001</v>
      </c>
      <c r="AF561" s="91">
        <v>5615.0356449999999</v>
      </c>
      <c r="AG561" s="91">
        <v>362427</v>
      </c>
      <c r="AH561" s="91">
        <v>4.0000000000000001E-3</v>
      </c>
      <c r="AI561" s="91"/>
      <c r="AJ561" s="91">
        <f>(F561*'Part 3 Portfolio Analysis'!$B$8+M561*'Part 3 Portfolio Analysis'!$C$8+T561*'Part 3 Portfolio Analysis'!$D$8+AA561*'Part 3 Portfolio Analysis'!$E$8+AH561*'Part 3 Portfolio Analysis'!$F$8)/100</f>
        <v>-7.2339411244164164E-4</v>
      </c>
      <c r="AK561" s="91">
        <f>'Part 3 Portfolio Analysis'!$B$107*F561+M561*'Part 3 Portfolio Analysis'!$C$107+T561*'Part 3 Portfolio Analysis'!$D$107+AA561*'Part 3 Portfolio Analysis'!$E$107+AH561*'Part 3 Portfolio Analysis'!$F$107</f>
        <v>1.588999999999998E-4</v>
      </c>
      <c r="AL561" s="91">
        <f>F561*'Part 3 Portfolio Analysis'!$B$121+M561*'Part 3 Portfolio Analysis'!$C$121+'Part 3 Portfolio Analysis'!$D$121*T561+AA561*'Part 3 Portfolio Analysis'!$E$121+'Part 3 Portfolio Analysis'!$F$121*AH561</f>
        <v>-3.6223200000000005E-3</v>
      </c>
      <c r="AM561" s="91"/>
      <c r="AN561" s="90">
        <v>45478</v>
      </c>
      <c r="AO561" s="91">
        <v>24213.349610000001</v>
      </c>
      <c r="AP561" s="91">
        <v>24323.849610000001</v>
      </c>
      <c r="AQ561" s="91">
        <v>24323.849610000001</v>
      </c>
      <c r="AR561" s="91">
        <v>298400</v>
      </c>
      <c r="AS561" s="91">
        <v>8.9999999999999998E-4</v>
      </c>
    </row>
    <row r="562" spans="1:45" x14ac:dyDescent="0.55000000000000004">
      <c r="A562" s="90">
        <v>45481</v>
      </c>
      <c r="B562" s="91">
        <v>7061</v>
      </c>
      <c r="C562" s="91">
        <v>7027</v>
      </c>
      <c r="D562" s="91">
        <v>6948.3979490000002</v>
      </c>
      <c r="E562" s="91">
        <v>84065</v>
      </c>
      <c r="F562" s="91">
        <v>-3.8999999999999998E-3</v>
      </c>
      <c r="H562" s="90">
        <v>45481</v>
      </c>
      <c r="I562" s="91">
        <v>1589</v>
      </c>
      <c r="J562" s="91">
        <v>1600.900024</v>
      </c>
      <c r="K562" s="91">
        <v>1589.138062</v>
      </c>
      <c r="L562" s="91">
        <v>9500806</v>
      </c>
      <c r="M562" s="91">
        <v>7.7000000000000002E-3</v>
      </c>
      <c r="O562" s="90">
        <v>45481</v>
      </c>
      <c r="P562" s="91">
        <v>822.65002440000001</v>
      </c>
      <c r="Q562" s="91">
        <v>817.67498780000005</v>
      </c>
      <c r="R562" s="91">
        <v>806.76989749999996</v>
      </c>
      <c r="S562" s="91">
        <v>39087800</v>
      </c>
      <c r="T562" s="91">
        <v>-7.7000000000000002E-3</v>
      </c>
      <c r="V562" s="90">
        <v>45481</v>
      </c>
      <c r="W562" s="91">
        <v>1643.099976</v>
      </c>
      <c r="X562" s="91">
        <v>1661.650024</v>
      </c>
      <c r="Y562" s="91">
        <v>1595.7189940000001</v>
      </c>
      <c r="Z562" s="91">
        <v>5880533</v>
      </c>
      <c r="AA562" s="91">
        <v>8.6E-3</v>
      </c>
      <c r="AB562" s="91"/>
      <c r="AC562" s="90">
        <v>45481</v>
      </c>
      <c r="AD562" s="91">
        <v>5661.2001950000003</v>
      </c>
      <c r="AE562" s="91">
        <v>5594.25</v>
      </c>
      <c r="AF562" s="91">
        <v>5589.4077150000003</v>
      </c>
      <c r="AG562" s="91">
        <v>273130</v>
      </c>
      <c r="AH562" s="91">
        <v>-4.5999999999999999E-3</v>
      </c>
      <c r="AI562" s="91"/>
      <c r="AJ562" s="91">
        <f>(F562*'Part 3 Portfolio Analysis'!$B$8+M562*'Part 3 Portfolio Analysis'!$C$8+T562*'Part 3 Portfolio Analysis'!$D$8+AA562*'Part 3 Portfolio Analysis'!$E$8+AH562*'Part 3 Portfolio Analysis'!$F$8)/100</f>
        <v>1.6757093855393145E-3</v>
      </c>
      <c r="AK562" s="91">
        <f>'Part 3 Portfolio Analysis'!$B$107*F562+M562*'Part 3 Portfolio Analysis'!$C$107+T562*'Part 3 Portfolio Analysis'!$D$107+AA562*'Part 3 Portfolio Analysis'!$E$107+AH562*'Part 3 Portfolio Analysis'!$F$107</f>
        <v>2.1540000000000014E-4</v>
      </c>
      <c r="AL562" s="91">
        <f>F562*'Part 3 Portfolio Analysis'!$B$121+M562*'Part 3 Portfolio Analysis'!$C$121+'Part 3 Portfolio Analysis'!$D$121*T562+AA562*'Part 3 Portfolio Analysis'!$E$121+'Part 3 Portfolio Analysis'!$F$121*AH562</f>
        <v>2.4154200000000002E-3</v>
      </c>
      <c r="AM562" s="91"/>
      <c r="AN562" s="90">
        <v>45481</v>
      </c>
      <c r="AO562" s="91">
        <v>24329.449219999999</v>
      </c>
      <c r="AP562" s="91">
        <v>24320.550780000001</v>
      </c>
      <c r="AQ562" s="91">
        <v>24320.550780000001</v>
      </c>
      <c r="AR562" s="91">
        <v>266300</v>
      </c>
      <c r="AS562" s="91">
        <v>-1E-4</v>
      </c>
    </row>
    <row r="563" spans="1:45" x14ac:dyDescent="0.55000000000000004">
      <c r="A563" s="90">
        <v>45482</v>
      </c>
      <c r="B563" s="91">
        <v>7012</v>
      </c>
      <c r="C563" s="91">
        <v>7016.7998049999997</v>
      </c>
      <c r="D563" s="91">
        <v>6938.3120120000003</v>
      </c>
      <c r="E563" s="91">
        <v>137764</v>
      </c>
      <c r="F563" s="91">
        <v>-1.5E-3</v>
      </c>
      <c r="H563" s="90">
        <v>45482</v>
      </c>
      <c r="I563" s="91">
        <v>1597.599976</v>
      </c>
      <c r="J563" s="91">
        <v>1590.275024</v>
      </c>
      <c r="K563" s="91">
        <v>1578.591187</v>
      </c>
      <c r="L563" s="91">
        <v>6960002</v>
      </c>
      <c r="M563" s="91">
        <v>-6.6E-3</v>
      </c>
      <c r="O563" s="90">
        <v>45482</v>
      </c>
      <c r="P563" s="91">
        <v>812.5</v>
      </c>
      <c r="Q563" s="91">
        <v>818.25</v>
      </c>
      <c r="R563" s="91">
        <v>807.33721920000005</v>
      </c>
      <c r="S563" s="91">
        <v>48550878</v>
      </c>
      <c r="T563" s="91">
        <v>6.9999999999999999E-4</v>
      </c>
      <c r="V563" s="90">
        <v>45482</v>
      </c>
      <c r="W563" s="91">
        <v>1659.900024</v>
      </c>
      <c r="X563" s="91">
        <v>1657.150024</v>
      </c>
      <c r="Y563" s="91">
        <v>1591.3975829999999</v>
      </c>
      <c r="Z563" s="91">
        <v>5191182</v>
      </c>
      <c r="AA563" s="91">
        <v>-2.7000000000000001E-3</v>
      </c>
      <c r="AB563" s="91"/>
      <c r="AC563" s="90">
        <v>45482</v>
      </c>
      <c r="AD563" s="91">
        <v>5607.2001950000003</v>
      </c>
      <c r="AE563" s="91">
        <v>5592.8500979999999</v>
      </c>
      <c r="AF563" s="91">
        <v>5588.0092770000001</v>
      </c>
      <c r="AG563" s="91">
        <v>313079</v>
      </c>
      <c r="AH563" s="91">
        <v>-2.9999999999999997E-4</v>
      </c>
      <c r="AI563" s="91"/>
      <c r="AJ563" s="91">
        <f>(F563*'Part 3 Portfolio Analysis'!$B$8+M563*'Part 3 Portfolio Analysis'!$C$8+T563*'Part 3 Portfolio Analysis'!$D$8+AA563*'Part 3 Portfolio Analysis'!$E$8+AH563*'Part 3 Portfolio Analysis'!$F$8)/100</f>
        <v>-3.1630527043855173E-3</v>
      </c>
      <c r="AK563" s="91">
        <f>'Part 3 Portfolio Analysis'!$B$107*F563+M563*'Part 3 Portfolio Analysis'!$C$107+T563*'Part 3 Portfolio Analysis'!$D$107+AA563*'Part 3 Portfolio Analysis'!$E$107+AH563*'Part 3 Portfolio Analysis'!$F$107</f>
        <v>-2.5728999999999995E-3</v>
      </c>
      <c r="AL563" s="91">
        <f>F563*'Part 3 Portfolio Analysis'!$B$121+M563*'Part 3 Portfolio Analysis'!$C$121+'Part 3 Portfolio Analysis'!$D$121*T563+AA563*'Part 3 Portfolio Analysis'!$E$121+'Part 3 Portfolio Analysis'!$F$121*AH563</f>
        <v>-3.25012E-3</v>
      </c>
      <c r="AM563" s="91"/>
      <c r="AN563" s="90">
        <v>45482</v>
      </c>
      <c r="AO563" s="91">
        <v>24351</v>
      </c>
      <c r="AP563" s="91">
        <v>24433.199219999999</v>
      </c>
      <c r="AQ563" s="91">
        <v>24433.199219999999</v>
      </c>
      <c r="AR563" s="91">
        <v>250500</v>
      </c>
      <c r="AS563" s="91">
        <v>4.5999999999999999E-3</v>
      </c>
    </row>
    <row r="564" spans="1:45" x14ac:dyDescent="0.55000000000000004">
      <c r="A564" s="90">
        <v>45483</v>
      </c>
      <c r="B564" s="91">
        <v>7075</v>
      </c>
      <c r="C564" s="91">
        <v>7119.4501950000003</v>
      </c>
      <c r="D564" s="91">
        <v>7039.8139650000003</v>
      </c>
      <c r="E564" s="91">
        <v>225270</v>
      </c>
      <c r="F564" s="91">
        <v>1.46E-2</v>
      </c>
      <c r="H564" s="90">
        <v>45483</v>
      </c>
      <c r="I564" s="91">
        <v>1595</v>
      </c>
      <c r="J564" s="91">
        <v>1584.224976</v>
      </c>
      <c r="K564" s="91">
        <v>1572.5855710000001</v>
      </c>
      <c r="L564" s="91">
        <v>7134578</v>
      </c>
      <c r="M564" s="91">
        <v>-3.8E-3</v>
      </c>
      <c r="O564" s="90">
        <v>45483</v>
      </c>
      <c r="P564" s="91">
        <v>814.97497559999999</v>
      </c>
      <c r="Q564" s="91">
        <v>813.04998780000005</v>
      </c>
      <c r="R564" s="91">
        <v>802.20654300000001</v>
      </c>
      <c r="S564" s="91">
        <v>45507182</v>
      </c>
      <c r="T564" s="91">
        <v>-6.4000000000000003E-3</v>
      </c>
      <c r="V564" s="90">
        <v>45483</v>
      </c>
      <c r="W564" s="91">
        <v>1657</v>
      </c>
      <c r="X564" s="91">
        <v>1648.25</v>
      </c>
      <c r="Y564" s="91">
        <v>1582.8507079999999</v>
      </c>
      <c r="Z564" s="91">
        <v>9852770</v>
      </c>
      <c r="AA564" s="91">
        <v>-5.4000000000000003E-3</v>
      </c>
      <c r="AB564" s="91"/>
      <c r="AC564" s="90">
        <v>45483</v>
      </c>
      <c r="AD564" s="91">
        <v>5610</v>
      </c>
      <c r="AE564" s="91">
        <v>5568</v>
      </c>
      <c r="AF564" s="91">
        <v>5563.1806640000004</v>
      </c>
      <c r="AG564" s="91">
        <v>425869</v>
      </c>
      <c r="AH564" s="91">
        <v>-4.4000000000000003E-3</v>
      </c>
      <c r="AI564" s="91"/>
      <c r="AJ564" s="91">
        <f>(F564*'Part 3 Portfolio Analysis'!$B$8+M564*'Part 3 Portfolio Analysis'!$C$8+T564*'Part 3 Portfolio Analysis'!$D$8+AA564*'Part 3 Portfolio Analysis'!$E$8+AH564*'Part 3 Portfolio Analysis'!$F$8)/100</f>
        <v>1.0229291089615328E-3</v>
      </c>
      <c r="AK564" s="91">
        <f>'Part 3 Portfolio Analysis'!$B$107*F564+M564*'Part 3 Portfolio Analysis'!$C$107+T564*'Part 3 Portfolio Analysis'!$D$107+AA564*'Part 3 Portfolio Analysis'!$E$107+AH564*'Part 3 Portfolio Analysis'!$F$107</f>
        <v>-1.2022000000000001E-3</v>
      </c>
      <c r="AL564" s="91">
        <f>F564*'Part 3 Portfolio Analysis'!$B$121+M564*'Part 3 Portfolio Analysis'!$C$121+'Part 3 Portfolio Analysis'!$D$121*T564+AA564*'Part 3 Portfolio Analysis'!$E$121+'Part 3 Portfolio Analysis'!$F$121*AH564</f>
        <v>-3.33044E-3</v>
      </c>
      <c r="AM564" s="91"/>
      <c r="AN564" s="90">
        <v>45483</v>
      </c>
      <c r="AO564" s="91">
        <v>24459.849610000001</v>
      </c>
      <c r="AP564" s="91">
        <v>24324.449219999999</v>
      </c>
      <c r="AQ564" s="91">
        <v>24324.449219999999</v>
      </c>
      <c r="AR564" s="91">
        <v>292300</v>
      </c>
      <c r="AS564" s="91">
        <v>-4.4999999999999997E-3</v>
      </c>
    </row>
    <row r="565" spans="1:45" x14ac:dyDescent="0.55000000000000004">
      <c r="A565" s="90">
        <v>45484</v>
      </c>
      <c r="B565" s="91">
        <v>7021</v>
      </c>
      <c r="C565" s="91">
        <v>6957.4501950000003</v>
      </c>
      <c r="D565" s="91">
        <v>6879.6259769999997</v>
      </c>
      <c r="E565" s="91">
        <v>355671</v>
      </c>
      <c r="F565" s="91">
        <v>-2.2800000000000001E-2</v>
      </c>
      <c r="H565" s="90">
        <v>45484</v>
      </c>
      <c r="I565" s="91">
        <v>1587.5</v>
      </c>
      <c r="J565" s="91">
        <v>1580.650024</v>
      </c>
      <c r="K565" s="91">
        <v>1569.036865</v>
      </c>
      <c r="L565" s="91">
        <v>11940946</v>
      </c>
      <c r="M565" s="91">
        <v>-2.3E-3</v>
      </c>
      <c r="O565" s="90">
        <v>45484</v>
      </c>
      <c r="P565" s="91">
        <v>811.97497559999999</v>
      </c>
      <c r="Q565" s="91">
        <v>810.95001219999995</v>
      </c>
      <c r="R565" s="91">
        <v>800.1346436</v>
      </c>
      <c r="S565" s="91">
        <v>44177074</v>
      </c>
      <c r="T565" s="91">
        <v>-2.5999999999999999E-3</v>
      </c>
      <c r="V565" s="90">
        <v>45484</v>
      </c>
      <c r="W565" s="91">
        <v>1656</v>
      </c>
      <c r="X565" s="91">
        <v>1652.6999510000001</v>
      </c>
      <c r="Y565" s="91">
        <v>1587.1240230000001</v>
      </c>
      <c r="Z565" s="91">
        <v>8857679</v>
      </c>
      <c r="AA565" s="91">
        <v>2.7000000000000001E-3</v>
      </c>
      <c r="AB565" s="91"/>
      <c r="AC565" s="90">
        <v>45484</v>
      </c>
      <c r="AD565" s="91">
        <v>5545</v>
      </c>
      <c r="AE565" s="91">
        <v>5635.25</v>
      </c>
      <c r="AF565" s="91">
        <v>5630.3720700000003</v>
      </c>
      <c r="AG565" s="91">
        <v>578262</v>
      </c>
      <c r="AH565" s="91">
        <v>1.21E-2</v>
      </c>
      <c r="AI565" s="91"/>
      <c r="AJ565" s="91">
        <f>(F565*'Part 3 Portfolio Analysis'!$B$8+M565*'Part 3 Portfolio Analysis'!$C$8+T565*'Part 3 Portfolio Analysis'!$D$8+AA565*'Part 3 Portfolio Analysis'!$E$8+AH565*'Part 3 Portfolio Analysis'!$F$8)/100</f>
        <v>-7.5546361666790195E-3</v>
      </c>
      <c r="AK565" s="91">
        <f>'Part 3 Portfolio Analysis'!$B$107*F565+M565*'Part 3 Portfolio Analysis'!$C$107+T565*'Part 3 Portfolio Analysis'!$D$107+AA565*'Part 3 Portfolio Analysis'!$E$107+AH565*'Part 3 Portfolio Analysis'!$F$107</f>
        <v>-1.9076999999999996E-3</v>
      </c>
      <c r="AL565" s="91">
        <f>F565*'Part 3 Portfolio Analysis'!$B$121+M565*'Part 3 Portfolio Analysis'!$C$121+'Part 3 Portfolio Analysis'!$D$121*T565+AA565*'Part 3 Portfolio Analysis'!$E$121+'Part 3 Portfolio Analysis'!$F$121*AH565</f>
        <v>-2.6894199999999997E-3</v>
      </c>
      <c r="AM565" s="91"/>
      <c r="AN565" s="90">
        <v>45484</v>
      </c>
      <c r="AO565" s="91">
        <v>24396.550780000001</v>
      </c>
      <c r="AP565" s="91">
        <v>24315.949219999999</v>
      </c>
      <c r="AQ565" s="91">
        <v>24315.949219999999</v>
      </c>
      <c r="AR565" s="91">
        <v>306400</v>
      </c>
      <c r="AS565" s="91">
        <v>-2.9999999999999997E-4</v>
      </c>
    </row>
    <row r="566" spans="1:45" x14ac:dyDescent="0.55000000000000004">
      <c r="A566" s="90">
        <v>45485</v>
      </c>
      <c r="B566" s="91">
        <v>6960</v>
      </c>
      <c r="C566" s="91">
        <v>7065.5498049999997</v>
      </c>
      <c r="D566" s="91">
        <v>6986.5166019999997</v>
      </c>
      <c r="E566" s="91">
        <v>271006</v>
      </c>
      <c r="F566" s="91">
        <v>1.55E-2</v>
      </c>
      <c r="H566" s="90">
        <v>45485</v>
      </c>
      <c r="I566" s="91">
        <v>1584.5</v>
      </c>
      <c r="J566" s="91">
        <v>1596.724976</v>
      </c>
      <c r="K566" s="91">
        <v>1584.993774</v>
      </c>
      <c r="L566" s="91">
        <v>12924784</v>
      </c>
      <c r="M566" s="91">
        <v>1.0200000000000001E-2</v>
      </c>
      <c r="O566" s="90">
        <v>45485</v>
      </c>
      <c r="P566" s="91">
        <v>811</v>
      </c>
      <c r="Q566" s="91">
        <v>811.34997559999999</v>
      </c>
      <c r="R566" s="91">
        <v>800.52923580000004</v>
      </c>
      <c r="S566" s="91">
        <v>56049960</v>
      </c>
      <c r="T566" s="91">
        <v>5.0000000000000001E-4</v>
      </c>
      <c r="V566" s="90">
        <v>45485</v>
      </c>
      <c r="W566" s="91">
        <v>1680</v>
      </c>
      <c r="X566" s="91">
        <v>1711.75</v>
      </c>
      <c r="Y566" s="91">
        <v>1643.8310550000001</v>
      </c>
      <c r="Z566" s="91">
        <v>17078316</v>
      </c>
      <c r="AA566" s="91">
        <v>3.5700000000000003E-2</v>
      </c>
      <c r="AB566" s="91"/>
      <c r="AC566" s="90">
        <v>45485</v>
      </c>
      <c r="AD566" s="91">
        <v>5664.8999020000001</v>
      </c>
      <c r="AE566" s="91">
        <v>5651.25</v>
      </c>
      <c r="AF566" s="91">
        <v>5646.3583980000003</v>
      </c>
      <c r="AG566" s="91">
        <v>476682</v>
      </c>
      <c r="AH566" s="91">
        <v>2.8E-3</v>
      </c>
      <c r="AI566" s="91"/>
      <c r="AJ566" s="91">
        <f>(F566*'Part 3 Portfolio Analysis'!$B$8+M566*'Part 3 Portfolio Analysis'!$C$8+T566*'Part 3 Portfolio Analysis'!$D$8+AA566*'Part 3 Portfolio Analysis'!$E$8+AH566*'Part 3 Portfolio Analysis'!$F$8)/100</f>
        <v>1.4203398221730114E-2</v>
      </c>
      <c r="AK566" s="91">
        <f>'Part 3 Portfolio Analysis'!$B$107*F566+M566*'Part 3 Portfolio Analysis'!$C$107+T566*'Part 3 Portfolio Analysis'!$D$107+AA566*'Part 3 Portfolio Analysis'!$E$107+AH566*'Part 3 Portfolio Analysis'!$F$107</f>
        <v>1.0335700000000001E-2</v>
      </c>
      <c r="AL566" s="91">
        <f>F566*'Part 3 Portfolio Analysis'!$B$121+M566*'Part 3 Portfolio Analysis'!$C$121+'Part 3 Portfolio Analysis'!$D$121*T566+AA566*'Part 3 Portfolio Analysis'!$E$121+'Part 3 Portfolio Analysis'!$F$121*AH566</f>
        <v>1.2903380000000001E-2</v>
      </c>
      <c r="AM566" s="91"/>
      <c r="AN566" s="90">
        <v>45485</v>
      </c>
      <c r="AO566" s="91">
        <v>24387.949219999999</v>
      </c>
      <c r="AP566" s="91">
        <v>24502.150389999999</v>
      </c>
      <c r="AQ566" s="91">
        <v>24502.150389999999</v>
      </c>
      <c r="AR566" s="91">
        <v>325800</v>
      </c>
      <c r="AS566" s="91">
        <v>7.7000000000000002E-3</v>
      </c>
    </row>
    <row r="567" spans="1:45" x14ac:dyDescent="0.55000000000000004">
      <c r="A567" s="90">
        <v>45488</v>
      </c>
      <c r="B567" s="91">
        <v>7079</v>
      </c>
      <c r="C567" s="91">
        <v>7017.7998049999997</v>
      </c>
      <c r="D567" s="91">
        <v>6939.3007809999999</v>
      </c>
      <c r="E567" s="91">
        <v>84637</v>
      </c>
      <c r="F567" s="91">
        <v>-6.7999999999999996E-3</v>
      </c>
      <c r="H567" s="90">
        <v>45488</v>
      </c>
      <c r="I567" s="91">
        <v>1604.4499510000001</v>
      </c>
      <c r="J567" s="91">
        <v>1597.224976</v>
      </c>
      <c r="K567" s="91">
        <v>1585.490112</v>
      </c>
      <c r="L567" s="91">
        <v>5329688</v>
      </c>
      <c r="M567" s="91">
        <v>2.9999999999999997E-4</v>
      </c>
      <c r="O567" s="90">
        <v>45488</v>
      </c>
      <c r="P567" s="91">
        <v>811.75</v>
      </c>
      <c r="Q567" s="91">
        <v>811.04998780000005</v>
      </c>
      <c r="R567" s="91">
        <v>800.23327640000002</v>
      </c>
      <c r="S567" s="91">
        <v>33375694</v>
      </c>
      <c r="T567" s="91">
        <v>-4.0000000000000002E-4</v>
      </c>
      <c r="V567" s="90">
        <v>45488</v>
      </c>
      <c r="W567" s="91">
        <v>1726.1999510000001</v>
      </c>
      <c r="X567" s="91">
        <v>1707.0500489999999</v>
      </c>
      <c r="Y567" s="91">
        <v>1639.3176269999999</v>
      </c>
      <c r="Z567" s="91">
        <v>6942230</v>
      </c>
      <c r="AA567" s="91">
        <v>-2.7000000000000001E-3</v>
      </c>
      <c r="AB567" s="91"/>
      <c r="AC567" s="90">
        <v>45488</v>
      </c>
      <c r="AD567" s="91">
        <v>5690</v>
      </c>
      <c r="AE567" s="91">
        <v>5675.5498049999997</v>
      </c>
      <c r="AF567" s="91">
        <v>5670.6372069999998</v>
      </c>
      <c r="AG567" s="91">
        <v>498397</v>
      </c>
      <c r="AH567" s="91">
        <v>4.3E-3</v>
      </c>
      <c r="AI567" s="91"/>
      <c r="AJ567" s="91">
        <f>(F567*'Part 3 Portfolio Analysis'!$B$8+M567*'Part 3 Portfolio Analysis'!$C$8+T567*'Part 3 Portfolio Analysis'!$D$8+AA567*'Part 3 Portfolio Analysis'!$E$8+AH567*'Part 3 Portfolio Analysis'!$F$8)/100</f>
        <v>-2.390475212766112E-3</v>
      </c>
      <c r="AK567" s="91">
        <f>'Part 3 Portfolio Analysis'!$B$107*F567+M567*'Part 3 Portfolio Analysis'!$C$107+T567*'Part 3 Portfolio Analysis'!$D$107+AA567*'Part 3 Portfolio Analysis'!$E$107+AH567*'Part 3 Portfolio Analysis'!$F$107</f>
        <v>-3.7849999999999971E-4</v>
      </c>
      <c r="AL567" s="91">
        <f>F567*'Part 3 Portfolio Analysis'!$B$121+M567*'Part 3 Portfolio Analysis'!$C$121+'Part 3 Portfolio Analysis'!$D$121*T567+AA567*'Part 3 Portfolio Analysis'!$E$121+'Part 3 Portfolio Analysis'!$F$121*AH567</f>
        <v>-9.6921999999999991E-4</v>
      </c>
      <c r="AM567" s="91"/>
      <c r="AN567" s="90">
        <v>45488</v>
      </c>
      <c r="AO567" s="91">
        <v>24587.599610000001</v>
      </c>
      <c r="AP567" s="91">
        <v>24586.699219999999</v>
      </c>
      <c r="AQ567" s="91">
        <v>24586.699219999999</v>
      </c>
      <c r="AR567" s="91">
        <v>305400</v>
      </c>
      <c r="AS567" s="91">
        <v>3.5000000000000001E-3</v>
      </c>
    </row>
    <row r="568" spans="1:45" x14ac:dyDescent="0.55000000000000004">
      <c r="A568" s="90">
        <v>45489</v>
      </c>
      <c r="B568" s="91">
        <v>7017.7998049999997</v>
      </c>
      <c r="C568" s="91">
        <v>6998.2001950000003</v>
      </c>
      <c r="D568" s="91">
        <v>6919.9204099999997</v>
      </c>
      <c r="E568" s="91">
        <v>86895</v>
      </c>
      <c r="F568" s="91">
        <v>-2.8E-3</v>
      </c>
      <c r="H568" s="90">
        <v>45489</v>
      </c>
      <c r="I568" s="91">
        <v>1593.5</v>
      </c>
      <c r="J568" s="91">
        <v>1576.25</v>
      </c>
      <c r="K568" s="91">
        <v>1564.669189</v>
      </c>
      <c r="L568" s="91">
        <v>9386838</v>
      </c>
      <c r="M568" s="91">
        <v>-1.3100000000000001E-2</v>
      </c>
      <c r="O568" s="90">
        <v>45489</v>
      </c>
      <c r="P568" s="91">
        <v>810.375</v>
      </c>
      <c r="Q568" s="91">
        <v>809.875</v>
      </c>
      <c r="R568" s="91">
        <v>799.07391359999997</v>
      </c>
      <c r="S568" s="91">
        <v>28950324</v>
      </c>
      <c r="T568" s="91">
        <v>-1.4E-3</v>
      </c>
      <c r="V568" s="90">
        <v>45489</v>
      </c>
      <c r="W568" s="91">
        <v>1718.599976</v>
      </c>
      <c r="X568" s="91">
        <v>1726.0500489999999</v>
      </c>
      <c r="Y568" s="91">
        <v>1657.5638429999999</v>
      </c>
      <c r="Z568" s="91">
        <v>6886281</v>
      </c>
      <c r="AA568" s="91">
        <v>1.11E-2</v>
      </c>
      <c r="AB568" s="91"/>
      <c r="AC568" s="90">
        <v>45489</v>
      </c>
      <c r="AD568" s="91">
        <v>5699.9501950000003</v>
      </c>
      <c r="AE568" s="91">
        <v>5647.2998049999997</v>
      </c>
      <c r="AF568" s="91">
        <v>5642.4116210000002</v>
      </c>
      <c r="AG568" s="91">
        <v>641858</v>
      </c>
      <c r="AH568" s="91">
        <v>-5.0000000000000001E-3</v>
      </c>
      <c r="AI568" s="91"/>
      <c r="AJ568" s="91">
        <f>(F568*'Part 3 Portfolio Analysis'!$B$8+M568*'Part 3 Portfolio Analysis'!$C$8+T568*'Part 3 Portfolio Analysis'!$D$8+AA568*'Part 3 Portfolio Analysis'!$E$8+AH568*'Part 3 Portfolio Analysis'!$F$8)/100</f>
        <v>-4.0845328793935459E-3</v>
      </c>
      <c r="AK568" s="91">
        <f>'Part 3 Portfolio Analysis'!$B$107*F568+M568*'Part 3 Portfolio Analysis'!$C$107+T568*'Part 3 Portfolio Analysis'!$D$107+AA568*'Part 3 Portfolio Analysis'!$E$107+AH568*'Part 3 Portfolio Analysis'!$F$107</f>
        <v>-4.9713000000000005E-3</v>
      </c>
      <c r="AL568" s="91">
        <f>F568*'Part 3 Portfolio Analysis'!$B$121+M568*'Part 3 Portfolio Analysis'!$C$121+'Part 3 Portfolio Analysis'!$D$121*T568+AA568*'Part 3 Portfolio Analysis'!$E$121+'Part 3 Portfolio Analysis'!$F$121*AH568</f>
        <v>-4.0187199999999991E-3</v>
      </c>
      <c r="AM568" s="91"/>
      <c r="AN568" s="90">
        <v>45489</v>
      </c>
      <c r="AO568" s="91">
        <v>24615.900389999999</v>
      </c>
      <c r="AP568" s="91">
        <v>24613</v>
      </c>
      <c r="AQ568" s="91">
        <v>24613</v>
      </c>
      <c r="AR568" s="91">
        <v>283200</v>
      </c>
      <c r="AS568" s="91">
        <v>1.1000000000000001E-3</v>
      </c>
    </row>
    <row r="569" spans="1:45" x14ac:dyDescent="0.55000000000000004">
      <c r="A569" s="90">
        <v>45491</v>
      </c>
      <c r="B569" s="91">
        <v>6998</v>
      </c>
      <c r="C569" s="91">
        <v>7034.3999020000001</v>
      </c>
      <c r="D569" s="91">
        <v>6955.7153319999998</v>
      </c>
      <c r="E569" s="91">
        <v>108684</v>
      </c>
      <c r="F569" s="91">
        <v>5.1999999999999998E-3</v>
      </c>
      <c r="H569" s="90">
        <v>45491</v>
      </c>
      <c r="I569" s="91">
        <v>1576</v>
      </c>
      <c r="J569" s="91">
        <v>1586.6750489999999</v>
      </c>
      <c r="K569" s="91">
        <v>1575.0177000000001</v>
      </c>
      <c r="L569" s="91">
        <v>12298374</v>
      </c>
      <c r="M569" s="91">
        <v>6.6E-3</v>
      </c>
      <c r="O569" s="90">
        <v>45491</v>
      </c>
      <c r="P569" s="91">
        <v>804</v>
      </c>
      <c r="Q569" s="91">
        <v>807.40002440000001</v>
      </c>
      <c r="R569" s="91">
        <v>796.63201900000001</v>
      </c>
      <c r="S569" s="91">
        <v>33717064</v>
      </c>
      <c r="T569" s="91">
        <v>-3.0999999999999999E-3</v>
      </c>
      <c r="V569" s="90">
        <v>45491</v>
      </c>
      <c r="W569" s="91">
        <v>1719</v>
      </c>
      <c r="X569" s="91">
        <v>1758.0500489999999</v>
      </c>
      <c r="Y569" s="91">
        <v>1688.294067</v>
      </c>
      <c r="Z569" s="91">
        <v>11248896</v>
      </c>
      <c r="AA569" s="91">
        <v>1.8499999999999999E-2</v>
      </c>
      <c r="AB569" s="91"/>
      <c r="AC569" s="90">
        <v>45491</v>
      </c>
      <c r="AD569" s="91">
        <v>5649.8999020000001</v>
      </c>
      <c r="AE569" s="91">
        <v>5308.5</v>
      </c>
      <c r="AF569" s="91">
        <v>5303.9052730000003</v>
      </c>
      <c r="AG569" s="91">
        <v>1342486</v>
      </c>
      <c r="AH569" s="91">
        <v>-0.06</v>
      </c>
      <c r="AI569" s="91"/>
      <c r="AJ569" s="91">
        <f>(F569*'Part 3 Portfolio Analysis'!$B$8+M569*'Part 3 Portfolio Analysis'!$C$8+T569*'Part 3 Portfolio Analysis'!$D$8+AA569*'Part 3 Portfolio Analysis'!$E$8+AH569*'Part 3 Portfolio Analysis'!$F$8)/100</f>
        <v>5.8261047403577746E-3</v>
      </c>
      <c r="AK569" s="91">
        <f>'Part 3 Portfolio Analysis'!$B$107*F569+M569*'Part 3 Portfolio Analysis'!$C$107+T569*'Part 3 Portfolio Analysis'!$D$107+AA569*'Part 3 Portfolio Analysis'!$E$107+AH569*'Part 3 Portfolio Analysis'!$F$107</f>
        <v>-1.07487E-2</v>
      </c>
      <c r="AL569" s="91">
        <f>F569*'Part 3 Portfolio Analysis'!$B$121+M569*'Part 3 Portfolio Analysis'!$C$121+'Part 3 Portfolio Analysis'!$D$121*T569+AA569*'Part 3 Portfolio Analysis'!$E$121+'Part 3 Portfolio Analysis'!$F$121*AH569</f>
        <v>4.4815999999999988E-3</v>
      </c>
      <c r="AM569" s="91"/>
      <c r="AN569" s="90">
        <v>45491</v>
      </c>
      <c r="AO569" s="91">
        <v>24543.800780000001</v>
      </c>
      <c r="AP569" s="91">
        <v>24800.849610000001</v>
      </c>
      <c r="AQ569" s="91">
        <v>24800.849610000001</v>
      </c>
      <c r="AR569" s="91">
        <v>350900</v>
      </c>
      <c r="AS569" s="91">
        <v>7.6E-3</v>
      </c>
    </row>
    <row r="570" spans="1:45" x14ac:dyDescent="0.55000000000000004">
      <c r="A570" s="90">
        <v>45492</v>
      </c>
      <c r="B570" s="91">
        <v>7050</v>
      </c>
      <c r="C570" s="91">
        <v>6980.5498049999997</v>
      </c>
      <c r="D570" s="91">
        <v>6902.4672849999997</v>
      </c>
      <c r="E570" s="91">
        <v>81910</v>
      </c>
      <c r="F570" s="91">
        <v>-7.7000000000000002E-3</v>
      </c>
      <c r="H570" s="90">
        <v>45492</v>
      </c>
      <c r="I570" s="91">
        <v>1586</v>
      </c>
      <c r="J570" s="91">
        <v>1555.150024</v>
      </c>
      <c r="K570" s="91">
        <v>1543.7242429999999</v>
      </c>
      <c r="L570" s="91">
        <v>13140390</v>
      </c>
      <c r="M570" s="91">
        <v>-1.9900000000000001E-2</v>
      </c>
      <c r="O570" s="90">
        <v>45492</v>
      </c>
      <c r="P570" s="91">
        <v>808</v>
      </c>
      <c r="Q570" s="91">
        <v>803.65002440000001</v>
      </c>
      <c r="R570" s="91">
        <v>792.93194579999999</v>
      </c>
      <c r="S570" s="91">
        <v>26002152</v>
      </c>
      <c r="T570" s="91">
        <v>-4.5999999999999999E-3</v>
      </c>
      <c r="V570" s="90">
        <v>45492</v>
      </c>
      <c r="W570" s="91">
        <v>1844</v>
      </c>
      <c r="X570" s="91">
        <v>1792.9499510000001</v>
      </c>
      <c r="Y570" s="91">
        <v>1721.8092039999999</v>
      </c>
      <c r="Z570" s="91">
        <v>29819116</v>
      </c>
      <c r="AA570" s="91">
        <v>1.9900000000000001E-2</v>
      </c>
      <c r="AB570" s="91"/>
      <c r="AC570" s="90">
        <v>45492</v>
      </c>
      <c r="AD570" s="91">
        <v>5308.5</v>
      </c>
      <c r="AE570" s="91">
        <v>5166.3500979999999</v>
      </c>
      <c r="AF570" s="91">
        <v>5161.8784180000002</v>
      </c>
      <c r="AG570" s="91">
        <v>879290</v>
      </c>
      <c r="AH570" s="91">
        <v>-2.6800000000000001E-2</v>
      </c>
      <c r="AI570" s="91"/>
      <c r="AJ570" s="91">
        <f>(F570*'Part 3 Portfolio Analysis'!$B$8+M570*'Part 3 Portfolio Analysis'!$C$8+T570*'Part 3 Portfolio Analysis'!$D$8+AA570*'Part 3 Portfolio Analysis'!$E$8+AH570*'Part 3 Portfolio Analysis'!$F$8)/100</f>
        <v>-7.3500474195615497E-3</v>
      </c>
      <c r="AK570" s="91">
        <f>'Part 3 Portfolio Analysis'!$B$107*F570+M570*'Part 3 Portfolio Analysis'!$C$107+T570*'Part 3 Portfolio Analysis'!$D$107+AA570*'Part 3 Portfolio Analysis'!$E$107+AH570*'Part 3 Portfolio Analysis'!$F$107</f>
        <v>-1.30913E-2</v>
      </c>
      <c r="AL570" s="91">
        <f>F570*'Part 3 Portfolio Analysis'!$B$121+M570*'Part 3 Portfolio Analysis'!$C$121+'Part 3 Portfolio Analysis'!$D$121*T570+AA570*'Part 3 Portfolio Analysis'!$E$121+'Part 3 Portfolio Analysis'!$F$121*AH570</f>
        <v>-6.9563399999999992E-3</v>
      </c>
      <c r="AM570" s="91"/>
      <c r="AN570" s="90">
        <v>45492</v>
      </c>
      <c r="AO570" s="91">
        <v>24853.800780000001</v>
      </c>
      <c r="AP570" s="91">
        <v>24530.900389999999</v>
      </c>
      <c r="AQ570" s="91">
        <v>24530.900389999999</v>
      </c>
      <c r="AR570" s="91">
        <v>343800</v>
      </c>
      <c r="AS570" s="91">
        <v>-1.09E-2</v>
      </c>
    </row>
    <row r="571" spans="1:45" x14ac:dyDescent="0.55000000000000004">
      <c r="A571" s="90">
        <v>45495</v>
      </c>
      <c r="B571" s="91">
        <v>6978.9501950000003</v>
      </c>
      <c r="C571" s="91">
        <v>6964.25</v>
      </c>
      <c r="D571" s="91">
        <v>6886.3500979999999</v>
      </c>
      <c r="E571" s="91">
        <v>80518</v>
      </c>
      <c r="F571" s="91">
        <v>-2.3E-3</v>
      </c>
      <c r="H571" s="90">
        <v>45495</v>
      </c>
      <c r="I571" s="91">
        <v>1537.25</v>
      </c>
      <c r="J571" s="91">
        <v>1500.6750489999999</v>
      </c>
      <c r="K571" s="91">
        <v>1489.6495359999999</v>
      </c>
      <c r="L571" s="91">
        <v>19674376</v>
      </c>
      <c r="M571" s="91">
        <v>-3.5000000000000003E-2</v>
      </c>
      <c r="O571" s="90">
        <v>45495</v>
      </c>
      <c r="P571" s="91">
        <v>808.5</v>
      </c>
      <c r="Q571" s="91">
        <v>821.27502440000001</v>
      </c>
      <c r="R571" s="91">
        <v>810.32189940000001</v>
      </c>
      <c r="S571" s="91">
        <v>53744822</v>
      </c>
      <c r="T571" s="91">
        <v>2.1899999999999999E-2</v>
      </c>
      <c r="V571" s="90">
        <v>45495</v>
      </c>
      <c r="W571" s="91">
        <v>1800.150024</v>
      </c>
      <c r="X571" s="91">
        <v>1810.849976</v>
      </c>
      <c r="Y571" s="91">
        <v>1738.9989009999999</v>
      </c>
      <c r="Z571" s="91">
        <v>8462126</v>
      </c>
      <c r="AA571" s="91">
        <v>0.01</v>
      </c>
      <c r="AB571" s="91"/>
      <c r="AC571" s="90">
        <v>45495</v>
      </c>
      <c r="AD571" s="91">
        <v>5110</v>
      </c>
      <c r="AE571" s="91">
        <v>5210.2001950000003</v>
      </c>
      <c r="AF571" s="91">
        <v>5205.6904299999997</v>
      </c>
      <c r="AG571" s="91">
        <v>631260</v>
      </c>
      <c r="AH571" s="91">
        <v>8.5000000000000006E-3</v>
      </c>
      <c r="AI571" s="91"/>
      <c r="AJ571" s="91">
        <f>(F571*'Part 3 Portfolio Analysis'!$B$8+M571*'Part 3 Portfolio Analysis'!$C$8+T571*'Part 3 Portfolio Analysis'!$D$8+AA571*'Part 3 Portfolio Analysis'!$E$8+AH571*'Part 3 Portfolio Analysis'!$F$8)/100</f>
        <v>-8.0311952391539047E-3</v>
      </c>
      <c r="AK571" s="91">
        <f>'Part 3 Portfolio Analysis'!$B$107*F571+M571*'Part 3 Portfolio Analysis'!$C$107+T571*'Part 3 Portfolio Analysis'!$D$107+AA571*'Part 3 Portfolio Analysis'!$E$107+AH571*'Part 3 Portfolio Analysis'!$F$107</f>
        <v>-4.8325E-3</v>
      </c>
      <c r="AL571" s="91">
        <f>F571*'Part 3 Portfolio Analysis'!$B$121+M571*'Part 3 Portfolio Analysis'!$C$121+'Part 3 Portfolio Analysis'!$D$121*T571+AA571*'Part 3 Portfolio Analysis'!$E$121+'Part 3 Portfolio Analysis'!$F$121*AH571</f>
        <v>-6.6955600000000006E-3</v>
      </c>
      <c r="AM571" s="91"/>
      <c r="AN571" s="90">
        <v>45495</v>
      </c>
      <c r="AO571" s="91">
        <v>24445.75</v>
      </c>
      <c r="AP571" s="91">
        <v>24509.25</v>
      </c>
      <c r="AQ571" s="91">
        <v>24509.25</v>
      </c>
      <c r="AR571" s="91">
        <v>324200</v>
      </c>
      <c r="AS571" s="91">
        <v>-8.9999999999999998E-4</v>
      </c>
    </row>
    <row r="572" spans="1:45" x14ac:dyDescent="0.55000000000000004">
      <c r="A572" s="90">
        <v>45496</v>
      </c>
      <c r="B572" s="91">
        <v>6924.2998049999997</v>
      </c>
      <c r="C572" s="91">
        <v>6994.1499020000001</v>
      </c>
      <c r="D572" s="91">
        <v>6915.9155270000001</v>
      </c>
      <c r="E572" s="91">
        <v>114304</v>
      </c>
      <c r="F572" s="91">
        <v>4.3E-3</v>
      </c>
      <c r="H572" s="90">
        <v>45496</v>
      </c>
      <c r="I572" s="91">
        <v>1501</v>
      </c>
      <c r="J572" s="91">
        <v>1487.900024</v>
      </c>
      <c r="K572" s="91">
        <v>1476.9682620000001</v>
      </c>
      <c r="L572" s="91">
        <v>18052044</v>
      </c>
      <c r="M572" s="91">
        <v>-8.5000000000000006E-3</v>
      </c>
      <c r="O572" s="90">
        <v>45496</v>
      </c>
      <c r="P572" s="91">
        <v>823.77502440000001</v>
      </c>
      <c r="Q572" s="91">
        <v>809.20001219999995</v>
      </c>
      <c r="R572" s="91">
        <v>798.40795900000001</v>
      </c>
      <c r="S572" s="91">
        <v>52002152</v>
      </c>
      <c r="T572" s="91">
        <v>-1.47E-2</v>
      </c>
      <c r="V572" s="90">
        <v>45496</v>
      </c>
      <c r="W572" s="91">
        <v>1810</v>
      </c>
      <c r="X572" s="91">
        <v>1836.900024</v>
      </c>
      <c r="Y572" s="91">
        <v>1764.0153809999999</v>
      </c>
      <c r="Z572" s="91">
        <v>7113056</v>
      </c>
      <c r="AA572" s="91">
        <v>1.44E-2</v>
      </c>
      <c r="AB572" s="91"/>
      <c r="AC572" s="90">
        <v>45496</v>
      </c>
      <c r="AD572" s="91">
        <v>5210.2001950000003</v>
      </c>
      <c r="AE572" s="91">
        <v>5263.7998049999997</v>
      </c>
      <c r="AF572" s="91">
        <v>5259.2436520000001</v>
      </c>
      <c r="AG572" s="91">
        <v>763626</v>
      </c>
      <c r="AH572" s="91">
        <v>1.03E-2</v>
      </c>
      <c r="AI572" s="91"/>
      <c r="AJ572" s="91">
        <f>(F572*'Part 3 Portfolio Analysis'!$B$8+M572*'Part 3 Portfolio Analysis'!$C$8+T572*'Part 3 Portfolio Analysis'!$D$8+AA572*'Part 3 Portfolio Analysis'!$E$8+AH572*'Part 3 Portfolio Analysis'!$F$8)/100</f>
        <v>-1.8251163722015646E-3</v>
      </c>
      <c r="AK572" s="91">
        <f>'Part 3 Portfolio Analysis'!$B$107*F572+M572*'Part 3 Portfolio Analysis'!$C$107+T572*'Part 3 Portfolio Analysis'!$D$107+AA572*'Part 3 Portfolio Analysis'!$E$107+AH572*'Part 3 Portfolio Analysis'!$F$107</f>
        <v>-1.294E-4</v>
      </c>
      <c r="AL572" s="91">
        <f>F572*'Part 3 Portfolio Analysis'!$B$121+M572*'Part 3 Portfolio Analysis'!$C$121+'Part 3 Portfolio Analysis'!$D$121*T572+AA572*'Part 3 Portfolio Analysis'!$E$121+'Part 3 Portfolio Analysis'!$F$121*AH572</f>
        <v>-4.0616799999999998E-3</v>
      </c>
      <c r="AM572" s="91"/>
      <c r="AN572" s="90">
        <v>45496</v>
      </c>
      <c r="AO572" s="91">
        <v>24568.900389999999</v>
      </c>
      <c r="AP572" s="91">
        <v>24479.050780000001</v>
      </c>
      <c r="AQ572" s="91">
        <v>24479.050780000001</v>
      </c>
      <c r="AR572" s="91">
        <v>436400</v>
      </c>
      <c r="AS572" s="91">
        <v>-1.1999999999999999E-3</v>
      </c>
    </row>
    <row r="573" spans="1:45" x14ac:dyDescent="0.55000000000000004">
      <c r="A573" s="90">
        <v>45497</v>
      </c>
      <c r="B573" s="91">
        <v>6950</v>
      </c>
      <c r="C573" s="91">
        <v>6938.0498049999997</v>
      </c>
      <c r="D573" s="91">
        <v>6860.4428710000002</v>
      </c>
      <c r="E573" s="91">
        <v>72490</v>
      </c>
      <c r="F573" s="91">
        <v>-8.0000000000000002E-3</v>
      </c>
      <c r="H573" s="90">
        <v>45497</v>
      </c>
      <c r="I573" s="91">
        <v>1485</v>
      </c>
      <c r="J573" s="91">
        <v>1495.6999510000001</v>
      </c>
      <c r="K573" s="91">
        <v>1484.7109379999999</v>
      </c>
      <c r="L573" s="91">
        <v>11913362</v>
      </c>
      <c r="M573" s="91">
        <v>5.1999999999999998E-3</v>
      </c>
      <c r="O573" s="90">
        <v>45497</v>
      </c>
      <c r="P573" s="91">
        <v>804.07501219999995</v>
      </c>
      <c r="Q573" s="91">
        <v>802.02502440000001</v>
      </c>
      <c r="R573" s="91">
        <v>791.32867429999999</v>
      </c>
      <c r="S573" s="91">
        <v>61728206</v>
      </c>
      <c r="T573" s="91">
        <v>-8.8999999999999999E-3</v>
      </c>
      <c r="V573" s="90">
        <v>45497</v>
      </c>
      <c r="W573" s="91">
        <v>1837.5</v>
      </c>
      <c r="X573" s="91">
        <v>1833.9499510000001</v>
      </c>
      <c r="Y573" s="91">
        <v>1761.182495</v>
      </c>
      <c r="Z573" s="91">
        <v>6002845</v>
      </c>
      <c r="AA573" s="91">
        <v>-1.6000000000000001E-3</v>
      </c>
      <c r="AB573" s="91"/>
      <c r="AC573" s="90">
        <v>45497</v>
      </c>
      <c r="AD573" s="91">
        <v>5285</v>
      </c>
      <c r="AE573" s="91">
        <v>5286.8500979999999</v>
      </c>
      <c r="AF573" s="91">
        <v>5282.2739259999998</v>
      </c>
      <c r="AG573" s="91">
        <v>711861</v>
      </c>
      <c r="AH573" s="91">
        <v>4.4000000000000003E-3</v>
      </c>
      <c r="AI573" s="91"/>
      <c r="AJ573" s="91">
        <f>(F573*'Part 3 Portfolio Analysis'!$B$8+M573*'Part 3 Portfolio Analysis'!$C$8+T573*'Part 3 Portfolio Analysis'!$D$8+AA573*'Part 3 Portfolio Analysis'!$E$8+AH573*'Part 3 Portfolio Analysis'!$F$8)/100</f>
        <v>-2.2142262288269202E-3</v>
      </c>
      <c r="AK573" s="91">
        <f>'Part 3 Portfolio Analysis'!$B$107*F573+M573*'Part 3 Portfolio Analysis'!$C$107+T573*'Part 3 Portfolio Analysis'!$D$107+AA573*'Part 3 Portfolio Analysis'!$E$107+AH573*'Part 3 Portfolio Analysis'!$F$107</f>
        <v>-2.431E-4</v>
      </c>
      <c r="AL573" s="91">
        <f>F573*'Part 3 Portfolio Analysis'!$B$121+M573*'Part 3 Portfolio Analysis'!$C$121+'Part 3 Portfolio Analysis'!$D$121*T573+AA573*'Part 3 Portfolio Analysis'!$E$121+'Part 3 Portfolio Analysis'!$F$121*AH573</f>
        <v>-1.1012000000000003E-3</v>
      </c>
      <c r="AM573" s="91"/>
      <c r="AN573" s="90">
        <v>45497</v>
      </c>
      <c r="AO573" s="91">
        <v>24444.949219999999</v>
      </c>
      <c r="AP573" s="91">
        <v>24413.5</v>
      </c>
      <c r="AQ573" s="91">
        <v>24413.5</v>
      </c>
      <c r="AR573" s="91">
        <v>366600</v>
      </c>
      <c r="AS573" s="91">
        <v>-2.7000000000000001E-3</v>
      </c>
    </row>
    <row r="574" spans="1:45" x14ac:dyDescent="0.55000000000000004">
      <c r="A574" s="90">
        <v>45498</v>
      </c>
      <c r="B574" s="91">
        <v>6906</v>
      </c>
      <c r="C574" s="91">
        <v>6869.7001950000003</v>
      </c>
      <c r="D574" s="91">
        <v>6792.8579099999997</v>
      </c>
      <c r="E574" s="91">
        <v>117635</v>
      </c>
      <c r="F574" s="91">
        <v>-9.9000000000000008E-3</v>
      </c>
      <c r="H574" s="90">
        <v>45498</v>
      </c>
      <c r="I574" s="91">
        <v>1481</v>
      </c>
      <c r="J574" s="91">
        <v>1492.400024</v>
      </c>
      <c r="K574" s="91">
        <v>1481.435303</v>
      </c>
      <c r="L574" s="91">
        <v>12519876</v>
      </c>
      <c r="M574" s="91">
        <v>-2.2000000000000001E-3</v>
      </c>
      <c r="O574" s="90">
        <v>45498</v>
      </c>
      <c r="P574" s="91">
        <v>796.5</v>
      </c>
      <c r="Q574" s="91">
        <v>808.29998780000005</v>
      </c>
      <c r="R574" s="91">
        <v>797.51989749999996</v>
      </c>
      <c r="S574" s="91">
        <v>25535732</v>
      </c>
      <c r="T574" s="91">
        <v>7.7999999999999996E-3</v>
      </c>
      <c r="V574" s="90">
        <v>45498</v>
      </c>
      <c r="W574" s="91">
        <v>1820</v>
      </c>
      <c r="X574" s="91">
        <v>1824.849976</v>
      </c>
      <c r="Y574" s="91">
        <v>1752.443481</v>
      </c>
      <c r="Z574" s="91">
        <v>5815599</v>
      </c>
      <c r="AA574" s="91">
        <v>-5.0000000000000001E-3</v>
      </c>
      <c r="AB574" s="91"/>
      <c r="AC574" s="90">
        <v>45498</v>
      </c>
      <c r="AD574" s="91">
        <v>5274.8999020000001</v>
      </c>
      <c r="AE574" s="91">
        <v>5309.9501950000003</v>
      </c>
      <c r="AF574" s="91">
        <v>5305.3540039999998</v>
      </c>
      <c r="AG574" s="91">
        <v>302964</v>
      </c>
      <c r="AH574" s="91">
        <v>4.4000000000000003E-3</v>
      </c>
      <c r="AI574" s="91"/>
      <c r="AJ574" s="91">
        <f>(F574*'Part 3 Portfolio Analysis'!$B$8+M574*'Part 3 Portfolio Analysis'!$C$8+T574*'Part 3 Portfolio Analysis'!$D$8+AA574*'Part 3 Portfolio Analysis'!$E$8+AH574*'Part 3 Portfolio Analysis'!$F$8)/100</f>
        <v>-3.2279812524611418E-3</v>
      </c>
      <c r="AK574" s="91">
        <f>'Part 3 Portfolio Analysis'!$B$107*F574+M574*'Part 3 Portfolio Analysis'!$C$107+T574*'Part 3 Portfolio Analysis'!$D$107+AA574*'Part 3 Portfolio Analysis'!$E$107+AH574*'Part 3 Portfolio Analysis'!$F$107</f>
        <v>-6.5280000000000026E-4</v>
      </c>
      <c r="AL574" s="91">
        <f>F574*'Part 3 Portfolio Analysis'!$B$121+M574*'Part 3 Portfolio Analysis'!$C$121+'Part 3 Portfolio Analysis'!$D$121*T574+AA574*'Part 3 Portfolio Analysis'!$E$121+'Part 3 Portfolio Analysis'!$F$121*AH574</f>
        <v>-5.0002E-4</v>
      </c>
      <c r="AM574" s="91"/>
      <c r="AN574" s="90">
        <v>45498</v>
      </c>
      <c r="AO574" s="91">
        <v>24230.949219999999</v>
      </c>
      <c r="AP574" s="91">
        <v>24406.099610000001</v>
      </c>
      <c r="AQ574" s="91">
        <v>24406.099610000001</v>
      </c>
      <c r="AR574" s="91">
        <v>391800</v>
      </c>
      <c r="AS574" s="91">
        <v>-2.9999999999999997E-4</v>
      </c>
    </row>
    <row r="575" spans="1:45" x14ac:dyDescent="0.55000000000000004">
      <c r="A575" s="90">
        <v>45499</v>
      </c>
      <c r="B575" s="91">
        <v>6871</v>
      </c>
      <c r="C575" s="91">
        <v>6961.6000979999999</v>
      </c>
      <c r="D575" s="91">
        <v>6883.7294920000004</v>
      </c>
      <c r="E575" s="91">
        <v>68837</v>
      </c>
      <c r="F575" s="91">
        <v>1.34E-2</v>
      </c>
      <c r="H575" s="90">
        <v>45499</v>
      </c>
      <c r="I575" s="91">
        <v>1492.400024</v>
      </c>
      <c r="J575" s="91">
        <v>1509.025024</v>
      </c>
      <c r="K575" s="91">
        <v>1497.9381100000001</v>
      </c>
      <c r="L575" s="91">
        <v>9859940</v>
      </c>
      <c r="M575" s="91">
        <v>1.11E-2</v>
      </c>
      <c r="O575" s="90">
        <v>45499</v>
      </c>
      <c r="P575" s="91">
        <v>802.5</v>
      </c>
      <c r="Q575" s="91">
        <v>809.07501219999995</v>
      </c>
      <c r="R575" s="91">
        <v>798.28460689999997</v>
      </c>
      <c r="S575" s="91">
        <v>43810540</v>
      </c>
      <c r="T575" s="91">
        <v>1E-3</v>
      </c>
      <c r="V575" s="90">
        <v>45499</v>
      </c>
      <c r="W575" s="91">
        <v>1825.349976</v>
      </c>
      <c r="X575" s="91">
        <v>1878.900024</v>
      </c>
      <c r="Y575" s="91">
        <v>1804.348999</v>
      </c>
      <c r="Z575" s="91">
        <v>11369047</v>
      </c>
      <c r="AA575" s="91">
        <v>2.9600000000000001E-2</v>
      </c>
      <c r="AB575" s="91"/>
      <c r="AC575" s="90">
        <v>45499</v>
      </c>
      <c r="AD575" s="91">
        <v>5360</v>
      </c>
      <c r="AE575" s="91">
        <v>5393.3500979999999</v>
      </c>
      <c r="AF575" s="91">
        <v>5388.6816410000001</v>
      </c>
      <c r="AG575" s="91">
        <v>336310</v>
      </c>
      <c r="AH575" s="91">
        <v>1.5699999999999999E-2</v>
      </c>
      <c r="AI575" s="91"/>
      <c r="AJ575" s="91">
        <f>(F575*'Part 3 Portfolio Analysis'!$B$8+M575*'Part 3 Portfolio Analysis'!$C$8+T575*'Part 3 Portfolio Analysis'!$D$8+AA575*'Part 3 Portfolio Analysis'!$E$8+AH575*'Part 3 Portfolio Analysis'!$F$8)/100</f>
        <v>1.3127421313955161E-2</v>
      </c>
      <c r="AK575" s="91">
        <f>'Part 3 Portfolio Analysis'!$B$107*F575+M575*'Part 3 Portfolio Analysis'!$C$107+T575*'Part 3 Portfolio Analysis'!$D$107+AA575*'Part 3 Portfolio Analysis'!$E$107+AH575*'Part 3 Portfolio Analysis'!$F$107</f>
        <v>1.2957699999999999E-2</v>
      </c>
      <c r="AL575" s="91">
        <f>F575*'Part 3 Portfolio Analysis'!$B$121+M575*'Part 3 Portfolio Analysis'!$C$121+'Part 3 Portfolio Analysis'!$D$121*T575+AA575*'Part 3 Portfolio Analysis'!$E$121+'Part 3 Portfolio Analysis'!$F$121*AH575</f>
        <v>1.2362379999999999E-2</v>
      </c>
      <c r="AM575" s="91"/>
      <c r="AN575" s="90">
        <v>45499</v>
      </c>
      <c r="AO575" s="91">
        <v>24423.349610000001</v>
      </c>
      <c r="AP575" s="91">
        <v>24834.849610000001</v>
      </c>
      <c r="AQ575" s="91">
        <v>24834.849610000001</v>
      </c>
      <c r="AR575" s="91">
        <v>383800</v>
      </c>
      <c r="AS575" s="91">
        <v>1.7600000000000001E-2</v>
      </c>
    </row>
    <row r="576" spans="1:45" x14ac:dyDescent="0.55000000000000004">
      <c r="A576" s="90">
        <v>45502</v>
      </c>
      <c r="B576" s="91">
        <v>6975</v>
      </c>
      <c r="C576" s="91">
        <v>6930.2001950000003</v>
      </c>
      <c r="D576" s="91">
        <v>6852.6811520000001</v>
      </c>
      <c r="E576" s="91">
        <v>64690</v>
      </c>
      <c r="F576" s="91">
        <v>-4.4999999999999997E-3</v>
      </c>
      <c r="H576" s="90">
        <v>45502</v>
      </c>
      <c r="I576" s="91">
        <v>1511.9499510000001</v>
      </c>
      <c r="J576" s="91">
        <v>1520.099976</v>
      </c>
      <c r="K576" s="91">
        <v>1508.9316409999999</v>
      </c>
      <c r="L576" s="91">
        <v>7538550</v>
      </c>
      <c r="M576" s="91">
        <v>7.3000000000000001E-3</v>
      </c>
      <c r="O576" s="90">
        <v>45502</v>
      </c>
      <c r="P576" s="91">
        <v>807.5</v>
      </c>
      <c r="Q576" s="91">
        <v>802.52502440000001</v>
      </c>
      <c r="R576" s="91">
        <v>791.82202150000001</v>
      </c>
      <c r="S576" s="91">
        <v>51001148</v>
      </c>
      <c r="T576" s="91">
        <v>-8.0999999999999996E-3</v>
      </c>
      <c r="V576" s="90">
        <v>45502</v>
      </c>
      <c r="W576" s="91">
        <v>1893.599976</v>
      </c>
      <c r="X576" s="91">
        <v>1871.099976</v>
      </c>
      <c r="Y576" s="91">
        <v>1796.8583980000001</v>
      </c>
      <c r="Z576" s="91">
        <v>4635931</v>
      </c>
      <c r="AA576" s="91">
        <v>-4.1999999999999997E-3</v>
      </c>
      <c r="AB576" s="91"/>
      <c r="AC576" s="90">
        <v>45502</v>
      </c>
      <c r="AD576" s="91">
        <v>5414.9501950000003</v>
      </c>
      <c r="AE576" s="91">
        <v>5517.3999020000001</v>
      </c>
      <c r="AF576" s="91">
        <v>5512.6240230000003</v>
      </c>
      <c r="AG576" s="91">
        <v>533654</v>
      </c>
      <c r="AH576" s="91">
        <v>2.3E-2</v>
      </c>
      <c r="AI576" s="91"/>
      <c r="AJ576" s="91">
        <f>(F576*'Part 3 Portfolio Analysis'!$B$8+M576*'Part 3 Portfolio Analysis'!$C$8+T576*'Part 3 Portfolio Analysis'!$D$8+AA576*'Part 3 Portfolio Analysis'!$E$8+AH576*'Part 3 Portfolio Analysis'!$F$8)/100</f>
        <v>-5.0620617061684361E-4</v>
      </c>
      <c r="AK576" s="91">
        <f>'Part 3 Portfolio Analysis'!$B$107*F576+M576*'Part 3 Portfolio Analysis'!$C$107+T576*'Part 3 Portfolio Analysis'!$D$107+AA576*'Part 3 Portfolio Analysis'!$E$107+AH576*'Part 3 Portfolio Analysis'!$F$107</f>
        <v>5.5954000000000004E-3</v>
      </c>
      <c r="AL576" s="91">
        <f>F576*'Part 3 Portfolio Analysis'!$B$121+M576*'Part 3 Portfolio Analysis'!$C$121+'Part 3 Portfolio Analysis'!$D$121*T576+AA576*'Part 3 Portfolio Analysis'!$E$121+'Part 3 Portfolio Analysis'!$F$121*AH576</f>
        <v>2.5257999999999965E-4</v>
      </c>
      <c r="AM576" s="91"/>
      <c r="AN576" s="90">
        <v>45502</v>
      </c>
      <c r="AO576" s="91">
        <v>24943.300780000001</v>
      </c>
      <c r="AP576" s="91">
        <v>24836.099610000001</v>
      </c>
      <c r="AQ576" s="91">
        <v>24836.099610000001</v>
      </c>
      <c r="AR576" s="91">
        <v>355000</v>
      </c>
      <c r="AS576" s="91">
        <v>1E-4</v>
      </c>
    </row>
    <row r="577" spans="1:45" x14ac:dyDescent="0.55000000000000004">
      <c r="A577" s="90">
        <v>45503</v>
      </c>
      <c r="B577" s="91">
        <v>6935</v>
      </c>
      <c r="C577" s="91">
        <v>6925.6000979999999</v>
      </c>
      <c r="D577" s="91">
        <v>6848.1323240000002</v>
      </c>
      <c r="E577" s="91">
        <v>49770</v>
      </c>
      <c r="F577" s="91">
        <v>-6.9999999999999999E-4</v>
      </c>
      <c r="H577" s="90">
        <v>45503</v>
      </c>
      <c r="I577" s="91">
        <v>1517.025024</v>
      </c>
      <c r="J577" s="91">
        <v>1513.150024</v>
      </c>
      <c r="K577" s="91">
        <v>1502.032837</v>
      </c>
      <c r="L577" s="91">
        <v>8228208</v>
      </c>
      <c r="M577" s="91">
        <v>-4.5999999999999999E-3</v>
      </c>
      <c r="O577" s="90">
        <v>45503</v>
      </c>
      <c r="P577" s="91">
        <v>801</v>
      </c>
      <c r="Q577" s="91">
        <v>807.77502440000001</v>
      </c>
      <c r="R577" s="91">
        <v>797.00201419999996</v>
      </c>
      <c r="S577" s="91">
        <v>54595834</v>
      </c>
      <c r="T577" s="91">
        <v>6.4999999999999997E-3</v>
      </c>
      <c r="V577" s="90">
        <v>45503</v>
      </c>
      <c r="W577" s="91">
        <v>1871.099976</v>
      </c>
      <c r="X577" s="91">
        <v>1877.150024</v>
      </c>
      <c r="Y577" s="91">
        <v>1802.6683350000001</v>
      </c>
      <c r="Z577" s="91">
        <v>2721265</v>
      </c>
      <c r="AA577" s="91">
        <v>3.2000000000000002E-3</v>
      </c>
      <c r="AB577" s="91"/>
      <c r="AC577" s="90">
        <v>45503</v>
      </c>
      <c r="AD577" s="91">
        <v>5550</v>
      </c>
      <c r="AE577" s="91">
        <v>5620.5</v>
      </c>
      <c r="AF577" s="91">
        <v>5615.6352539999998</v>
      </c>
      <c r="AG577" s="91">
        <v>789712</v>
      </c>
      <c r="AH577" s="91">
        <v>1.8700000000000001E-2</v>
      </c>
      <c r="AI577" s="91"/>
      <c r="AJ577" s="91">
        <f>(F577*'Part 3 Portfolio Analysis'!$B$8+M577*'Part 3 Portfolio Analysis'!$C$8+T577*'Part 3 Portfolio Analysis'!$D$8+AA577*'Part 3 Portfolio Analysis'!$E$8+AH577*'Part 3 Portfolio Analysis'!$F$8)/100</f>
        <v>-9.5372374479981673E-5</v>
      </c>
      <c r="AK577" s="91">
        <f>'Part 3 Portfolio Analysis'!$B$107*F577+M577*'Part 3 Portfolio Analysis'!$C$107+T577*'Part 3 Portfolio Analysis'!$D$107+AA577*'Part 3 Portfolio Analysis'!$E$107+AH577*'Part 3 Portfolio Analysis'!$F$107</f>
        <v>4.4741E-3</v>
      </c>
      <c r="AL577" s="91">
        <f>F577*'Part 3 Portfolio Analysis'!$B$121+M577*'Part 3 Portfolio Analysis'!$C$121+'Part 3 Portfolio Analysis'!$D$121*T577+AA577*'Part 3 Portfolio Analysis'!$E$121+'Part 3 Portfolio Analysis'!$F$121*AH577</f>
        <v>9.1024000000000031E-4</v>
      </c>
      <c r="AM577" s="91"/>
      <c r="AN577" s="90">
        <v>45503</v>
      </c>
      <c r="AO577" s="91">
        <v>24839.400389999999</v>
      </c>
      <c r="AP577" s="91">
        <v>24857.300780000001</v>
      </c>
      <c r="AQ577" s="91">
        <v>24857.300780000001</v>
      </c>
      <c r="AR577" s="91">
        <v>385000</v>
      </c>
      <c r="AS577" s="91">
        <v>8.9999999999999998E-4</v>
      </c>
    </row>
    <row r="578" spans="1:45" x14ac:dyDescent="0.55000000000000004">
      <c r="A578" s="90">
        <v>45504</v>
      </c>
      <c r="B578" s="91">
        <v>6925</v>
      </c>
      <c r="C578" s="91">
        <v>6984.5</v>
      </c>
      <c r="D578" s="91">
        <v>6906.3735349999997</v>
      </c>
      <c r="E578" s="91">
        <v>82695</v>
      </c>
      <c r="F578" s="91">
        <v>8.5000000000000006E-3</v>
      </c>
      <c r="H578" s="90">
        <v>45504</v>
      </c>
      <c r="I578" s="91">
        <v>1504</v>
      </c>
      <c r="J578" s="91">
        <v>1505.4250489999999</v>
      </c>
      <c r="K578" s="91">
        <v>1494.3645019999999</v>
      </c>
      <c r="L578" s="91">
        <v>10057346</v>
      </c>
      <c r="M578" s="91">
        <v>-5.1000000000000004E-3</v>
      </c>
      <c r="O578" s="90">
        <v>45504</v>
      </c>
      <c r="P578" s="91">
        <v>807</v>
      </c>
      <c r="Q578" s="91">
        <v>807.875</v>
      </c>
      <c r="R578" s="91">
        <v>797.10064699999998</v>
      </c>
      <c r="S578" s="91">
        <v>37820484</v>
      </c>
      <c r="T578" s="91">
        <v>1E-4</v>
      </c>
      <c r="V578" s="90">
        <v>45504</v>
      </c>
      <c r="W578" s="91">
        <v>1877</v>
      </c>
      <c r="X578" s="91">
        <v>1868.25</v>
      </c>
      <c r="Y578" s="91">
        <v>1794.1214600000001</v>
      </c>
      <c r="Z578" s="91">
        <v>5004209</v>
      </c>
      <c r="AA578" s="91">
        <v>-4.7000000000000002E-3</v>
      </c>
      <c r="AB578" s="91"/>
      <c r="AC578" s="90">
        <v>45504</v>
      </c>
      <c r="AD578" s="91">
        <v>5625.0498049999997</v>
      </c>
      <c r="AE578" s="91">
        <v>5839</v>
      </c>
      <c r="AF578" s="91">
        <v>5833.9458009999998</v>
      </c>
      <c r="AG578" s="91">
        <v>1671711</v>
      </c>
      <c r="AH578" s="91">
        <v>3.8899999999999997E-2</v>
      </c>
      <c r="AI578" s="91"/>
      <c r="AJ578" s="91">
        <f>(F578*'Part 3 Portfolio Analysis'!$B$8+M578*'Part 3 Portfolio Analysis'!$C$8+T578*'Part 3 Portfolio Analysis'!$D$8+AA578*'Part 3 Portfolio Analysis'!$E$8+AH578*'Part 3 Portfolio Analysis'!$F$8)/100</f>
        <v>3.4183772960358729E-4</v>
      </c>
      <c r="AK578" s="91">
        <f>'Part 3 Portfolio Analysis'!$B$107*F578+M578*'Part 3 Portfolio Analysis'!$C$107+T578*'Part 3 Portfolio Analysis'!$D$107+AA578*'Part 3 Portfolio Analysis'!$E$107+AH578*'Part 3 Portfolio Analysis'!$F$107</f>
        <v>9.2819999999999986E-3</v>
      </c>
      <c r="AL578" s="91">
        <f>F578*'Part 3 Portfolio Analysis'!$B$121+M578*'Part 3 Portfolio Analysis'!$C$121+'Part 3 Portfolio Analysis'!$D$121*T578+AA578*'Part 3 Portfolio Analysis'!$E$121+'Part 3 Portfolio Analysis'!$F$121*AH578</f>
        <v>-1.3348800000000003E-3</v>
      </c>
      <c r="AM578" s="91"/>
      <c r="AN578" s="90">
        <v>45504</v>
      </c>
      <c r="AO578" s="91">
        <v>24886.699219999999</v>
      </c>
      <c r="AP578" s="91">
        <v>24951.150389999999</v>
      </c>
      <c r="AQ578" s="91">
        <v>24951.150389999999</v>
      </c>
      <c r="AR578" s="91">
        <v>333600</v>
      </c>
      <c r="AS578" s="91">
        <v>3.8E-3</v>
      </c>
    </row>
    <row r="579" spans="1:45" x14ac:dyDescent="0.55000000000000004">
      <c r="A579" s="90">
        <v>45505</v>
      </c>
      <c r="B579" s="91">
        <v>7000</v>
      </c>
      <c r="C579" s="91">
        <v>6942.9501950000003</v>
      </c>
      <c r="D579" s="91">
        <v>6865.2885740000002</v>
      </c>
      <c r="E579" s="91">
        <v>55665</v>
      </c>
      <c r="F579" s="91">
        <v>-5.8999999999999999E-3</v>
      </c>
      <c r="H579" s="90">
        <v>45505</v>
      </c>
      <c r="I579" s="91">
        <v>1512</v>
      </c>
      <c r="J579" s="91">
        <v>1515.3000489999999</v>
      </c>
      <c r="K579" s="91">
        <v>1504.1671140000001</v>
      </c>
      <c r="L579" s="91">
        <v>10764222</v>
      </c>
      <c r="M579" s="91">
        <v>6.6E-3</v>
      </c>
      <c r="O579" s="90">
        <v>45505</v>
      </c>
      <c r="P579" s="91">
        <v>811.45001219999995</v>
      </c>
      <c r="Q579" s="91">
        <v>819.40002440000001</v>
      </c>
      <c r="R579" s="91">
        <v>808.47192380000001</v>
      </c>
      <c r="S579" s="91">
        <v>26215174</v>
      </c>
      <c r="T579" s="91">
        <v>1.43E-2</v>
      </c>
      <c r="V579" s="90">
        <v>45505</v>
      </c>
      <c r="W579" s="91">
        <v>1856.099976</v>
      </c>
      <c r="X579" s="91">
        <v>1852.599976</v>
      </c>
      <c r="Y579" s="91">
        <v>1779.0924070000001</v>
      </c>
      <c r="Z579" s="91">
        <v>7475014</v>
      </c>
      <c r="AA579" s="91">
        <v>-8.3999999999999995E-3</v>
      </c>
      <c r="AB579" s="91"/>
      <c r="AC579" s="90">
        <v>45505</v>
      </c>
      <c r="AD579" s="91">
        <v>5894</v>
      </c>
      <c r="AE579" s="91">
        <v>5770.7998049999997</v>
      </c>
      <c r="AF579" s="91">
        <v>5765.8046880000002</v>
      </c>
      <c r="AG579" s="91">
        <v>767562</v>
      </c>
      <c r="AH579" s="91">
        <v>-1.17E-2</v>
      </c>
      <c r="AI579" s="91"/>
      <c r="AJ579" s="91">
        <f>(F579*'Part 3 Portfolio Analysis'!$B$8+M579*'Part 3 Portfolio Analysis'!$C$8+T579*'Part 3 Portfolio Analysis'!$D$8+AA579*'Part 3 Portfolio Analysis'!$E$8+AH579*'Part 3 Portfolio Analysis'!$F$8)/100</f>
        <v>1.5415974234121918E-3</v>
      </c>
      <c r="AK579" s="91">
        <f>'Part 3 Portfolio Analysis'!$B$107*F579+M579*'Part 3 Portfolio Analysis'!$C$107+T579*'Part 3 Portfolio Analysis'!$D$107+AA579*'Part 3 Portfolio Analysis'!$E$107+AH579*'Part 3 Portfolio Analysis'!$F$107</f>
        <v>-5.6809999999999977E-4</v>
      </c>
      <c r="AL579" s="91">
        <f>F579*'Part 3 Portfolio Analysis'!$B$121+M579*'Part 3 Portfolio Analysis'!$C$121+'Part 3 Portfolio Analysis'!$D$121*T579+AA579*'Part 3 Portfolio Analysis'!$E$121+'Part 3 Portfolio Analysis'!$F$121*AH579</f>
        <v>4.1874400000000006E-3</v>
      </c>
      <c r="AM579" s="91"/>
      <c r="AN579" s="90">
        <v>45505</v>
      </c>
      <c r="AO579" s="91">
        <v>25030.949219999999</v>
      </c>
      <c r="AP579" s="91">
        <v>25010.900389999999</v>
      </c>
      <c r="AQ579" s="91">
        <v>25010.900389999999</v>
      </c>
      <c r="AR579" s="91">
        <v>431300</v>
      </c>
      <c r="AS579" s="91">
        <v>2.3999999999999998E-3</v>
      </c>
    </row>
    <row r="580" spans="1:45" x14ac:dyDescent="0.55000000000000004">
      <c r="A580" s="90">
        <v>45506</v>
      </c>
      <c r="B580" s="91">
        <v>6918</v>
      </c>
      <c r="C580" s="91">
        <v>6911.0498049999997</v>
      </c>
      <c r="D580" s="91">
        <v>6833.7446289999998</v>
      </c>
      <c r="E580" s="91">
        <v>51480</v>
      </c>
      <c r="F580" s="91">
        <v>-4.5999999999999999E-3</v>
      </c>
      <c r="H580" s="90">
        <v>45506</v>
      </c>
      <c r="I580" s="91">
        <v>1505</v>
      </c>
      <c r="J580" s="91">
        <v>1499.3249510000001</v>
      </c>
      <c r="K580" s="91">
        <v>1488.3093260000001</v>
      </c>
      <c r="L580" s="91">
        <v>10268248</v>
      </c>
      <c r="M580" s="91">
        <v>-1.0500000000000001E-2</v>
      </c>
      <c r="O580" s="90">
        <v>45506</v>
      </c>
      <c r="P580" s="91">
        <v>815.5</v>
      </c>
      <c r="Q580" s="91">
        <v>829.57501219999995</v>
      </c>
      <c r="R580" s="91">
        <v>818.51123050000001</v>
      </c>
      <c r="S580" s="91">
        <v>44119238</v>
      </c>
      <c r="T580" s="91">
        <v>1.24E-2</v>
      </c>
      <c r="V580" s="90">
        <v>45506</v>
      </c>
      <c r="W580" s="91">
        <v>1843</v>
      </c>
      <c r="X580" s="91">
        <v>1821.1999510000001</v>
      </c>
      <c r="Y580" s="91">
        <v>1748.9383539999999</v>
      </c>
      <c r="Z580" s="91">
        <v>7400938</v>
      </c>
      <c r="AA580" s="91">
        <v>-1.6899999999999998E-2</v>
      </c>
      <c r="AB580" s="91"/>
      <c r="AC580" s="90">
        <v>45506</v>
      </c>
      <c r="AD580" s="91">
        <v>5725</v>
      </c>
      <c r="AE580" s="91">
        <v>5538.25</v>
      </c>
      <c r="AF580" s="91">
        <v>5533.4560549999997</v>
      </c>
      <c r="AG580" s="91">
        <v>560989</v>
      </c>
      <c r="AH580" s="91">
        <v>-4.0300000000000002E-2</v>
      </c>
      <c r="AI580" s="91"/>
      <c r="AJ580" s="91">
        <f>(F580*'Part 3 Portfolio Analysis'!$B$8+M580*'Part 3 Portfolio Analysis'!$C$8+T580*'Part 3 Portfolio Analysis'!$D$8+AA580*'Part 3 Portfolio Analysis'!$E$8+AH580*'Part 3 Portfolio Analysis'!$F$8)/100</f>
        <v>-6.231217192170263E-3</v>
      </c>
      <c r="AK580" s="91">
        <f>'Part 3 Portfolio Analysis'!$B$107*F580+M580*'Part 3 Portfolio Analysis'!$C$107+T580*'Part 3 Portfolio Analysis'!$D$107+AA580*'Part 3 Portfolio Analysis'!$E$107+AH580*'Part 3 Portfolio Analysis'!$F$107</f>
        <v>-1.4038100000000001E-2</v>
      </c>
      <c r="AL580" s="91">
        <f>F580*'Part 3 Portfolio Analysis'!$B$121+M580*'Part 3 Portfolio Analysis'!$C$121+'Part 3 Portfolio Analysis'!$D$121*T580+AA580*'Part 3 Portfolio Analysis'!$E$121+'Part 3 Portfolio Analysis'!$F$121*AH580</f>
        <v>-5.8469799999999999E-3</v>
      </c>
      <c r="AM580" s="91"/>
      <c r="AN580" s="90">
        <v>45506</v>
      </c>
      <c r="AO580" s="91">
        <v>24789</v>
      </c>
      <c r="AP580" s="91">
        <v>24717.699219999999</v>
      </c>
      <c r="AQ580" s="91">
        <v>24717.699219999999</v>
      </c>
      <c r="AR580" s="91">
        <v>345000</v>
      </c>
      <c r="AS580" s="91">
        <v>-1.17E-2</v>
      </c>
    </row>
    <row r="581" spans="1:45" x14ac:dyDescent="0.55000000000000004">
      <c r="A581" s="90">
        <v>45509</v>
      </c>
      <c r="B581" s="91">
        <v>6831.2001950000003</v>
      </c>
      <c r="C581" s="91">
        <v>6777.7998049999997</v>
      </c>
      <c r="D581" s="91">
        <v>6701.9853519999997</v>
      </c>
      <c r="E581" s="91">
        <v>105442</v>
      </c>
      <c r="F581" s="91">
        <v>-1.9300000000000001E-2</v>
      </c>
      <c r="H581" s="90">
        <v>45509</v>
      </c>
      <c r="I581" s="91">
        <v>1480</v>
      </c>
      <c r="J581" s="91">
        <v>1447.3249510000001</v>
      </c>
      <c r="K581" s="91">
        <v>1436.6914059999999</v>
      </c>
      <c r="L581" s="91">
        <v>17046704</v>
      </c>
      <c r="M581" s="91">
        <v>-3.4700000000000002E-2</v>
      </c>
      <c r="O581" s="90">
        <v>45509</v>
      </c>
      <c r="P581" s="91">
        <v>820.04998780000005</v>
      </c>
      <c r="Q581" s="91">
        <v>807.875</v>
      </c>
      <c r="R581" s="91">
        <v>797.10064699999998</v>
      </c>
      <c r="S581" s="91">
        <v>41333634</v>
      </c>
      <c r="T581" s="91">
        <v>-2.6200000000000001E-2</v>
      </c>
      <c r="V581" s="90">
        <v>45509</v>
      </c>
      <c r="W581" s="91">
        <v>1784.9499510000001</v>
      </c>
      <c r="X581" s="91">
        <v>1751.900024</v>
      </c>
      <c r="Y581" s="91">
        <v>1682.3881839999999</v>
      </c>
      <c r="Z581" s="91">
        <v>10736703</v>
      </c>
      <c r="AA581" s="91">
        <v>-3.8100000000000002E-2</v>
      </c>
      <c r="AB581" s="91"/>
      <c r="AC581" s="90">
        <v>45509</v>
      </c>
      <c r="AD581" s="91">
        <v>5360</v>
      </c>
      <c r="AE581" s="91">
        <v>5346.8999020000001</v>
      </c>
      <c r="AF581" s="91">
        <v>5342.2719729999999</v>
      </c>
      <c r="AG581" s="91">
        <v>1074769</v>
      </c>
      <c r="AH581" s="91">
        <v>-3.4599999999999999E-2</v>
      </c>
      <c r="AI581" s="91"/>
      <c r="AJ581" s="91">
        <f>(F581*'Part 3 Portfolio Analysis'!$B$8+M581*'Part 3 Portfolio Analysis'!$C$8+T581*'Part 3 Portfolio Analysis'!$D$8+AA581*'Part 3 Portfolio Analysis'!$E$8+AH581*'Part 3 Portfolio Analysis'!$F$8)/100</f>
        <v>-2.9208288824275605E-2</v>
      </c>
      <c r="AK581" s="91">
        <f>'Part 3 Portfolio Analysis'!$B$107*F581+M581*'Part 3 Portfolio Analysis'!$C$107+T581*'Part 3 Portfolio Analysis'!$D$107+AA581*'Part 3 Portfolio Analysis'!$E$107+AH581*'Part 3 Portfolio Analysis'!$F$107</f>
        <v>-3.0925299999999999E-2</v>
      </c>
      <c r="AL581" s="91">
        <f>F581*'Part 3 Portfolio Analysis'!$B$121+M581*'Part 3 Portfolio Analysis'!$C$121+'Part 3 Portfolio Analysis'!$D$121*T581+AA581*'Part 3 Portfolio Analysis'!$E$121+'Part 3 Portfolio Analysis'!$F$121*AH581</f>
        <v>-3.1799500000000001E-2</v>
      </c>
      <c r="AM581" s="91"/>
      <c r="AN581" s="90">
        <v>45509</v>
      </c>
      <c r="AO581" s="91">
        <v>24302.849610000001</v>
      </c>
      <c r="AP581" s="91">
        <v>24055.599610000001</v>
      </c>
      <c r="AQ581" s="91">
        <v>24055.599610000001</v>
      </c>
      <c r="AR581" s="91">
        <v>487000</v>
      </c>
      <c r="AS581" s="91">
        <v>-2.6800000000000001E-2</v>
      </c>
    </row>
    <row r="582" spans="1:45" x14ac:dyDescent="0.55000000000000004">
      <c r="A582" s="90">
        <v>45510</v>
      </c>
      <c r="B582" s="91">
        <v>6777.7998049999997</v>
      </c>
      <c r="C582" s="91">
        <v>6696</v>
      </c>
      <c r="D582" s="91">
        <v>6621.1005859999996</v>
      </c>
      <c r="E582" s="91">
        <v>96655</v>
      </c>
      <c r="F582" s="91">
        <v>-1.21E-2</v>
      </c>
      <c r="H582" s="90">
        <v>45510</v>
      </c>
      <c r="I582" s="91">
        <v>1455.150024</v>
      </c>
      <c r="J582" s="91">
        <v>1456.0500489999999</v>
      </c>
      <c r="K582" s="91">
        <v>1445.3522949999999</v>
      </c>
      <c r="L582" s="91">
        <v>10236186</v>
      </c>
      <c r="M582" s="91">
        <v>6.0000000000000001E-3</v>
      </c>
      <c r="O582" s="90">
        <v>45510</v>
      </c>
      <c r="P582" s="91">
        <v>815</v>
      </c>
      <c r="Q582" s="91">
        <v>800.59997559999999</v>
      </c>
      <c r="R582" s="91">
        <v>789.92260739999995</v>
      </c>
      <c r="S582" s="91">
        <v>45116050</v>
      </c>
      <c r="T582" s="91">
        <v>-8.9999999999999993E-3</v>
      </c>
      <c r="V582" s="90">
        <v>45510</v>
      </c>
      <c r="W582" s="91">
        <v>1760.1999510000001</v>
      </c>
      <c r="X582" s="91">
        <v>1751.099976</v>
      </c>
      <c r="Y582" s="91">
        <v>1681.619751</v>
      </c>
      <c r="Z582" s="91">
        <v>7690163</v>
      </c>
      <c r="AA582" s="91">
        <v>-5.0000000000000001E-4</v>
      </c>
      <c r="AB582" s="91"/>
      <c r="AC582" s="90">
        <v>45510</v>
      </c>
      <c r="AD582" s="91">
        <v>5355.1000979999999</v>
      </c>
      <c r="AE582" s="91">
        <v>5220.7001950000003</v>
      </c>
      <c r="AF582" s="91">
        <v>5216.1811520000001</v>
      </c>
      <c r="AG582" s="91">
        <v>642644</v>
      </c>
      <c r="AH582" s="91">
        <v>-2.3599999999999999E-2</v>
      </c>
      <c r="AI582" s="91"/>
      <c r="AJ582" s="91">
        <f>(F582*'Part 3 Portfolio Analysis'!$B$8+M582*'Part 3 Portfolio Analysis'!$C$8+T582*'Part 3 Portfolio Analysis'!$D$8+AA582*'Part 3 Portfolio Analysis'!$E$8+AH582*'Part 3 Portfolio Analysis'!$F$8)/100</f>
        <v>-3.2675571762155312E-3</v>
      </c>
      <c r="AK582" s="91">
        <f>'Part 3 Portfolio Analysis'!$B$107*F582+M582*'Part 3 Portfolio Analysis'!$C$107+T582*'Part 3 Portfolio Analysis'!$D$107+AA582*'Part 3 Portfolio Analysis'!$E$107+AH582*'Part 3 Portfolio Analysis'!$F$107</f>
        <v>-7.6921999999999997E-3</v>
      </c>
      <c r="AL582" s="91">
        <f>F582*'Part 3 Portfolio Analysis'!$B$121+M582*'Part 3 Portfolio Analysis'!$C$121+'Part 3 Portfolio Analysis'!$D$121*T582+AA582*'Part 3 Portfolio Analysis'!$E$121+'Part 3 Portfolio Analysis'!$F$121*AH582</f>
        <v>-1.6433400000000001E-3</v>
      </c>
      <c r="AM582" s="91"/>
      <c r="AN582" s="90">
        <v>45510</v>
      </c>
      <c r="AO582" s="91">
        <v>24189.849610000001</v>
      </c>
      <c r="AP582" s="91">
        <v>23992.550780000001</v>
      </c>
      <c r="AQ582" s="91">
        <v>23992.550780000001</v>
      </c>
      <c r="AR582" s="91">
        <v>312300</v>
      </c>
      <c r="AS582" s="91">
        <v>-2.5999999999999999E-3</v>
      </c>
    </row>
    <row r="583" spans="1:45" x14ac:dyDescent="0.55000000000000004">
      <c r="A583" s="90">
        <v>45511</v>
      </c>
      <c r="B583" s="91">
        <v>6750</v>
      </c>
      <c r="C583" s="91">
        <v>6844.4501950000003</v>
      </c>
      <c r="D583" s="91">
        <v>6767.8901370000003</v>
      </c>
      <c r="E583" s="91">
        <v>66125</v>
      </c>
      <c r="F583" s="91">
        <v>2.2200000000000001E-2</v>
      </c>
      <c r="H583" s="90">
        <v>45511</v>
      </c>
      <c r="I583" s="91">
        <v>1469</v>
      </c>
      <c r="J583" s="91">
        <v>1464.8249510000001</v>
      </c>
      <c r="K583" s="91">
        <v>1454.0627440000001</v>
      </c>
      <c r="L583" s="91">
        <v>8174568</v>
      </c>
      <c r="M583" s="91">
        <v>6.0000000000000001E-3</v>
      </c>
      <c r="O583" s="90">
        <v>45511</v>
      </c>
      <c r="P583" s="91">
        <v>808.5</v>
      </c>
      <c r="Q583" s="91">
        <v>811.75</v>
      </c>
      <c r="R583" s="91">
        <v>800.92395020000004</v>
      </c>
      <c r="S583" s="91">
        <v>42346264</v>
      </c>
      <c r="T583" s="91">
        <v>1.3899999999999999E-2</v>
      </c>
      <c r="V583" s="90">
        <v>45511</v>
      </c>
      <c r="W583" s="91">
        <v>1796</v>
      </c>
      <c r="X583" s="91">
        <v>1791.650024</v>
      </c>
      <c r="Y583" s="91">
        <v>1720.560913</v>
      </c>
      <c r="Z583" s="91">
        <v>5094329</v>
      </c>
      <c r="AA583" s="91">
        <v>2.3199999999999998E-2</v>
      </c>
      <c r="AB583" s="91"/>
      <c r="AC583" s="90">
        <v>45511</v>
      </c>
      <c r="AD583" s="91">
        <v>5289</v>
      </c>
      <c r="AE583" s="91">
        <v>5472.4501950000003</v>
      </c>
      <c r="AF583" s="91">
        <v>5467.7133789999998</v>
      </c>
      <c r="AG583" s="91">
        <v>717292</v>
      </c>
      <c r="AH583" s="91">
        <v>4.82E-2</v>
      </c>
      <c r="AI583" s="91"/>
      <c r="AJ583" s="91">
        <f>(F583*'Part 3 Portfolio Analysis'!$B$8+M583*'Part 3 Portfolio Analysis'!$C$8+T583*'Part 3 Portfolio Analysis'!$D$8+AA583*'Part 3 Portfolio Analysis'!$E$8+AH583*'Part 3 Portfolio Analysis'!$F$8)/100</f>
        <v>1.5358323520736067E-2</v>
      </c>
      <c r="AK583" s="91">
        <f>'Part 3 Portfolio Analysis'!$B$107*F583+M583*'Part 3 Portfolio Analysis'!$C$107+T583*'Part 3 Portfolio Analysis'!$D$107+AA583*'Part 3 Portfolio Analysis'!$E$107+AH583*'Part 3 Portfolio Analysis'!$F$107</f>
        <v>2.2494899999999998E-2</v>
      </c>
      <c r="AL583" s="91">
        <f>F583*'Part 3 Portfolio Analysis'!$B$121+M583*'Part 3 Portfolio Analysis'!$C$121+'Part 3 Portfolio Analysis'!$D$121*T583+AA583*'Part 3 Portfolio Analysis'!$E$121+'Part 3 Portfolio Analysis'!$F$121*AH583</f>
        <v>1.402608E-2</v>
      </c>
      <c r="AM583" s="91"/>
      <c r="AN583" s="90">
        <v>45511</v>
      </c>
      <c r="AO583" s="91">
        <v>24289.400389999999</v>
      </c>
      <c r="AP583" s="91">
        <v>24297.5</v>
      </c>
      <c r="AQ583" s="91">
        <v>24297.5</v>
      </c>
      <c r="AR583" s="91">
        <v>317600</v>
      </c>
      <c r="AS583" s="91">
        <v>1.2699999999999999E-2</v>
      </c>
    </row>
    <row r="584" spans="1:45" x14ac:dyDescent="0.55000000000000004">
      <c r="A584" s="90">
        <v>45512</v>
      </c>
      <c r="B584" s="91">
        <v>6844.4501950000003</v>
      </c>
      <c r="C584" s="91">
        <v>6819.5</v>
      </c>
      <c r="D584" s="91">
        <v>6743.2192379999997</v>
      </c>
      <c r="E584" s="91">
        <v>43024</v>
      </c>
      <c r="F584" s="91">
        <v>-3.5999999999999999E-3</v>
      </c>
      <c r="H584" s="90">
        <v>45512</v>
      </c>
      <c r="I584" s="91">
        <v>1457.525024</v>
      </c>
      <c r="J584" s="91">
        <v>1449.125</v>
      </c>
      <c r="K584" s="91">
        <v>1438.478149</v>
      </c>
      <c r="L584" s="91">
        <v>12387192</v>
      </c>
      <c r="M584" s="91">
        <v>-1.0699999999999999E-2</v>
      </c>
      <c r="O584" s="90">
        <v>45512</v>
      </c>
      <c r="P584" s="91">
        <v>812</v>
      </c>
      <c r="Q584" s="91">
        <v>821.34997559999999</v>
      </c>
      <c r="R584" s="91">
        <v>810.39587400000005</v>
      </c>
      <c r="S584" s="91">
        <v>33976950</v>
      </c>
      <c r="T584" s="91">
        <v>1.18E-2</v>
      </c>
      <c r="V584" s="90">
        <v>45512</v>
      </c>
      <c r="W584" s="91">
        <v>1779.9499510000001</v>
      </c>
      <c r="X584" s="91">
        <v>1743.150024</v>
      </c>
      <c r="Y584" s="91">
        <v>1673.9852289999999</v>
      </c>
      <c r="Z584" s="91">
        <v>6227910</v>
      </c>
      <c r="AA584" s="91">
        <v>-2.7099999999999999E-2</v>
      </c>
      <c r="AB584" s="91"/>
      <c r="AC584" s="90">
        <v>45512</v>
      </c>
      <c r="AD584" s="91">
        <v>5515</v>
      </c>
      <c r="AE584" s="91">
        <v>5644.1000979999999</v>
      </c>
      <c r="AF584" s="91">
        <v>5639.2148440000001</v>
      </c>
      <c r="AG584" s="91">
        <v>1183241</v>
      </c>
      <c r="AH584" s="91">
        <v>3.1399999999999997E-2</v>
      </c>
      <c r="AI584" s="91"/>
      <c r="AJ584" s="91">
        <f>(F584*'Part 3 Portfolio Analysis'!$B$8+M584*'Part 3 Portfolio Analysis'!$C$8+T584*'Part 3 Portfolio Analysis'!$D$8+AA584*'Part 3 Portfolio Analysis'!$E$8+AH584*'Part 3 Portfolio Analysis'!$F$8)/100</f>
        <v>-7.0445563610419693E-3</v>
      </c>
      <c r="AK584" s="91">
        <f>'Part 3 Portfolio Analysis'!$B$107*F584+M584*'Part 3 Portfolio Analysis'!$C$107+T584*'Part 3 Portfolio Analysis'!$D$107+AA584*'Part 3 Portfolio Analysis'!$E$107+AH584*'Part 3 Portfolio Analysis'!$F$107</f>
        <v>3.0346999999999996E-3</v>
      </c>
      <c r="AL584" s="91">
        <f>F584*'Part 3 Portfolio Analysis'!$B$121+M584*'Part 3 Portfolio Analysis'!$C$121+'Part 3 Portfolio Analysis'!$D$121*T584+AA584*'Part 3 Portfolio Analysis'!$E$121+'Part 3 Portfolio Analysis'!$F$121*AH584</f>
        <v>-6.1733599999999993E-3</v>
      </c>
      <c r="AM584" s="91"/>
      <c r="AN584" s="90">
        <v>45512</v>
      </c>
      <c r="AO584" s="91">
        <v>24248.550780000001</v>
      </c>
      <c r="AP584" s="91">
        <v>24117</v>
      </c>
      <c r="AQ584" s="91">
        <v>24117</v>
      </c>
      <c r="AR584" s="91">
        <v>311900</v>
      </c>
      <c r="AS584" s="91">
        <v>-7.4000000000000003E-3</v>
      </c>
    </row>
    <row r="585" spans="1:45" x14ac:dyDescent="0.55000000000000004">
      <c r="A585" s="90">
        <v>45513</v>
      </c>
      <c r="B585" s="91">
        <v>6879</v>
      </c>
      <c r="C585" s="91">
        <v>6875.75</v>
      </c>
      <c r="D585" s="91">
        <v>6798.8398440000001</v>
      </c>
      <c r="E585" s="91">
        <v>47694</v>
      </c>
      <c r="F585" s="91">
        <v>8.2000000000000007E-3</v>
      </c>
      <c r="H585" s="90">
        <v>45513</v>
      </c>
      <c r="I585" s="91">
        <v>1460</v>
      </c>
      <c r="J585" s="91">
        <v>1474.3000489999999</v>
      </c>
      <c r="K585" s="91">
        <v>1463.4682620000001</v>
      </c>
      <c r="L585" s="91">
        <v>6249776</v>
      </c>
      <c r="M585" s="91">
        <v>1.7399999999999999E-2</v>
      </c>
      <c r="O585" s="90">
        <v>45513</v>
      </c>
      <c r="P585" s="91">
        <v>826</v>
      </c>
      <c r="Q585" s="91">
        <v>825.09997559999999</v>
      </c>
      <c r="R585" s="91">
        <v>814.0958862</v>
      </c>
      <c r="S585" s="91">
        <v>26644618</v>
      </c>
      <c r="T585" s="91">
        <v>4.5999999999999999E-3</v>
      </c>
      <c r="V585" s="90">
        <v>45513</v>
      </c>
      <c r="W585" s="91">
        <v>1771.25</v>
      </c>
      <c r="X585" s="91">
        <v>1770.75</v>
      </c>
      <c r="Y585" s="91">
        <v>1700.490112</v>
      </c>
      <c r="Z585" s="91">
        <v>4258524</v>
      </c>
      <c r="AA585" s="91">
        <v>1.5800000000000002E-2</v>
      </c>
      <c r="AB585" s="91"/>
      <c r="AC585" s="90">
        <v>45513</v>
      </c>
      <c r="AD585" s="91">
        <v>5738.8500979999999</v>
      </c>
      <c r="AE585" s="91">
        <v>6275.3500979999999</v>
      </c>
      <c r="AF585" s="91">
        <v>6269.9184569999998</v>
      </c>
      <c r="AG585" s="91">
        <v>6877196</v>
      </c>
      <c r="AH585" s="91">
        <v>0.1118</v>
      </c>
      <c r="AI585" s="91"/>
      <c r="AJ585" s="91">
        <f>(F585*'Part 3 Portfolio Analysis'!$B$8+M585*'Part 3 Portfolio Analysis'!$C$8+T585*'Part 3 Portfolio Analysis'!$D$8+AA585*'Part 3 Portfolio Analysis'!$E$8+AH585*'Part 3 Portfolio Analysis'!$F$8)/100</f>
        <v>1.3169931260961614E-2</v>
      </c>
      <c r="AK585" s="91">
        <f>'Part 3 Portfolio Analysis'!$B$107*F585+M585*'Part 3 Portfolio Analysis'!$C$107+T585*'Part 3 Portfolio Analysis'!$D$107+AA585*'Part 3 Portfolio Analysis'!$E$107+AH585*'Part 3 Portfolio Analysis'!$F$107</f>
        <v>3.73888E-2</v>
      </c>
      <c r="AL585" s="91">
        <f>F585*'Part 3 Portfolio Analysis'!$B$121+M585*'Part 3 Portfolio Analysis'!$C$121+'Part 3 Portfolio Analysis'!$D$121*T585+AA585*'Part 3 Portfolio Analysis'!$E$121+'Part 3 Portfolio Analysis'!$F$121*AH585</f>
        <v>1.531544E-2</v>
      </c>
      <c r="AM585" s="91"/>
      <c r="AN585" s="90">
        <v>45513</v>
      </c>
      <c r="AO585" s="91">
        <v>24386.849610000001</v>
      </c>
      <c r="AP585" s="91">
        <v>24367.5</v>
      </c>
      <c r="AQ585" s="91">
        <v>24367.5</v>
      </c>
      <c r="AR585" s="91">
        <v>215100</v>
      </c>
      <c r="AS585" s="91">
        <v>1.04E-2</v>
      </c>
    </row>
    <row r="586" spans="1:45" x14ac:dyDescent="0.55000000000000004">
      <c r="A586" s="90">
        <v>45516</v>
      </c>
      <c r="B586" s="91">
        <v>6875.75</v>
      </c>
      <c r="C586" s="91">
        <v>6834.3999020000001</v>
      </c>
      <c r="D586" s="91">
        <v>6757.9521480000003</v>
      </c>
      <c r="E586" s="91">
        <v>58216</v>
      </c>
      <c r="F586" s="91">
        <v>-6.0000000000000001E-3</v>
      </c>
      <c r="H586" s="90">
        <v>45516</v>
      </c>
      <c r="I586" s="91">
        <v>1470</v>
      </c>
      <c r="J586" s="91">
        <v>1460.625</v>
      </c>
      <c r="K586" s="91">
        <v>1449.893677</v>
      </c>
      <c r="L586" s="91">
        <v>8184584</v>
      </c>
      <c r="M586" s="91">
        <v>-9.2999999999999992E-3</v>
      </c>
      <c r="O586" s="90">
        <v>45516</v>
      </c>
      <c r="P586" s="91">
        <v>826</v>
      </c>
      <c r="Q586" s="91">
        <v>830.04998780000005</v>
      </c>
      <c r="R586" s="91">
        <v>818.97979740000005</v>
      </c>
      <c r="S586" s="91">
        <v>39316196</v>
      </c>
      <c r="T586" s="91">
        <v>6.0000000000000001E-3</v>
      </c>
      <c r="V586" s="90">
        <v>45516</v>
      </c>
      <c r="W586" s="91">
        <v>1773.0500489999999</v>
      </c>
      <c r="X586" s="91">
        <v>1797.400024</v>
      </c>
      <c r="Y586" s="91">
        <v>1726.082764</v>
      </c>
      <c r="Z586" s="91">
        <v>4315329</v>
      </c>
      <c r="AA586" s="91">
        <v>1.5100000000000001E-2</v>
      </c>
      <c r="AB586" s="91"/>
      <c r="AC586" s="90">
        <v>45516</v>
      </c>
      <c r="AD586" s="91">
        <v>6302.9501950000003</v>
      </c>
      <c r="AE586" s="91">
        <v>6382.3500979999999</v>
      </c>
      <c r="AF586" s="91">
        <v>6376.8256840000004</v>
      </c>
      <c r="AG586" s="91">
        <v>1889796</v>
      </c>
      <c r="AH586" s="91">
        <v>1.7100000000000001E-2</v>
      </c>
      <c r="AI586" s="91"/>
      <c r="AJ586" s="91">
        <f>(F586*'Part 3 Portfolio Analysis'!$B$8+M586*'Part 3 Portfolio Analysis'!$C$8+T586*'Part 3 Portfolio Analysis'!$D$8+AA586*'Part 3 Portfolio Analysis'!$E$8+AH586*'Part 3 Portfolio Analysis'!$F$8)/100</f>
        <v>-1.5729636223348828E-3</v>
      </c>
      <c r="AK586" s="91">
        <f>'Part 3 Portfolio Analysis'!$B$107*F586+M586*'Part 3 Portfolio Analysis'!$C$107+T586*'Part 3 Portfolio Analysis'!$D$107+AA586*'Part 3 Portfolio Analysis'!$E$107+AH586*'Part 3 Portfolio Analysis'!$F$107</f>
        <v>2.7583000000000009E-3</v>
      </c>
      <c r="AL586" s="91">
        <f>F586*'Part 3 Portfolio Analysis'!$B$121+M586*'Part 3 Portfolio Analysis'!$C$121+'Part 3 Portfolio Analysis'!$D$121*T586+AA586*'Part 3 Portfolio Analysis'!$E$121+'Part 3 Portfolio Analysis'!$F$121*AH586</f>
        <v>7.04540000000001E-4</v>
      </c>
      <c r="AM586" s="91"/>
      <c r="AN586" s="90">
        <v>45516</v>
      </c>
      <c r="AO586" s="91">
        <v>24320.050780000001</v>
      </c>
      <c r="AP586" s="91">
        <v>24347</v>
      </c>
      <c r="AQ586" s="91">
        <v>24347</v>
      </c>
      <c r="AR586" s="91">
        <v>279900</v>
      </c>
      <c r="AS586" s="91">
        <v>-8.0000000000000004E-4</v>
      </c>
    </row>
    <row r="587" spans="1:45" x14ac:dyDescent="0.55000000000000004">
      <c r="A587" s="90">
        <v>45517</v>
      </c>
      <c r="B587" s="91">
        <v>6834.3999020000001</v>
      </c>
      <c r="C587" s="91">
        <v>6791</v>
      </c>
      <c r="D587" s="91">
        <v>6715.0380859999996</v>
      </c>
      <c r="E587" s="91">
        <v>60349</v>
      </c>
      <c r="F587" s="91">
        <v>-6.4000000000000003E-3</v>
      </c>
      <c r="H587" s="90">
        <v>45517</v>
      </c>
      <c r="I587" s="91">
        <v>1460.75</v>
      </c>
      <c r="J587" s="91">
        <v>1463.625</v>
      </c>
      <c r="K587" s="91">
        <v>1452.8717039999999</v>
      </c>
      <c r="L587" s="91">
        <v>6265064</v>
      </c>
      <c r="M587" s="91">
        <v>2.0999999999999999E-3</v>
      </c>
      <c r="O587" s="90">
        <v>45517</v>
      </c>
      <c r="P587" s="91">
        <v>814</v>
      </c>
      <c r="Q587" s="91">
        <v>801.59997559999999</v>
      </c>
      <c r="R587" s="91">
        <v>790.90930179999998</v>
      </c>
      <c r="S587" s="91">
        <v>54055042</v>
      </c>
      <c r="T587" s="91">
        <v>-3.4299999999999997E-2</v>
      </c>
      <c r="V587" s="90">
        <v>45517</v>
      </c>
      <c r="W587" s="91">
        <v>1810</v>
      </c>
      <c r="X587" s="91">
        <v>1797.4499510000001</v>
      </c>
      <c r="Y587" s="91">
        <v>1726.130615</v>
      </c>
      <c r="Z587" s="91">
        <v>4176918</v>
      </c>
      <c r="AA587" s="91">
        <v>0</v>
      </c>
      <c r="AB587" s="91"/>
      <c r="AC587" s="90">
        <v>45517</v>
      </c>
      <c r="AD587" s="91">
        <v>6375</v>
      </c>
      <c r="AE587" s="91">
        <v>6381.7001950000003</v>
      </c>
      <c r="AF587" s="91">
        <v>6376.1762699999999</v>
      </c>
      <c r="AG587" s="91">
        <v>651594</v>
      </c>
      <c r="AH587" s="91">
        <v>-1E-4</v>
      </c>
      <c r="AI587" s="91"/>
      <c r="AJ587" s="91">
        <f>(F587*'Part 3 Portfolio Analysis'!$B$8+M587*'Part 3 Portfolio Analysis'!$C$8+T587*'Part 3 Portfolio Analysis'!$D$8+AA587*'Part 3 Portfolio Analysis'!$E$8+AH587*'Part 3 Portfolio Analysis'!$F$8)/100</f>
        <v>-6.8814447055131024E-3</v>
      </c>
      <c r="AK587" s="91">
        <f>'Part 3 Portfolio Analysis'!$B$107*F587+M587*'Part 3 Portfolio Analysis'!$C$107+T587*'Part 3 Portfolio Analysis'!$D$107+AA587*'Part 3 Portfolio Analysis'!$E$107+AH587*'Part 3 Portfolio Analysis'!$F$107</f>
        <v>-5.8363999999999994E-3</v>
      </c>
      <c r="AL587" s="91">
        <f>F587*'Part 3 Portfolio Analysis'!$B$121+M587*'Part 3 Portfolio Analysis'!$C$121+'Part 3 Portfolio Analysis'!$D$121*T587+AA587*'Part 3 Portfolio Analysis'!$E$121+'Part 3 Portfolio Analysis'!$F$121*AH587</f>
        <v>-8.9771399999999998E-3</v>
      </c>
      <c r="AM587" s="91"/>
      <c r="AN587" s="90">
        <v>45517</v>
      </c>
      <c r="AO587" s="91">
        <v>24342.349610000001</v>
      </c>
      <c r="AP587" s="91">
        <v>24139</v>
      </c>
      <c r="AQ587" s="91">
        <v>24139</v>
      </c>
      <c r="AR587" s="91">
        <v>239700</v>
      </c>
      <c r="AS587" s="91">
        <v>-8.5000000000000006E-3</v>
      </c>
    </row>
    <row r="588" spans="1:45" x14ac:dyDescent="0.55000000000000004">
      <c r="A588" s="90">
        <v>45518</v>
      </c>
      <c r="B588" s="91">
        <v>6798</v>
      </c>
      <c r="C588" s="91">
        <v>6827.75</v>
      </c>
      <c r="D588" s="91">
        <v>6751.376953</v>
      </c>
      <c r="E588" s="91">
        <v>51721</v>
      </c>
      <c r="F588" s="91">
        <v>5.4000000000000003E-3</v>
      </c>
      <c r="H588" s="90">
        <v>45518</v>
      </c>
      <c r="I588" s="91">
        <v>1463.5500489999999</v>
      </c>
      <c r="J588" s="91">
        <v>1461.849976</v>
      </c>
      <c r="K588" s="91">
        <v>1451.1096190000001</v>
      </c>
      <c r="L588" s="91">
        <v>6267466</v>
      </c>
      <c r="M588" s="91">
        <v>-1.1999999999999999E-3</v>
      </c>
      <c r="O588" s="90">
        <v>45518</v>
      </c>
      <c r="P588" s="91">
        <v>803.25</v>
      </c>
      <c r="Q588" s="91">
        <v>803.90002440000001</v>
      </c>
      <c r="R588" s="91">
        <v>793.17858890000002</v>
      </c>
      <c r="S588" s="91">
        <v>32334428</v>
      </c>
      <c r="T588" s="91">
        <v>2.8999999999999998E-3</v>
      </c>
      <c r="V588" s="90">
        <v>45518</v>
      </c>
      <c r="W588" s="91">
        <v>1802</v>
      </c>
      <c r="X588" s="91">
        <v>1823.25</v>
      </c>
      <c r="Y588" s="91">
        <v>1750.9071039999999</v>
      </c>
      <c r="Z588" s="91">
        <v>7450718</v>
      </c>
      <c r="AA588" s="91">
        <v>1.44E-2</v>
      </c>
      <c r="AB588" s="91"/>
      <c r="AC588" s="90">
        <v>45518</v>
      </c>
      <c r="AD588" s="91">
        <v>6400</v>
      </c>
      <c r="AE588" s="91">
        <v>6438.3500979999999</v>
      </c>
      <c r="AF588" s="91">
        <v>6432.7773440000001</v>
      </c>
      <c r="AG588" s="91">
        <v>885572</v>
      </c>
      <c r="AH588" s="91">
        <v>8.8999999999999999E-3</v>
      </c>
      <c r="AI588" s="91"/>
      <c r="AJ588" s="91">
        <f>(F588*'Part 3 Portfolio Analysis'!$B$8+M588*'Part 3 Portfolio Analysis'!$C$8+T588*'Part 3 Portfolio Analysis'!$D$8+AA588*'Part 3 Portfolio Analysis'!$E$8+AH588*'Part 3 Portfolio Analysis'!$F$8)/100</f>
        <v>4.0732090898391018E-3</v>
      </c>
      <c r="AK588" s="91">
        <f>'Part 3 Portfolio Analysis'!$B$107*F588+M588*'Part 3 Portfolio Analysis'!$C$107+T588*'Part 3 Portfolio Analysis'!$D$107+AA588*'Part 3 Portfolio Analysis'!$E$107+AH588*'Part 3 Portfolio Analysis'!$F$107</f>
        <v>4.7287000000000006E-3</v>
      </c>
      <c r="AL588" s="91">
        <f>F588*'Part 3 Portfolio Analysis'!$B$121+M588*'Part 3 Portfolio Analysis'!$C$121+'Part 3 Portfolio Analysis'!$D$121*T588+AA588*'Part 3 Portfolio Analysis'!$E$121+'Part 3 Portfolio Analysis'!$F$121*AH588</f>
        <v>3.8423400000000001E-3</v>
      </c>
      <c r="AM588" s="91"/>
      <c r="AN588" s="90">
        <v>45518</v>
      </c>
      <c r="AO588" s="91">
        <v>24184.400389999999</v>
      </c>
      <c r="AP588" s="91">
        <v>24143.75</v>
      </c>
      <c r="AQ588" s="91">
        <v>24143.75</v>
      </c>
      <c r="AR588" s="91">
        <v>303300</v>
      </c>
      <c r="AS588" s="91">
        <v>2.0000000000000001E-4</v>
      </c>
    </row>
    <row r="589" spans="1:45" x14ac:dyDescent="0.55000000000000004">
      <c r="A589" s="90">
        <v>45520</v>
      </c>
      <c r="B589" s="91">
        <v>6827.8999020000001</v>
      </c>
      <c r="C589" s="91">
        <v>6799.6499020000001</v>
      </c>
      <c r="D589" s="91">
        <v>6723.5908200000003</v>
      </c>
      <c r="E589" s="91">
        <v>63779</v>
      </c>
      <c r="F589" s="91">
        <v>-4.1000000000000003E-3</v>
      </c>
      <c r="H589" s="90">
        <v>45520</v>
      </c>
      <c r="I589" s="91">
        <v>1468.650024</v>
      </c>
      <c r="J589" s="91">
        <v>1478.1999510000001</v>
      </c>
      <c r="K589" s="91">
        <v>1467.3396</v>
      </c>
      <c r="L589" s="91">
        <v>9416902</v>
      </c>
      <c r="M589" s="91">
        <v>1.12E-2</v>
      </c>
      <c r="O589" s="90">
        <v>45520</v>
      </c>
      <c r="P589" s="91">
        <v>814.25</v>
      </c>
      <c r="Q589" s="91">
        <v>816.04998780000005</v>
      </c>
      <c r="R589" s="91">
        <v>805.16656490000003</v>
      </c>
      <c r="S589" s="91">
        <v>27849246</v>
      </c>
      <c r="T589" s="91">
        <v>1.5100000000000001E-2</v>
      </c>
      <c r="V589" s="90">
        <v>45520</v>
      </c>
      <c r="W589" s="91">
        <v>1850</v>
      </c>
      <c r="X589" s="91">
        <v>1858.9499510000001</v>
      </c>
      <c r="Y589" s="91">
        <v>1785.1904300000001</v>
      </c>
      <c r="Z589" s="91">
        <v>7335657</v>
      </c>
      <c r="AA589" s="91">
        <v>1.9599999999999999E-2</v>
      </c>
      <c r="AB589" s="91"/>
      <c r="AC589" s="90">
        <v>45520</v>
      </c>
      <c r="AD589" s="91">
        <v>6440</v>
      </c>
      <c r="AE589" s="91">
        <v>6502.3999020000001</v>
      </c>
      <c r="AF589" s="91">
        <v>6496.7714839999999</v>
      </c>
      <c r="AG589" s="91">
        <v>1153478</v>
      </c>
      <c r="AH589" s="91">
        <v>9.9000000000000008E-3</v>
      </c>
      <c r="AI589" s="91"/>
      <c r="AJ589" s="91">
        <f>(F589*'Part 3 Portfolio Analysis'!$B$8+M589*'Part 3 Portfolio Analysis'!$C$8+T589*'Part 3 Portfolio Analysis'!$D$8+AA589*'Part 3 Portfolio Analysis'!$E$8+AH589*'Part 3 Portfolio Analysis'!$F$8)/100</f>
        <v>8.5997058429490396E-3</v>
      </c>
      <c r="AK589" s="91">
        <f>'Part 3 Portfolio Analysis'!$B$107*F589+M589*'Part 3 Portfolio Analysis'!$C$107+T589*'Part 3 Portfolio Analysis'!$D$107+AA589*'Part 3 Portfolio Analysis'!$E$107+AH589*'Part 3 Portfolio Analysis'!$F$107</f>
        <v>9.5628999999999992E-3</v>
      </c>
      <c r="AL589" s="91">
        <f>F589*'Part 3 Portfolio Analysis'!$B$121+M589*'Part 3 Portfolio Analysis'!$C$121+'Part 3 Portfolio Analysis'!$D$121*T589+AA589*'Part 3 Portfolio Analysis'!$E$121+'Part 3 Portfolio Analysis'!$F$121*AH589</f>
        <v>1.264908E-2</v>
      </c>
      <c r="AM589" s="91"/>
      <c r="AN589" s="90">
        <v>45520</v>
      </c>
      <c r="AO589" s="91">
        <v>24334.849610000001</v>
      </c>
      <c r="AP589" s="91">
        <v>24541.150389999999</v>
      </c>
      <c r="AQ589" s="91">
        <v>24541.150389999999</v>
      </c>
      <c r="AR589" s="91">
        <v>271600</v>
      </c>
      <c r="AS589" s="91">
        <v>1.6500000000000001E-2</v>
      </c>
    </row>
    <row r="590" spans="1:45" x14ac:dyDescent="0.55000000000000004">
      <c r="A590" s="90">
        <v>45523</v>
      </c>
      <c r="B590" s="91">
        <v>6799.6499020000001</v>
      </c>
      <c r="C590" s="91">
        <v>6927.5</v>
      </c>
      <c r="D590" s="91">
        <v>6850.0112300000001</v>
      </c>
      <c r="E590" s="91">
        <v>117580</v>
      </c>
      <c r="F590" s="91">
        <v>1.8800000000000001E-2</v>
      </c>
      <c r="H590" s="90">
        <v>45523</v>
      </c>
      <c r="I590" s="91">
        <v>1482.5</v>
      </c>
      <c r="J590" s="91">
        <v>1488.400024</v>
      </c>
      <c r="K590" s="91">
        <v>1482.479126</v>
      </c>
      <c r="L590" s="91">
        <v>13797742</v>
      </c>
      <c r="M590" s="91">
        <v>1.03E-2</v>
      </c>
      <c r="O590" s="90">
        <v>45523</v>
      </c>
      <c r="P590" s="91">
        <v>818.82501219999995</v>
      </c>
      <c r="Q590" s="91">
        <v>815.77502440000001</v>
      </c>
      <c r="R590" s="91">
        <v>804.89526369999999</v>
      </c>
      <c r="S590" s="91">
        <v>19502164</v>
      </c>
      <c r="T590" s="91">
        <v>-2.9999999999999997E-4</v>
      </c>
      <c r="V590" s="90">
        <v>45523</v>
      </c>
      <c r="W590" s="91">
        <v>1860</v>
      </c>
      <c r="X590" s="91">
        <v>1864.8000489999999</v>
      </c>
      <c r="Y590" s="91">
        <v>1790.8084719999999</v>
      </c>
      <c r="Z590" s="91">
        <v>2585989</v>
      </c>
      <c r="AA590" s="91">
        <v>3.0999999999999999E-3</v>
      </c>
      <c r="AB590" s="91"/>
      <c r="AC590" s="90">
        <v>45523</v>
      </c>
      <c r="AD590" s="91">
        <v>6575</v>
      </c>
      <c r="AE590" s="91">
        <v>6689.8999020000001</v>
      </c>
      <c r="AF590" s="91">
        <v>6684.109375</v>
      </c>
      <c r="AG590" s="91">
        <v>1827850</v>
      </c>
      <c r="AH590" s="91">
        <v>2.8799999999999999E-2</v>
      </c>
      <c r="AI590" s="91"/>
      <c r="AJ590" s="91">
        <f>(F590*'Part 3 Portfolio Analysis'!$B$8+M590*'Part 3 Portfolio Analysis'!$C$8+T590*'Part 3 Portfolio Analysis'!$D$8+AA590*'Part 3 Portfolio Analysis'!$E$8+AH590*'Part 3 Portfolio Analysis'!$F$8)/100</f>
        <v>1.0103875213056729E-2</v>
      </c>
      <c r="AK590" s="91">
        <f>'Part 3 Portfolio Analysis'!$B$107*F590+M590*'Part 3 Portfolio Analysis'!$C$107+T590*'Part 3 Portfolio Analysis'!$D$107+AA590*'Part 3 Portfolio Analysis'!$E$107+AH590*'Part 3 Portfolio Analysis'!$F$107</f>
        <v>1.4128999999999999E-2</v>
      </c>
      <c r="AL590" s="91">
        <f>F590*'Part 3 Portfolio Analysis'!$B$121+M590*'Part 3 Portfolio Analysis'!$C$121+'Part 3 Portfolio Analysis'!$D$121*T590+AA590*'Part 3 Portfolio Analysis'!$E$121+'Part 3 Portfolio Analysis'!$F$121*AH590</f>
        <v>7.1602000000000002E-3</v>
      </c>
      <c r="AM590" s="91"/>
      <c r="AN590" s="90">
        <v>45523</v>
      </c>
      <c r="AO590" s="91">
        <v>24636.349610000001</v>
      </c>
      <c r="AP590" s="91">
        <v>24572.650389999999</v>
      </c>
      <c r="AQ590" s="91">
        <v>24572.650389999999</v>
      </c>
      <c r="AR590" s="91">
        <v>243600</v>
      </c>
      <c r="AS590" s="91">
        <v>1.2999999999999999E-3</v>
      </c>
    </row>
    <row r="591" spans="1:45" x14ac:dyDescent="0.55000000000000004">
      <c r="A591" s="90">
        <v>45524</v>
      </c>
      <c r="B591" s="91">
        <v>6927.5</v>
      </c>
      <c r="C591" s="91">
        <v>6929.3500979999999</v>
      </c>
      <c r="D591" s="91">
        <v>6851.8403319999998</v>
      </c>
      <c r="E591" s="91">
        <v>75961</v>
      </c>
      <c r="F591" s="91">
        <v>2.9999999999999997E-4</v>
      </c>
      <c r="H591" s="90">
        <v>45524</v>
      </c>
      <c r="I591" s="91">
        <v>1497.224976</v>
      </c>
      <c r="J591" s="91">
        <v>1495.9499510000001</v>
      </c>
      <c r="K591" s="91">
        <v>1489.9990230000001</v>
      </c>
      <c r="L591" s="91">
        <v>8411808</v>
      </c>
      <c r="M591" s="91">
        <v>5.1000000000000004E-3</v>
      </c>
      <c r="O591" s="90">
        <v>45524</v>
      </c>
      <c r="P591" s="91">
        <v>813.72497559999999</v>
      </c>
      <c r="Q591" s="91">
        <v>818.84997559999999</v>
      </c>
      <c r="R591" s="91">
        <v>807.92919919999997</v>
      </c>
      <c r="S591" s="91">
        <v>31134494</v>
      </c>
      <c r="T591" s="91">
        <v>3.8E-3</v>
      </c>
      <c r="V591" s="90">
        <v>45524</v>
      </c>
      <c r="W591" s="91">
        <v>1880</v>
      </c>
      <c r="X591" s="91">
        <v>1872.1999510000001</v>
      </c>
      <c r="Y591" s="91">
        <v>1797.9147949999999</v>
      </c>
      <c r="Z591" s="91">
        <v>3870333</v>
      </c>
      <c r="AA591" s="91">
        <v>4.0000000000000001E-3</v>
      </c>
      <c r="AB591" s="91"/>
      <c r="AC591" s="90">
        <v>45524</v>
      </c>
      <c r="AD591" s="91">
        <v>6710</v>
      </c>
      <c r="AE591" s="91">
        <v>6793.8999020000001</v>
      </c>
      <c r="AF591" s="91">
        <v>6788.0190430000002</v>
      </c>
      <c r="AG591" s="91">
        <v>1143592</v>
      </c>
      <c r="AH591" s="91">
        <v>1.55E-2</v>
      </c>
      <c r="AI591" s="91"/>
      <c r="AJ591" s="91">
        <f>(F591*'Part 3 Portfolio Analysis'!$B$8+M591*'Part 3 Portfolio Analysis'!$C$8+T591*'Part 3 Portfolio Analysis'!$D$8+AA591*'Part 3 Portfolio Analysis'!$E$8+AH591*'Part 3 Portfolio Analysis'!$F$8)/100</f>
        <v>3.3677619693198318E-3</v>
      </c>
      <c r="AK591" s="91">
        <f>'Part 3 Portfolio Analysis'!$B$107*F591+M591*'Part 3 Portfolio Analysis'!$C$107+T591*'Part 3 Portfolio Analysis'!$D$107+AA591*'Part 3 Portfolio Analysis'!$E$107+AH591*'Part 3 Portfolio Analysis'!$F$107</f>
        <v>6.5453000000000004E-3</v>
      </c>
      <c r="AL591" s="91">
        <f>F591*'Part 3 Portfolio Analysis'!$B$121+M591*'Part 3 Portfolio Analysis'!$C$121+'Part 3 Portfolio Analysis'!$D$121*T591+AA591*'Part 3 Portfolio Analysis'!$E$121+'Part 3 Portfolio Analysis'!$F$121*AH591</f>
        <v>4.4043200000000006E-3</v>
      </c>
      <c r="AM591" s="91"/>
      <c r="AN591" s="90">
        <v>45524</v>
      </c>
      <c r="AO591" s="91">
        <v>24648.900389999999</v>
      </c>
      <c r="AP591" s="91">
        <v>24698.849610000001</v>
      </c>
      <c r="AQ591" s="91">
        <v>24698.849610000001</v>
      </c>
      <c r="AR591" s="91">
        <v>238300</v>
      </c>
      <c r="AS591" s="91">
        <v>5.1000000000000004E-3</v>
      </c>
    </row>
    <row r="592" spans="1:45" x14ac:dyDescent="0.55000000000000004">
      <c r="A592" s="90">
        <v>45525</v>
      </c>
      <c r="B592" s="91">
        <v>6930</v>
      </c>
      <c r="C592" s="91">
        <v>6926.5</v>
      </c>
      <c r="D592" s="91">
        <v>6849.0219729999999</v>
      </c>
      <c r="E592" s="91">
        <v>61677</v>
      </c>
      <c r="F592" s="91">
        <v>-4.0000000000000002E-4</v>
      </c>
      <c r="H592" s="90">
        <v>45525</v>
      </c>
      <c r="I592" s="91">
        <v>1493.25</v>
      </c>
      <c r="J592" s="91">
        <v>1498.6750489999999</v>
      </c>
      <c r="K592" s="91">
        <v>1492.7132570000001</v>
      </c>
      <c r="L592" s="91">
        <v>7769996</v>
      </c>
      <c r="M592" s="91">
        <v>1.8E-3</v>
      </c>
      <c r="O592" s="90">
        <v>45525</v>
      </c>
      <c r="P592" s="91">
        <v>814.04998780000005</v>
      </c>
      <c r="Q592" s="91">
        <v>812.90002440000001</v>
      </c>
      <c r="R592" s="91">
        <v>802.05859380000004</v>
      </c>
      <c r="S592" s="91">
        <v>47630904</v>
      </c>
      <c r="T592" s="91">
        <v>-7.3000000000000001E-3</v>
      </c>
      <c r="V592" s="90">
        <v>45525</v>
      </c>
      <c r="W592" s="91">
        <v>1875.099976</v>
      </c>
      <c r="X592" s="91">
        <v>1872.6999510000001</v>
      </c>
      <c r="Y592" s="91">
        <v>1798.394775</v>
      </c>
      <c r="Z592" s="91">
        <v>1966902</v>
      </c>
      <c r="AA592" s="91">
        <v>2.9999999999999997E-4</v>
      </c>
      <c r="AB592" s="91"/>
      <c r="AC592" s="90">
        <v>45525</v>
      </c>
      <c r="AD592" s="91">
        <v>6800</v>
      </c>
      <c r="AE592" s="91">
        <v>6783.2001950000003</v>
      </c>
      <c r="AF592" s="91">
        <v>6777.3286129999997</v>
      </c>
      <c r="AG592" s="91">
        <v>651691</v>
      </c>
      <c r="AH592" s="91">
        <v>-1.6000000000000001E-3</v>
      </c>
      <c r="AI592" s="91"/>
      <c r="AJ592" s="91">
        <f>(F592*'Part 3 Portfolio Analysis'!$B$8+M592*'Part 3 Portfolio Analysis'!$C$8+T592*'Part 3 Portfolio Analysis'!$D$8+AA592*'Part 3 Portfolio Analysis'!$E$8+AH592*'Part 3 Portfolio Analysis'!$F$8)/100</f>
        <v>-6.5262615791699188E-4</v>
      </c>
      <c r="AK592" s="91">
        <f>'Part 3 Portfolio Analysis'!$B$107*F592+M592*'Part 3 Portfolio Analysis'!$C$107+T592*'Part 3 Portfolio Analysis'!$D$107+AA592*'Part 3 Portfolio Analysis'!$E$107+AH592*'Part 3 Portfolio Analysis'!$F$107</f>
        <v>-1.0133E-3</v>
      </c>
      <c r="AL592" s="91">
        <f>F592*'Part 3 Portfolio Analysis'!$B$121+M592*'Part 3 Portfolio Analysis'!$C$121+'Part 3 Portfolio Analysis'!$D$121*T592+AA592*'Part 3 Portfolio Analysis'!$E$121+'Part 3 Portfolio Analysis'!$F$121*AH592</f>
        <v>-1.2451200000000004E-3</v>
      </c>
      <c r="AM592" s="91"/>
      <c r="AN592" s="90">
        <v>45525</v>
      </c>
      <c r="AO592" s="91">
        <v>24680.550780000001</v>
      </c>
      <c r="AP592" s="91">
        <v>24770.199219999999</v>
      </c>
      <c r="AQ592" s="91">
        <v>24770.199219999999</v>
      </c>
      <c r="AR592" s="91">
        <v>257100</v>
      </c>
      <c r="AS592" s="91">
        <v>2.8999999999999998E-3</v>
      </c>
    </row>
    <row r="593" spans="1:45" x14ac:dyDescent="0.55000000000000004">
      <c r="A593" s="90">
        <v>45526</v>
      </c>
      <c r="B593" s="91">
        <v>6947.7001950000003</v>
      </c>
      <c r="C593" s="91">
        <v>6963.7001950000003</v>
      </c>
      <c r="D593" s="91">
        <v>6885.8061520000001</v>
      </c>
      <c r="E593" s="91">
        <v>94274</v>
      </c>
      <c r="F593" s="91">
        <v>5.4000000000000003E-3</v>
      </c>
      <c r="H593" s="90">
        <v>45526</v>
      </c>
      <c r="I593" s="91">
        <v>1503</v>
      </c>
      <c r="J593" s="91">
        <v>1498.125</v>
      </c>
      <c r="K593" s="91">
        <v>1492.165405</v>
      </c>
      <c r="L593" s="91">
        <v>10445782</v>
      </c>
      <c r="M593" s="91">
        <v>-4.0000000000000002E-4</v>
      </c>
      <c r="O593" s="90">
        <v>45526</v>
      </c>
      <c r="P593" s="91">
        <v>816</v>
      </c>
      <c r="Q593" s="91">
        <v>815.65002440000001</v>
      </c>
      <c r="R593" s="91">
        <v>804.77197269999999</v>
      </c>
      <c r="S593" s="91">
        <v>21300638</v>
      </c>
      <c r="T593" s="91">
        <v>3.3999999999999998E-3</v>
      </c>
      <c r="V593" s="90">
        <v>45526</v>
      </c>
      <c r="W593" s="91">
        <v>1884</v>
      </c>
      <c r="X593" s="91">
        <v>1880.25</v>
      </c>
      <c r="Y593" s="91">
        <v>1805.6453859999999</v>
      </c>
      <c r="Z593" s="91">
        <v>4300287</v>
      </c>
      <c r="AA593" s="91">
        <v>4.0000000000000001E-3</v>
      </c>
      <c r="AB593" s="91"/>
      <c r="AC593" s="90">
        <v>45526</v>
      </c>
      <c r="AD593" s="91">
        <v>6825</v>
      </c>
      <c r="AE593" s="91">
        <v>6989.7998049999997</v>
      </c>
      <c r="AF593" s="91">
        <v>6983.7495120000003</v>
      </c>
      <c r="AG593" s="91">
        <v>771279</v>
      </c>
      <c r="AH593" s="91">
        <v>3.0499999999999999E-2</v>
      </c>
      <c r="AI593" s="91"/>
      <c r="AJ593" s="91">
        <f>(F593*'Part 3 Portfolio Analysis'!$B$8+M593*'Part 3 Portfolio Analysis'!$C$8+T593*'Part 3 Portfolio Analysis'!$D$8+AA593*'Part 3 Portfolio Analysis'!$E$8+AH593*'Part 3 Portfolio Analysis'!$F$8)/100</f>
        <v>2.9840001104334949E-3</v>
      </c>
      <c r="AK593" s="91">
        <f>'Part 3 Portfolio Analysis'!$B$107*F593+M593*'Part 3 Portfolio Analysis'!$C$107+T593*'Part 3 Portfolio Analysis'!$D$107+AA593*'Part 3 Portfolio Analysis'!$E$107+AH593*'Part 3 Portfolio Analysis'!$F$107</f>
        <v>9.4598000000000008E-3</v>
      </c>
      <c r="AL593" s="91">
        <f>F593*'Part 3 Portfolio Analysis'!$B$121+M593*'Part 3 Portfolio Analysis'!$C$121+'Part 3 Portfolio Analysis'!$D$121*T593+AA593*'Part 3 Portfolio Analysis'!$E$121+'Part 3 Portfolio Analysis'!$F$121*AH593</f>
        <v>2.7999400000000003E-3</v>
      </c>
      <c r="AM593" s="91"/>
      <c r="AN593" s="90">
        <v>45526</v>
      </c>
      <c r="AO593" s="91">
        <v>24863.400389999999</v>
      </c>
      <c r="AP593" s="91">
        <v>24811.5</v>
      </c>
      <c r="AQ593" s="91">
        <v>24811.5</v>
      </c>
      <c r="AR593" s="91">
        <v>220300</v>
      </c>
      <c r="AS593" s="91">
        <v>1.6999999999999999E-3</v>
      </c>
    </row>
    <row r="594" spans="1:45" x14ac:dyDescent="0.55000000000000004">
      <c r="A594" s="90">
        <v>45527</v>
      </c>
      <c r="B594" s="91">
        <v>6975</v>
      </c>
      <c r="C594" s="91">
        <v>7088.1499020000001</v>
      </c>
      <c r="D594" s="91">
        <v>7008.8637699999999</v>
      </c>
      <c r="E594" s="91">
        <v>197126</v>
      </c>
      <c r="F594" s="91">
        <v>1.7899999999999999E-2</v>
      </c>
      <c r="H594" s="90">
        <v>45527</v>
      </c>
      <c r="I594" s="91">
        <v>1503.75</v>
      </c>
      <c r="J594" s="91">
        <v>1499.974976</v>
      </c>
      <c r="K594" s="91">
        <v>1494.008057</v>
      </c>
      <c r="L594" s="91">
        <v>9249654</v>
      </c>
      <c r="M594" s="91">
        <v>1.1999999999999999E-3</v>
      </c>
      <c r="O594" s="90">
        <v>45527</v>
      </c>
      <c r="P594" s="91">
        <v>817</v>
      </c>
      <c r="Q594" s="91">
        <v>812.52502440000001</v>
      </c>
      <c r="R594" s="91">
        <v>801.68859859999998</v>
      </c>
      <c r="S594" s="91">
        <v>20333422</v>
      </c>
      <c r="T594" s="91">
        <v>-3.8E-3</v>
      </c>
      <c r="V594" s="90">
        <v>45527</v>
      </c>
      <c r="W594" s="91">
        <v>1878.1999510000001</v>
      </c>
      <c r="X594" s="91">
        <v>1862.099976</v>
      </c>
      <c r="Y594" s="91">
        <v>1788.2154539999999</v>
      </c>
      <c r="Z594" s="91">
        <v>5015935</v>
      </c>
      <c r="AA594" s="91">
        <v>-9.7000000000000003E-3</v>
      </c>
      <c r="AB594" s="91"/>
      <c r="AC594" s="90">
        <v>45527</v>
      </c>
      <c r="AD594" s="91">
        <v>7020</v>
      </c>
      <c r="AE594" s="91">
        <v>6948.75</v>
      </c>
      <c r="AF594" s="91">
        <v>6942.7353519999997</v>
      </c>
      <c r="AG594" s="91">
        <v>625160</v>
      </c>
      <c r="AH594" s="91">
        <v>-5.8999999999999999E-3</v>
      </c>
      <c r="AI594" s="91"/>
      <c r="AJ594" s="91">
        <f>(F594*'Part 3 Portfolio Analysis'!$B$8+M594*'Part 3 Portfolio Analysis'!$C$8+T594*'Part 3 Portfolio Analysis'!$D$8+AA594*'Part 3 Portfolio Analysis'!$E$8+AH594*'Part 3 Portfolio Analysis'!$F$8)/100</f>
        <v>3.5523680486837339E-3</v>
      </c>
      <c r="AK594" s="91">
        <f>'Part 3 Portfolio Analysis'!$B$107*F594+M594*'Part 3 Portfolio Analysis'!$C$107+T594*'Part 3 Portfolio Analysis'!$D$107+AA594*'Part 3 Portfolio Analysis'!$E$107+AH594*'Part 3 Portfolio Analysis'!$F$107</f>
        <v>5.5179999999999943E-4</v>
      </c>
      <c r="AL594" s="91">
        <f>F594*'Part 3 Portfolio Analysis'!$B$121+M594*'Part 3 Portfolio Analysis'!$C$121+'Part 3 Portfolio Analysis'!$D$121*T594+AA594*'Part 3 Portfolio Analysis'!$E$121+'Part 3 Portfolio Analysis'!$F$121*AH594</f>
        <v>-1.1532800000000002E-3</v>
      </c>
      <c r="AM594" s="91"/>
      <c r="AN594" s="90">
        <v>45527</v>
      </c>
      <c r="AO594" s="91">
        <v>24845.400389999999</v>
      </c>
      <c r="AP594" s="91">
        <v>24823.150389999999</v>
      </c>
      <c r="AQ594" s="91">
        <v>24823.150389999999</v>
      </c>
      <c r="AR594" s="91">
        <v>206800</v>
      </c>
      <c r="AS594" s="91">
        <v>5.0000000000000001E-4</v>
      </c>
    </row>
    <row r="595" spans="1:45" x14ac:dyDescent="0.55000000000000004">
      <c r="A595" s="90">
        <v>45530</v>
      </c>
      <c r="B595" s="91">
        <v>7149</v>
      </c>
      <c r="C595" s="91">
        <v>7683.0498049999997</v>
      </c>
      <c r="D595" s="91">
        <v>7597.109375</v>
      </c>
      <c r="E595" s="91">
        <v>1291665</v>
      </c>
      <c r="F595" s="91">
        <v>8.3900000000000002E-2</v>
      </c>
      <c r="H595" s="90">
        <v>45530</v>
      </c>
      <c r="I595" s="91">
        <v>1506.974976</v>
      </c>
      <c r="J595" s="91">
        <v>1512.599976</v>
      </c>
      <c r="K595" s="91">
        <v>1506.5828859999999</v>
      </c>
      <c r="L595" s="91">
        <v>8816114</v>
      </c>
      <c r="M595" s="91">
        <v>8.3999999999999995E-3</v>
      </c>
      <c r="O595" s="90">
        <v>45530</v>
      </c>
      <c r="P595" s="91">
        <v>816.09997559999999</v>
      </c>
      <c r="Q595" s="91">
        <v>819.97497559999999</v>
      </c>
      <c r="R595" s="91">
        <v>809.03924559999996</v>
      </c>
      <c r="S595" s="91">
        <v>22364266</v>
      </c>
      <c r="T595" s="91">
        <v>9.1999999999999998E-3</v>
      </c>
      <c r="V595" s="90">
        <v>45530</v>
      </c>
      <c r="W595" s="91">
        <v>1870</v>
      </c>
      <c r="X595" s="91">
        <v>1876.150024</v>
      </c>
      <c r="Y595" s="91">
        <v>1801.70813</v>
      </c>
      <c r="Z595" s="91">
        <v>3728589</v>
      </c>
      <c r="AA595" s="91">
        <v>7.4999999999999997E-3</v>
      </c>
      <c r="AB595" s="91"/>
      <c r="AC595" s="90">
        <v>45530</v>
      </c>
      <c r="AD595" s="91">
        <v>7000</v>
      </c>
      <c r="AE595" s="91">
        <v>6925.6000979999999</v>
      </c>
      <c r="AF595" s="91">
        <v>6919.6054690000001</v>
      </c>
      <c r="AG595" s="91">
        <v>754901</v>
      </c>
      <c r="AH595" s="91">
        <v>-3.3E-3</v>
      </c>
      <c r="AI595" s="91"/>
      <c r="AJ595" s="91">
        <f>(F595*'Part 3 Portfolio Analysis'!$B$8+M595*'Part 3 Portfolio Analysis'!$C$8+T595*'Part 3 Portfolio Analysis'!$D$8+AA595*'Part 3 Portfolio Analysis'!$E$8+AH595*'Part 3 Portfolio Analysis'!$F$8)/100</f>
        <v>3.0924258864830852E-2</v>
      </c>
      <c r="AK595" s="91">
        <f>'Part 3 Portfolio Analysis'!$B$107*F595+M595*'Part 3 Portfolio Analysis'!$C$107+T595*'Part 3 Portfolio Analysis'!$D$107+AA595*'Part 3 Portfolio Analysis'!$E$107+AH595*'Part 3 Portfolio Analysis'!$F$107</f>
        <v>1.9075599999999998E-2</v>
      </c>
      <c r="AL595" s="91">
        <f>F595*'Part 3 Portfolio Analysis'!$B$121+M595*'Part 3 Portfolio Analysis'!$C$121+'Part 3 Portfolio Analysis'!$D$121*T595+AA595*'Part 3 Portfolio Analysis'!$E$121+'Part 3 Portfolio Analysis'!$F$121*AH595</f>
        <v>1.4337159999999998E-2</v>
      </c>
      <c r="AM595" s="91"/>
      <c r="AN595" s="90">
        <v>45530</v>
      </c>
      <c r="AO595" s="91">
        <v>24906.099610000001</v>
      </c>
      <c r="AP595" s="91">
        <v>25010.599610000001</v>
      </c>
      <c r="AQ595" s="91">
        <v>25010.599610000001</v>
      </c>
      <c r="AR595" s="91">
        <v>210300</v>
      </c>
      <c r="AS595" s="91">
        <v>7.6E-3</v>
      </c>
    </row>
    <row r="596" spans="1:45" x14ac:dyDescent="0.55000000000000004">
      <c r="A596" s="90">
        <v>45531</v>
      </c>
      <c r="B596" s="91">
        <v>7800</v>
      </c>
      <c r="C596" s="91">
        <v>8971.4003909999992</v>
      </c>
      <c r="D596" s="91">
        <v>8871.0488280000009</v>
      </c>
      <c r="E596" s="91">
        <v>5503022</v>
      </c>
      <c r="F596" s="91">
        <v>0.16769999999999999</v>
      </c>
      <c r="H596" s="90">
        <v>45531</v>
      </c>
      <c r="I596" s="91">
        <v>1510.5</v>
      </c>
      <c r="J596" s="91">
        <v>1500.4499510000001</v>
      </c>
      <c r="K596" s="91">
        <v>1494.4812010000001</v>
      </c>
      <c r="L596" s="91">
        <v>6251156</v>
      </c>
      <c r="M596" s="91">
        <v>-8.0000000000000002E-3</v>
      </c>
      <c r="O596" s="90">
        <v>45531</v>
      </c>
      <c r="P596" s="91">
        <v>821.70001219999995</v>
      </c>
      <c r="Q596" s="91">
        <v>818.875</v>
      </c>
      <c r="R596" s="91">
        <v>807.95391849999999</v>
      </c>
      <c r="S596" s="91">
        <v>35773244</v>
      </c>
      <c r="T596" s="91">
        <v>-1.2999999999999999E-3</v>
      </c>
      <c r="V596" s="90">
        <v>45531</v>
      </c>
      <c r="W596" s="91">
        <v>1876.150024</v>
      </c>
      <c r="X596" s="91">
        <v>1900.099976</v>
      </c>
      <c r="Y596" s="91">
        <v>1824.7076420000001</v>
      </c>
      <c r="Z596" s="91">
        <v>3830679</v>
      </c>
      <c r="AA596" s="91">
        <v>1.2800000000000001E-2</v>
      </c>
      <c r="AB596" s="91"/>
      <c r="AC596" s="90">
        <v>45531</v>
      </c>
      <c r="AD596" s="91">
        <v>6969.9501950000003</v>
      </c>
      <c r="AE596" s="91">
        <v>6869.8999020000001</v>
      </c>
      <c r="AF596" s="91">
        <v>6863.9536129999997</v>
      </c>
      <c r="AG596" s="91">
        <v>578002</v>
      </c>
      <c r="AH596" s="91">
        <v>-8.0000000000000002E-3</v>
      </c>
      <c r="AI596" s="91"/>
      <c r="AJ596" s="91">
        <f>(F596*'Part 3 Portfolio Analysis'!$B$8+M596*'Part 3 Portfolio Analysis'!$C$8+T596*'Part 3 Portfolio Analysis'!$D$8+AA596*'Part 3 Portfolio Analysis'!$E$8+AH596*'Part 3 Portfolio Analysis'!$F$8)/100</f>
        <v>4.9175063346687073E-2</v>
      </c>
      <c r="AK596" s="91">
        <f>'Part 3 Portfolio Analysis'!$B$107*F596+M596*'Part 3 Portfolio Analysis'!$C$107+T596*'Part 3 Portfolio Analysis'!$D$107+AA596*'Part 3 Portfolio Analysis'!$E$107+AH596*'Part 3 Portfolio Analysis'!$F$107</f>
        <v>2.6744499999999997E-2</v>
      </c>
      <c r="AL596" s="91">
        <f>F596*'Part 3 Portfolio Analysis'!$B$121+M596*'Part 3 Portfolio Analysis'!$C$121+'Part 3 Portfolio Analysis'!$D$121*T596+AA596*'Part 3 Portfolio Analysis'!$E$121+'Part 3 Portfolio Analysis'!$F$121*AH596</f>
        <v>1.2424939999999997E-2</v>
      </c>
      <c r="AM596" s="91"/>
      <c r="AN596" s="90">
        <v>45531</v>
      </c>
      <c r="AO596" s="91">
        <v>25024.800780000001</v>
      </c>
      <c r="AP596" s="91">
        <v>25017.75</v>
      </c>
      <c r="AQ596" s="91">
        <v>25017.75</v>
      </c>
      <c r="AR596" s="91">
        <v>223300</v>
      </c>
      <c r="AS596" s="91">
        <v>2.9999999999999997E-4</v>
      </c>
    </row>
    <row r="597" spans="1:45" x14ac:dyDescent="0.55000000000000004">
      <c r="A597" s="90">
        <v>45532</v>
      </c>
      <c r="B597" s="91">
        <v>8900</v>
      </c>
      <c r="C597" s="91">
        <v>8227.5</v>
      </c>
      <c r="D597" s="91">
        <v>8135.4697269999997</v>
      </c>
      <c r="E597" s="91">
        <v>2848938</v>
      </c>
      <c r="F597" s="91">
        <v>-8.2900000000000001E-2</v>
      </c>
      <c r="H597" s="90">
        <v>45532</v>
      </c>
      <c r="I597" s="91">
        <v>1505</v>
      </c>
      <c r="J597" s="91">
        <v>1498.3000489999999</v>
      </c>
      <c r="K597" s="91">
        <v>1492.3398440000001</v>
      </c>
      <c r="L597" s="91">
        <v>9610286</v>
      </c>
      <c r="M597" s="91">
        <v>-1.4E-3</v>
      </c>
      <c r="O597" s="90">
        <v>45532</v>
      </c>
      <c r="P597" s="91">
        <v>818.875</v>
      </c>
      <c r="Q597" s="91">
        <v>818.54998780000005</v>
      </c>
      <c r="R597" s="91">
        <v>807.63323969999999</v>
      </c>
      <c r="S597" s="91">
        <v>26921188</v>
      </c>
      <c r="T597" s="91">
        <v>-4.0000000000000002E-4</v>
      </c>
      <c r="V597" s="90">
        <v>45532</v>
      </c>
      <c r="W597" s="91">
        <v>1906.900024</v>
      </c>
      <c r="X597" s="91">
        <v>1939.099976</v>
      </c>
      <c r="Y597" s="91">
        <v>1862.1604</v>
      </c>
      <c r="Z597" s="91">
        <v>6514531</v>
      </c>
      <c r="AA597" s="91">
        <v>2.0500000000000001E-2</v>
      </c>
      <c r="AB597" s="91"/>
      <c r="AC597" s="90">
        <v>45532</v>
      </c>
      <c r="AD597" s="91">
        <v>6990</v>
      </c>
      <c r="AE597" s="91">
        <v>7242.1000979999999</v>
      </c>
      <c r="AF597" s="91">
        <v>7235.8315430000002</v>
      </c>
      <c r="AG597" s="91">
        <v>2358476</v>
      </c>
      <c r="AH597" s="91">
        <v>5.4199999999999998E-2</v>
      </c>
      <c r="AI597" s="91"/>
      <c r="AJ597" s="91">
        <f>(F597*'Part 3 Portfolio Analysis'!$B$8+M597*'Part 3 Portfolio Analysis'!$C$8+T597*'Part 3 Portfolio Analysis'!$D$8+AA597*'Part 3 Portfolio Analysis'!$E$8+AH597*'Part 3 Portfolio Analysis'!$F$8)/100</f>
        <v>-2.1615330136574271E-2</v>
      </c>
      <c r="AK597" s="91">
        <f>'Part 3 Portfolio Analysis'!$B$107*F597+M597*'Part 3 Portfolio Analysis'!$C$107+T597*'Part 3 Portfolio Analysis'!$D$107+AA597*'Part 3 Portfolio Analysis'!$E$107+AH597*'Part 3 Portfolio Analysis'!$F$107</f>
        <v>2.8620000000000034E-4</v>
      </c>
      <c r="AL597" s="91">
        <f>F597*'Part 3 Portfolio Analysis'!$B$121+M597*'Part 3 Portfolio Analysis'!$C$121+'Part 3 Portfolio Analysis'!$D$121*T597+AA597*'Part 3 Portfolio Analysis'!$E$121+'Part 3 Portfolio Analysis'!$F$121*AH597</f>
        <v>-1.9905799999999996E-3</v>
      </c>
      <c r="AM597" s="91"/>
      <c r="AN597" s="90">
        <v>45532</v>
      </c>
      <c r="AO597" s="91">
        <v>25030.800780000001</v>
      </c>
      <c r="AP597" s="91">
        <v>25052.349610000001</v>
      </c>
      <c r="AQ597" s="91">
        <v>25052.349610000001</v>
      </c>
      <c r="AR597" s="91">
        <v>220400</v>
      </c>
      <c r="AS597" s="91">
        <v>1.4E-3</v>
      </c>
    </row>
    <row r="598" spans="1:45" x14ac:dyDescent="0.55000000000000004">
      <c r="A598" s="90">
        <v>45533</v>
      </c>
      <c r="B598" s="91">
        <v>8178</v>
      </c>
      <c r="C598" s="91">
        <v>7922.4501950000003</v>
      </c>
      <c r="D598" s="91">
        <v>7833.8320309999999</v>
      </c>
      <c r="E598" s="91">
        <v>1187989</v>
      </c>
      <c r="F598" s="91">
        <v>-3.7100000000000001E-2</v>
      </c>
      <c r="H598" s="90">
        <v>45533</v>
      </c>
      <c r="I598" s="91">
        <v>1503.099976</v>
      </c>
      <c r="J598" s="91">
        <v>1520.9250489999999</v>
      </c>
      <c r="K598" s="91">
        <v>1514.8747559999999</v>
      </c>
      <c r="L598" s="91">
        <v>38335358</v>
      </c>
      <c r="M598" s="91">
        <v>1.5100000000000001E-2</v>
      </c>
      <c r="O598" s="90">
        <v>45533</v>
      </c>
      <c r="P598" s="91">
        <v>821</v>
      </c>
      <c r="Q598" s="91">
        <v>819.27502440000001</v>
      </c>
      <c r="R598" s="91">
        <v>808.34857179999995</v>
      </c>
      <c r="S598" s="91">
        <v>49052604</v>
      </c>
      <c r="T598" s="91">
        <v>8.9999999999999998E-4</v>
      </c>
      <c r="V598" s="90">
        <v>45533</v>
      </c>
      <c r="W598" s="91">
        <v>1933</v>
      </c>
      <c r="X598" s="91">
        <v>1933.349976</v>
      </c>
      <c r="Y598" s="91">
        <v>1856.638428</v>
      </c>
      <c r="Z598" s="91">
        <v>7228284</v>
      </c>
      <c r="AA598" s="91">
        <v>-3.0000000000000001E-3</v>
      </c>
      <c r="AB598" s="91"/>
      <c r="AC598" s="90">
        <v>45533</v>
      </c>
      <c r="AD598" s="91">
        <v>7269.9501950000003</v>
      </c>
      <c r="AE598" s="91">
        <v>7170.6499020000001</v>
      </c>
      <c r="AF598" s="91">
        <v>7164.4433589999999</v>
      </c>
      <c r="AG598" s="91">
        <v>836313</v>
      </c>
      <c r="AH598" s="91">
        <v>-9.9000000000000008E-3</v>
      </c>
      <c r="AI598" s="91"/>
      <c r="AJ598" s="91">
        <f>(F598*'Part 3 Portfolio Analysis'!$B$8+M598*'Part 3 Portfolio Analysis'!$C$8+T598*'Part 3 Portfolio Analysis'!$D$8+AA598*'Part 3 Portfolio Analysis'!$E$8+AH598*'Part 3 Portfolio Analysis'!$F$8)/100</f>
        <v>-6.085977881333398E-3</v>
      </c>
      <c r="AK598" s="91">
        <f>'Part 3 Portfolio Analysis'!$B$107*F598+M598*'Part 3 Portfolio Analysis'!$C$107+T598*'Part 3 Portfolio Analysis'!$D$107+AA598*'Part 3 Portfolio Analysis'!$E$107+AH598*'Part 3 Portfolio Analysis'!$F$107</f>
        <v>-4.607E-3</v>
      </c>
      <c r="AL598" s="91">
        <f>F598*'Part 3 Portfolio Analysis'!$B$121+M598*'Part 3 Portfolio Analysis'!$C$121+'Part 3 Portfolio Analysis'!$D$121*T598+AA598*'Part 3 Portfolio Analysis'!$E$121+'Part 3 Portfolio Analysis'!$F$121*AH598</f>
        <v>2.6717599999999996E-3</v>
      </c>
      <c r="AM598" s="91"/>
      <c r="AN598" s="90">
        <v>45533</v>
      </c>
      <c r="AO598" s="91">
        <v>25035.300780000001</v>
      </c>
      <c r="AP598" s="91">
        <v>25151.949219999999</v>
      </c>
      <c r="AQ598" s="91">
        <v>25151.949219999999</v>
      </c>
      <c r="AR598" s="91">
        <v>354000</v>
      </c>
      <c r="AS598" s="91">
        <v>4.0000000000000001E-3</v>
      </c>
    </row>
    <row r="599" spans="1:45" x14ac:dyDescent="0.55000000000000004">
      <c r="A599" s="90">
        <v>45534</v>
      </c>
      <c r="B599" s="91">
        <v>7960.0498049999997</v>
      </c>
      <c r="C599" s="91">
        <v>8000.7001950000003</v>
      </c>
      <c r="D599" s="91">
        <v>7911.2065430000002</v>
      </c>
      <c r="E599" s="91">
        <v>1267303</v>
      </c>
      <c r="F599" s="91">
        <v>9.9000000000000008E-3</v>
      </c>
      <c r="H599" s="90">
        <v>45534</v>
      </c>
      <c r="I599" s="91">
        <v>1534</v>
      </c>
      <c r="J599" s="91">
        <v>1509.625</v>
      </c>
      <c r="K599" s="91">
        <v>1503.619751</v>
      </c>
      <c r="L599" s="91">
        <v>41620730</v>
      </c>
      <c r="M599" s="91">
        <v>-7.4000000000000003E-3</v>
      </c>
      <c r="O599" s="90">
        <v>45534</v>
      </c>
      <c r="P599" s="91">
        <v>828</v>
      </c>
      <c r="Q599" s="91">
        <v>818.45001219999995</v>
      </c>
      <c r="R599" s="91">
        <v>807.53460689999997</v>
      </c>
      <c r="S599" s="91">
        <v>445342100</v>
      </c>
      <c r="T599" s="91">
        <v>-1E-3</v>
      </c>
      <c r="V599" s="90">
        <v>45534</v>
      </c>
      <c r="W599" s="91">
        <v>1938</v>
      </c>
      <c r="X599" s="91">
        <v>1943.6999510000001</v>
      </c>
      <c r="Y599" s="91">
        <v>1866.577759</v>
      </c>
      <c r="Z599" s="91">
        <v>13466759</v>
      </c>
      <c r="AA599" s="91">
        <v>5.4000000000000003E-3</v>
      </c>
      <c r="AB599" s="91"/>
      <c r="AC599" s="90">
        <v>45534</v>
      </c>
      <c r="AD599" s="91">
        <v>7210</v>
      </c>
      <c r="AE599" s="91">
        <v>7158.75</v>
      </c>
      <c r="AF599" s="91">
        <v>7152.5537109999996</v>
      </c>
      <c r="AG599" s="91">
        <v>1169809</v>
      </c>
      <c r="AH599" s="91">
        <v>-1.6999999999999999E-3</v>
      </c>
      <c r="AI599" s="91"/>
      <c r="AJ599" s="91">
        <f>(F599*'Part 3 Portfolio Analysis'!$B$8+M599*'Part 3 Portfolio Analysis'!$C$8+T599*'Part 3 Portfolio Analysis'!$D$8+AA599*'Part 3 Portfolio Analysis'!$E$8+AH599*'Part 3 Portfolio Analysis'!$F$8)/100</f>
        <v>9.7326047919418486E-4</v>
      </c>
      <c r="AK599" s="91">
        <f>'Part 3 Portfolio Analysis'!$B$107*F599+M599*'Part 3 Portfolio Analysis'!$C$107+T599*'Part 3 Portfolio Analysis'!$D$107+AA599*'Part 3 Portfolio Analysis'!$E$107+AH599*'Part 3 Portfolio Analysis'!$F$107</f>
        <v>-5.7759999999999984E-4</v>
      </c>
      <c r="AL599" s="91">
        <f>F599*'Part 3 Portfolio Analysis'!$B$121+M599*'Part 3 Portfolio Analysis'!$C$121+'Part 3 Portfolio Analysis'!$D$121*T599+AA599*'Part 3 Portfolio Analysis'!$E$121+'Part 3 Portfolio Analysis'!$F$121*AH599</f>
        <v>-1.5277999999999999E-3</v>
      </c>
      <c r="AM599" s="91"/>
      <c r="AN599" s="90">
        <v>45534</v>
      </c>
      <c r="AO599" s="91">
        <v>25249.699219999999</v>
      </c>
      <c r="AP599" s="91">
        <v>25235.900389999999</v>
      </c>
      <c r="AQ599" s="91">
        <v>25235.900389999999</v>
      </c>
      <c r="AR599" s="91">
        <v>638200</v>
      </c>
      <c r="AS599" s="91">
        <v>3.3E-3</v>
      </c>
    </row>
    <row r="600" spans="1:45" x14ac:dyDescent="0.55000000000000004">
      <c r="A600" s="90">
        <v>45537</v>
      </c>
      <c r="B600" s="91">
        <v>8009</v>
      </c>
      <c r="C600" s="91">
        <v>7795.8999020000001</v>
      </c>
      <c r="D600" s="91">
        <v>7708.6972660000001</v>
      </c>
      <c r="E600" s="91">
        <v>404577</v>
      </c>
      <c r="F600" s="91">
        <v>-2.5600000000000001E-2</v>
      </c>
      <c r="H600" s="90">
        <v>45537</v>
      </c>
      <c r="I600" s="91">
        <v>1510.875</v>
      </c>
      <c r="J600" s="91">
        <v>1516.25</v>
      </c>
      <c r="K600" s="91">
        <v>1510.218384</v>
      </c>
      <c r="L600" s="91">
        <v>11240852</v>
      </c>
      <c r="M600" s="91">
        <v>4.4000000000000003E-3</v>
      </c>
      <c r="O600" s="90">
        <v>45537</v>
      </c>
      <c r="P600" s="91">
        <v>823.40002440000001</v>
      </c>
      <c r="Q600" s="91">
        <v>813.47497559999999</v>
      </c>
      <c r="R600" s="91">
        <v>802.62585449999995</v>
      </c>
      <c r="S600" s="91">
        <v>34049680</v>
      </c>
      <c r="T600" s="91">
        <v>-6.1000000000000004E-3</v>
      </c>
      <c r="V600" s="90">
        <v>45537</v>
      </c>
      <c r="W600" s="91">
        <v>1943.349976</v>
      </c>
      <c r="X600" s="91">
        <v>1964.5</v>
      </c>
      <c r="Y600" s="91">
        <v>1886.55249</v>
      </c>
      <c r="Z600" s="91">
        <v>5573739</v>
      </c>
      <c r="AA600" s="91">
        <v>1.0699999999999999E-2</v>
      </c>
      <c r="AB600" s="91"/>
      <c r="AC600" s="90">
        <v>45537</v>
      </c>
      <c r="AD600" s="91">
        <v>7179.25</v>
      </c>
      <c r="AE600" s="91">
        <v>7148.2001950000003</v>
      </c>
      <c r="AF600" s="91">
        <v>7142.0126950000003</v>
      </c>
      <c r="AG600" s="91">
        <v>625283</v>
      </c>
      <c r="AH600" s="91">
        <v>-1.5E-3</v>
      </c>
      <c r="AI600" s="91"/>
      <c r="AJ600" s="91">
        <f>(F600*'Part 3 Portfolio Analysis'!$B$8+M600*'Part 3 Portfolio Analysis'!$C$8+T600*'Part 3 Portfolio Analysis'!$D$8+AA600*'Part 3 Portfolio Analysis'!$E$8+AH600*'Part 3 Portfolio Analysis'!$F$8)/100</f>
        <v>-5.3953160853650916E-3</v>
      </c>
      <c r="AK600" s="91">
        <f>'Part 3 Portfolio Analysis'!$B$107*F600+M600*'Part 3 Portfolio Analysis'!$C$107+T600*'Part 3 Portfolio Analysis'!$D$107+AA600*'Part 3 Portfolio Analysis'!$E$107+AH600*'Part 3 Portfolio Analysis'!$F$107</f>
        <v>-3.4843000000000001E-3</v>
      </c>
      <c r="AL600" s="91">
        <f>F600*'Part 3 Portfolio Analysis'!$B$121+M600*'Part 3 Portfolio Analysis'!$C$121+'Part 3 Portfolio Analysis'!$D$121*T600+AA600*'Part 3 Portfolio Analysis'!$E$121+'Part 3 Portfolio Analysis'!$F$121*AH600</f>
        <v>1.8342000000000003E-4</v>
      </c>
      <c r="AM600" s="91"/>
      <c r="AN600" s="90">
        <v>45537</v>
      </c>
      <c r="AO600" s="91">
        <v>25333.599610000001</v>
      </c>
      <c r="AP600" s="91">
        <v>25278.699219999999</v>
      </c>
      <c r="AQ600" s="91">
        <v>25278.699219999999</v>
      </c>
      <c r="AR600" s="91">
        <v>222800</v>
      </c>
      <c r="AS600" s="91">
        <v>1.6999999999999999E-3</v>
      </c>
    </row>
    <row r="601" spans="1:45" x14ac:dyDescent="0.55000000000000004">
      <c r="A601" s="90">
        <v>45538</v>
      </c>
      <c r="B601" s="91">
        <v>7808.9501950000003</v>
      </c>
      <c r="C601" s="91">
        <v>7867.3500979999999</v>
      </c>
      <c r="D601" s="91">
        <v>7779.3481449999999</v>
      </c>
      <c r="E601" s="91">
        <v>319607</v>
      </c>
      <c r="F601" s="91">
        <v>9.1999999999999998E-3</v>
      </c>
      <c r="H601" s="90">
        <v>45538</v>
      </c>
      <c r="I601" s="91">
        <v>1521.25</v>
      </c>
      <c r="J601" s="91">
        <v>1509.125</v>
      </c>
      <c r="K601" s="91">
        <v>1503.1217039999999</v>
      </c>
      <c r="L601" s="91">
        <v>10923800</v>
      </c>
      <c r="M601" s="91">
        <v>-4.7000000000000002E-3</v>
      </c>
      <c r="O601" s="90">
        <v>45538</v>
      </c>
      <c r="P601" s="91">
        <v>817</v>
      </c>
      <c r="Q601" s="91">
        <v>818.67498780000005</v>
      </c>
      <c r="R601" s="91">
        <v>807.75653079999995</v>
      </c>
      <c r="S601" s="91">
        <v>37282860</v>
      </c>
      <c r="T601" s="91">
        <v>6.4000000000000003E-3</v>
      </c>
      <c r="V601" s="90">
        <v>45538</v>
      </c>
      <c r="W601" s="91">
        <v>1967</v>
      </c>
      <c r="X601" s="91">
        <v>1941.25</v>
      </c>
      <c r="Y601" s="91">
        <v>1864.2250979999999</v>
      </c>
      <c r="Z601" s="91">
        <v>4694322</v>
      </c>
      <c r="AA601" s="91">
        <v>-1.18E-2</v>
      </c>
      <c r="AB601" s="91"/>
      <c r="AC601" s="90">
        <v>45538</v>
      </c>
      <c r="AD601" s="91">
        <v>7179</v>
      </c>
      <c r="AE601" s="91">
        <v>7042.7998049999997</v>
      </c>
      <c r="AF601" s="91">
        <v>7036.7036129999997</v>
      </c>
      <c r="AG601" s="91">
        <v>857908</v>
      </c>
      <c r="AH601" s="91">
        <v>-1.47E-2</v>
      </c>
      <c r="AI601" s="91"/>
      <c r="AJ601" s="91">
        <f>(F601*'Part 3 Portfolio Analysis'!$B$8+M601*'Part 3 Portfolio Analysis'!$C$8+T601*'Part 3 Portfolio Analysis'!$D$8+AA601*'Part 3 Portfolio Analysis'!$E$8+AH601*'Part 3 Portfolio Analysis'!$F$8)/100</f>
        <v>8.125666052017131E-5</v>
      </c>
      <c r="AK601" s="91">
        <f>'Part 3 Portfolio Analysis'!$B$107*F601+M601*'Part 3 Portfolio Analysis'!$C$107+T601*'Part 3 Portfolio Analysis'!$D$107+AA601*'Part 3 Portfolio Analysis'!$E$107+AH601*'Part 3 Portfolio Analysis'!$F$107</f>
        <v>-3.7075000000000003E-3</v>
      </c>
      <c r="AL601" s="91">
        <f>F601*'Part 3 Portfolio Analysis'!$B$121+M601*'Part 3 Portfolio Analysis'!$C$121+'Part 3 Portfolio Analysis'!$D$121*T601+AA601*'Part 3 Portfolio Analysis'!$E$121+'Part 3 Portfolio Analysis'!$F$121*AH601</f>
        <v>-2.2202199999999997E-3</v>
      </c>
      <c r="AM601" s="91"/>
      <c r="AN601" s="90">
        <v>45538</v>
      </c>
      <c r="AO601" s="91">
        <v>25313.400389999999</v>
      </c>
      <c r="AP601" s="91">
        <v>25279.849610000001</v>
      </c>
      <c r="AQ601" s="91">
        <v>25279.849610000001</v>
      </c>
      <c r="AR601" s="91">
        <v>212100</v>
      </c>
      <c r="AS601" s="91">
        <v>0</v>
      </c>
    </row>
    <row r="602" spans="1:45" x14ac:dyDescent="0.55000000000000004">
      <c r="A602" s="90">
        <v>45539</v>
      </c>
      <c r="B602" s="91">
        <v>7720</v>
      </c>
      <c r="C602" s="91">
        <v>7748.6499020000001</v>
      </c>
      <c r="D602" s="91">
        <v>7661.9755859999996</v>
      </c>
      <c r="E602" s="91">
        <v>156852</v>
      </c>
      <c r="F602" s="91">
        <v>-1.5100000000000001E-2</v>
      </c>
      <c r="H602" s="90">
        <v>45539</v>
      </c>
      <c r="I602" s="91">
        <v>1500.6999510000001</v>
      </c>
      <c r="J602" s="91">
        <v>1514.5500489999999</v>
      </c>
      <c r="K602" s="91">
        <v>1508.5251459999999</v>
      </c>
      <c r="L602" s="91">
        <v>11983304</v>
      </c>
      <c r="M602" s="91">
        <v>3.5999999999999999E-3</v>
      </c>
      <c r="O602" s="90">
        <v>45539</v>
      </c>
      <c r="P602" s="91">
        <v>819.5</v>
      </c>
      <c r="Q602" s="91">
        <v>820.90002440000001</v>
      </c>
      <c r="R602" s="91">
        <v>809.95196529999998</v>
      </c>
      <c r="S602" s="91">
        <v>24682744</v>
      </c>
      <c r="T602" s="91">
        <v>2.7000000000000001E-3</v>
      </c>
      <c r="V602" s="90">
        <v>45539</v>
      </c>
      <c r="W602" s="91">
        <v>1921.099976</v>
      </c>
      <c r="X602" s="91">
        <v>1922.4499510000001</v>
      </c>
      <c r="Y602" s="91">
        <v>1846.1708980000001</v>
      </c>
      <c r="Z602" s="91">
        <v>4778310</v>
      </c>
      <c r="AA602" s="91">
        <v>-9.7000000000000003E-3</v>
      </c>
      <c r="AB602" s="91"/>
      <c r="AC602" s="90">
        <v>45539</v>
      </c>
      <c r="AD602" s="91">
        <v>7043</v>
      </c>
      <c r="AE602" s="91">
        <v>7139.8999020000001</v>
      </c>
      <c r="AF602" s="91">
        <v>7133.7197269999997</v>
      </c>
      <c r="AG602" s="91">
        <v>576206</v>
      </c>
      <c r="AH602" s="91">
        <v>1.38E-2</v>
      </c>
      <c r="AI602" s="91"/>
      <c r="AJ602" s="91">
        <f>(F602*'Part 3 Portfolio Analysis'!$B$8+M602*'Part 3 Portfolio Analysis'!$C$8+T602*'Part 3 Portfolio Analysis'!$D$8+AA602*'Part 3 Portfolio Analysis'!$E$8+AH602*'Part 3 Portfolio Analysis'!$F$8)/100</f>
        <v>-4.2008572225685379E-3</v>
      </c>
      <c r="AK602" s="91">
        <f>'Part 3 Portfolio Analysis'!$B$107*F602+M602*'Part 3 Portfolio Analysis'!$C$107+T602*'Part 3 Portfolio Analysis'!$D$107+AA602*'Part 3 Portfolio Analysis'!$E$107+AH602*'Part 3 Portfolio Analysis'!$F$107</f>
        <v>1.3349E-3</v>
      </c>
      <c r="AL602" s="91">
        <f>F602*'Part 3 Portfolio Analysis'!$B$121+M602*'Part 3 Portfolio Analysis'!$C$121+'Part 3 Portfolio Analysis'!$D$121*T602+AA602*'Part 3 Portfolio Analysis'!$E$121+'Part 3 Portfolio Analysis'!$F$121*AH602</f>
        <v>-5.7470000000000015E-4</v>
      </c>
      <c r="AM602" s="91"/>
      <c r="AN602" s="90">
        <v>45539</v>
      </c>
      <c r="AO602" s="91">
        <v>25089.949219999999</v>
      </c>
      <c r="AP602" s="91">
        <v>25198.699219999999</v>
      </c>
      <c r="AQ602" s="91">
        <v>25198.699219999999</v>
      </c>
      <c r="AR602" s="91">
        <v>253800</v>
      </c>
      <c r="AS602" s="91">
        <v>-3.2000000000000002E-3</v>
      </c>
    </row>
    <row r="603" spans="1:45" x14ac:dyDescent="0.55000000000000004">
      <c r="A603" s="90">
        <v>45540</v>
      </c>
      <c r="B603" s="91">
        <v>7788.1000979999999</v>
      </c>
      <c r="C603" s="91">
        <v>7727.0498049999997</v>
      </c>
      <c r="D603" s="91">
        <v>7640.6171880000002</v>
      </c>
      <c r="E603" s="91">
        <v>137503</v>
      </c>
      <c r="F603" s="91">
        <v>-2.8E-3</v>
      </c>
      <c r="H603" s="90">
        <v>45540</v>
      </c>
      <c r="I603" s="91">
        <v>1519.0500489999999</v>
      </c>
      <c r="J603" s="91">
        <v>1492.974976</v>
      </c>
      <c r="K603" s="91">
        <v>1487.035889</v>
      </c>
      <c r="L603" s="91">
        <v>16264168</v>
      </c>
      <c r="M603" s="91">
        <v>-1.4200000000000001E-2</v>
      </c>
      <c r="O603" s="90">
        <v>45540</v>
      </c>
      <c r="P603" s="91">
        <v>823</v>
      </c>
      <c r="Q603" s="91">
        <v>822.72497559999999</v>
      </c>
      <c r="R603" s="91">
        <v>811.75250240000003</v>
      </c>
      <c r="S603" s="91">
        <v>22876318</v>
      </c>
      <c r="T603" s="91">
        <v>2.2000000000000001E-3</v>
      </c>
      <c r="V603" s="90">
        <v>45540</v>
      </c>
      <c r="W603" s="91">
        <v>1926.25</v>
      </c>
      <c r="X603" s="91">
        <v>1933.150024</v>
      </c>
      <c r="Y603" s="91">
        <v>1856.4464109999999</v>
      </c>
      <c r="Z603" s="91">
        <v>4081810</v>
      </c>
      <c r="AA603" s="91">
        <v>5.5999999999999999E-3</v>
      </c>
      <c r="AB603" s="91"/>
      <c r="AC603" s="90">
        <v>45540</v>
      </c>
      <c r="AD603" s="91">
        <v>7169.8999020000001</v>
      </c>
      <c r="AE603" s="91">
        <v>7167.6499020000001</v>
      </c>
      <c r="AF603" s="91">
        <v>7161.4458009999998</v>
      </c>
      <c r="AG603" s="91">
        <v>667571</v>
      </c>
      <c r="AH603" s="91">
        <v>3.8999999999999998E-3</v>
      </c>
      <c r="AI603" s="91"/>
      <c r="AJ603" s="91">
        <f>(F603*'Part 3 Portfolio Analysis'!$B$8+M603*'Part 3 Portfolio Analysis'!$C$8+T603*'Part 3 Portfolio Analysis'!$D$8+AA603*'Part 3 Portfolio Analysis'!$E$8+AH603*'Part 3 Portfolio Analysis'!$F$8)/100</f>
        <v>-4.6808849268450744E-3</v>
      </c>
      <c r="AK603" s="91">
        <f>'Part 3 Portfolio Analysis'!$B$107*F603+M603*'Part 3 Portfolio Analysis'!$C$107+T603*'Part 3 Portfolio Analysis'!$D$107+AA603*'Part 3 Portfolio Analysis'!$E$107+AH603*'Part 3 Portfolio Analysis'!$F$107</f>
        <v>-3.0648000000000003E-3</v>
      </c>
      <c r="AL603" s="91">
        <f>F603*'Part 3 Portfolio Analysis'!$B$121+M603*'Part 3 Portfolio Analysis'!$C$121+'Part 3 Portfolio Analysis'!$D$121*T603+AA603*'Part 3 Portfolio Analysis'!$E$121+'Part 3 Portfolio Analysis'!$F$121*AH603</f>
        <v>-4.3678999999999992E-3</v>
      </c>
      <c r="AM603" s="91"/>
      <c r="AN603" s="90">
        <v>45540</v>
      </c>
      <c r="AO603" s="91">
        <v>25250.5</v>
      </c>
      <c r="AP603" s="91">
        <v>25145.099610000001</v>
      </c>
      <c r="AQ603" s="91">
        <v>25145.099610000001</v>
      </c>
      <c r="AR603" s="91">
        <v>222200</v>
      </c>
      <c r="AS603" s="91">
        <v>-2.0999999999999999E-3</v>
      </c>
    </row>
    <row r="604" spans="1:45" x14ac:dyDescent="0.55000000000000004">
      <c r="A604" s="90">
        <v>45541</v>
      </c>
      <c r="B604" s="91">
        <v>7730</v>
      </c>
      <c r="C604" s="91">
        <v>7589.4501950000003</v>
      </c>
      <c r="D604" s="91">
        <v>7504.5566410000001</v>
      </c>
      <c r="E604" s="91">
        <v>230086</v>
      </c>
      <c r="F604" s="91">
        <v>-1.78E-2</v>
      </c>
      <c r="H604" s="90">
        <v>45541</v>
      </c>
      <c r="I604" s="91">
        <v>1492.5</v>
      </c>
      <c r="J604" s="91">
        <v>1464.8249510000001</v>
      </c>
      <c r="K604" s="91">
        <v>1458.997803</v>
      </c>
      <c r="L604" s="91">
        <v>19394228</v>
      </c>
      <c r="M604" s="91">
        <v>-1.89E-2</v>
      </c>
      <c r="O604" s="90">
        <v>45541</v>
      </c>
      <c r="P604" s="91">
        <v>819.15002440000001</v>
      </c>
      <c r="Q604" s="91">
        <v>818.47497559999999</v>
      </c>
      <c r="R604" s="91">
        <v>807.55920409999999</v>
      </c>
      <c r="S604" s="91">
        <v>26029602</v>
      </c>
      <c r="T604" s="91">
        <v>-5.1999999999999998E-3</v>
      </c>
      <c r="V604" s="90">
        <v>45541</v>
      </c>
      <c r="W604" s="91">
        <v>1922</v>
      </c>
      <c r="X604" s="91">
        <v>1901.849976</v>
      </c>
      <c r="Y604" s="91">
        <v>1826.3883060000001</v>
      </c>
      <c r="Z604" s="91">
        <v>5848106</v>
      </c>
      <c r="AA604" s="91">
        <v>-1.6199999999999999E-2</v>
      </c>
      <c r="AB604" s="91"/>
      <c r="AC604" s="90">
        <v>45541</v>
      </c>
      <c r="AD604" s="91">
        <v>7184.8999020000001</v>
      </c>
      <c r="AE604" s="91">
        <v>7103.5498049999997</v>
      </c>
      <c r="AF604" s="91">
        <v>7097.4013670000004</v>
      </c>
      <c r="AG604" s="91">
        <v>384793</v>
      </c>
      <c r="AH604" s="91">
        <v>-8.8999999999999999E-3</v>
      </c>
      <c r="AI604" s="91"/>
      <c r="AJ604" s="91">
        <f>(F604*'Part 3 Portfolio Analysis'!$B$8+M604*'Part 3 Portfolio Analysis'!$C$8+T604*'Part 3 Portfolio Analysis'!$D$8+AA604*'Part 3 Portfolio Analysis'!$E$8+AH604*'Part 3 Portfolio Analysis'!$F$8)/100</f>
        <v>-1.5752409397309201E-2</v>
      </c>
      <c r="AK604" s="91">
        <f>'Part 3 Portfolio Analysis'!$B$107*F604+M604*'Part 3 Portfolio Analysis'!$C$107+T604*'Part 3 Portfolio Analysis'!$D$107+AA604*'Part 3 Portfolio Analysis'!$E$107+AH604*'Part 3 Portfolio Analysis'!$F$107</f>
        <v>-1.3788499999999999E-2</v>
      </c>
      <c r="AL604" s="91">
        <f>F604*'Part 3 Portfolio Analysis'!$B$121+M604*'Part 3 Portfolio Analysis'!$C$121+'Part 3 Portfolio Analysis'!$D$121*T604+AA604*'Part 3 Portfolio Analysis'!$E$121+'Part 3 Portfolio Analysis'!$F$121*AH604</f>
        <v>-1.4281179999999999E-2</v>
      </c>
      <c r="AM604" s="91"/>
      <c r="AN604" s="90">
        <v>45541</v>
      </c>
      <c r="AO604" s="91">
        <v>25093.699219999999</v>
      </c>
      <c r="AP604" s="91">
        <v>24852.150389999999</v>
      </c>
      <c r="AQ604" s="91">
        <v>24852.150389999999</v>
      </c>
      <c r="AR604" s="91">
        <v>311700</v>
      </c>
      <c r="AS604" s="91">
        <v>-1.17E-2</v>
      </c>
    </row>
    <row r="605" spans="1:45" x14ac:dyDescent="0.55000000000000004">
      <c r="A605" s="90">
        <v>45544</v>
      </c>
      <c r="B605" s="91">
        <v>7590</v>
      </c>
      <c r="C605" s="91">
        <v>7839.0498049999997</v>
      </c>
      <c r="D605" s="91">
        <v>7751.3642579999996</v>
      </c>
      <c r="E605" s="91">
        <v>704407</v>
      </c>
      <c r="F605" s="91">
        <v>3.2899999999999999E-2</v>
      </c>
      <c r="H605" s="90">
        <v>45544</v>
      </c>
      <c r="I605" s="91">
        <v>1466.5</v>
      </c>
      <c r="J605" s="91">
        <v>1462.4499510000001</v>
      </c>
      <c r="K605" s="91">
        <v>1456.6323239999999</v>
      </c>
      <c r="L605" s="91">
        <v>9010298</v>
      </c>
      <c r="M605" s="91">
        <v>-1.6000000000000001E-3</v>
      </c>
      <c r="O605" s="90">
        <v>45544</v>
      </c>
      <c r="P605" s="91">
        <v>819</v>
      </c>
      <c r="Q605" s="91">
        <v>823.25</v>
      </c>
      <c r="R605" s="91">
        <v>812.27056879999998</v>
      </c>
      <c r="S605" s="91">
        <v>23792914</v>
      </c>
      <c r="T605" s="91">
        <v>5.7999999999999996E-3</v>
      </c>
      <c r="V605" s="90">
        <v>45544</v>
      </c>
      <c r="W605" s="91">
        <v>1890</v>
      </c>
      <c r="X605" s="91">
        <v>1894.650024</v>
      </c>
      <c r="Y605" s="91">
        <v>1819.473999</v>
      </c>
      <c r="Z605" s="91">
        <v>4772612</v>
      </c>
      <c r="AA605" s="91">
        <v>-3.8E-3</v>
      </c>
      <c r="AB605" s="91"/>
      <c r="AC605" s="90">
        <v>45544</v>
      </c>
      <c r="AD605" s="91">
        <v>7104</v>
      </c>
      <c r="AE605" s="91">
        <v>7136.6499020000001</v>
      </c>
      <c r="AF605" s="91">
        <v>7130.4726559999999</v>
      </c>
      <c r="AG605" s="91">
        <v>349967</v>
      </c>
      <c r="AH605" s="91">
        <v>4.7000000000000002E-3</v>
      </c>
      <c r="AI605" s="91"/>
      <c r="AJ605" s="91">
        <f>(F605*'Part 3 Portfolio Analysis'!$B$8+M605*'Part 3 Portfolio Analysis'!$C$8+T605*'Part 3 Portfolio Analysis'!$D$8+AA605*'Part 3 Portfolio Analysis'!$E$8+AH605*'Part 3 Portfolio Analysis'!$F$8)/100</f>
        <v>9.691933789307423E-3</v>
      </c>
      <c r="AK605" s="91">
        <f>'Part 3 Portfolio Analysis'!$B$107*F605+M605*'Part 3 Portfolio Analysis'!$C$107+T605*'Part 3 Portfolio Analysis'!$D$107+AA605*'Part 3 Portfolio Analysis'!$E$107+AH605*'Part 3 Portfolio Analysis'!$F$107</f>
        <v>7.1245999999999983E-3</v>
      </c>
      <c r="AL605" s="91">
        <f>F605*'Part 3 Portfolio Analysis'!$B$121+M605*'Part 3 Portfolio Analysis'!$C$121+'Part 3 Portfolio Analysis'!$D$121*T605+AA605*'Part 3 Portfolio Analysis'!$E$121+'Part 3 Portfolio Analysis'!$F$121*AH605</f>
        <v>2.9737599999999998E-3</v>
      </c>
      <c r="AM605" s="91"/>
      <c r="AN605" s="90">
        <v>45544</v>
      </c>
      <c r="AO605" s="91">
        <v>24823.400389999999</v>
      </c>
      <c r="AP605" s="91">
        <v>24936.400389999999</v>
      </c>
      <c r="AQ605" s="91">
        <v>24936.400389999999</v>
      </c>
      <c r="AR605" s="91">
        <v>254400</v>
      </c>
      <c r="AS605" s="91">
        <v>3.3999999999999998E-3</v>
      </c>
    </row>
    <row r="606" spans="1:45" x14ac:dyDescent="0.55000000000000004">
      <c r="A606" s="90">
        <v>45545</v>
      </c>
      <c r="B606" s="91">
        <v>7879.9501950000003</v>
      </c>
      <c r="C606" s="91">
        <v>7850.7001950000003</v>
      </c>
      <c r="D606" s="91">
        <v>7762.8847660000001</v>
      </c>
      <c r="E606" s="91">
        <v>358444</v>
      </c>
      <c r="F606" s="91">
        <v>1.5E-3</v>
      </c>
      <c r="H606" s="90">
        <v>45545</v>
      </c>
      <c r="I606" s="91">
        <v>1460.5</v>
      </c>
      <c r="J606" s="91">
        <v>1461.525024</v>
      </c>
      <c r="K606" s="91">
        <v>1455.7110600000001</v>
      </c>
      <c r="L606" s="91">
        <v>10768260</v>
      </c>
      <c r="M606" s="91">
        <v>-5.9999999999999995E-4</v>
      </c>
      <c r="O606" s="90">
        <v>45545</v>
      </c>
      <c r="P606" s="91">
        <v>827</v>
      </c>
      <c r="Q606" s="91">
        <v>825.17498780000005</v>
      </c>
      <c r="R606" s="91">
        <v>814.16992189999996</v>
      </c>
      <c r="S606" s="91">
        <v>26606646</v>
      </c>
      <c r="T606" s="91">
        <v>2.3E-3</v>
      </c>
      <c r="V606" s="90">
        <v>45545</v>
      </c>
      <c r="W606" s="91">
        <v>1904.900024</v>
      </c>
      <c r="X606" s="91">
        <v>1912.3000489999999</v>
      </c>
      <c r="Y606" s="91">
        <v>1836.423706</v>
      </c>
      <c r="Z606" s="91">
        <v>6909600</v>
      </c>
      <c r="AA606" s="91">
        <v>9.2999999999999992E-3</v>
      </c>
      <c r="AB606" s="91"/>
      <c r="AC606" s="90">
        <v>45545</v>
      </c>
      <c r="AD606" s="91">
        <v>7156</v>
      </c>
      <c r="AE606" s="91">
        <v>7137.9501950000003</v>
      </c>
      <c r="AF606" s="91">
        <v>7131.7719729999999</v>
      </c>
      <c r="AG606" s="91">
        <v>376043</v>
      </c>
      <c r="AH606" s="91">
        <v>2.0000000000000001E-4</v>
      </c>
      <c r="AI606" s="91"/>
      <c r="AJ606" s="91">
        <f>(F606*'Part 3 Portfolio Analysis'!$B$8+M606*'Part 3 Portfolio Analysis'!$C$8+T606*'Part 3 Portfolio Analysis'!$D$8+AA606*'Part 3 Portfolio Analysis'!$E$8+AH606*'Part 3 Portfolio Analysis'!$F$8)/100</f>
        <v>2.1148180506453821E-3</v>
      </c>
      <c r="AK606" s="91">
        <f>'Part 3 Portfolio Analysis'!$B$107*F606+M606*'Part 3 Portfolio Analysis'!$C$107+T606*'Part 3 Portfolio Analysis'!$D$107+AA606*'Part 3 Portfolio Analysis'!$E$107+AH606*'Part 3 Portfolio Analysis'!$F$107</f>
        <v>1.4191E-3</v>
      </c>
      <c r="AL606" s="91">
        <f>F606*'Part 3 Portfolio Analysis'!$B$121+M606*'Part 3 Portfolio Analysis'!$C$121+'Part 3 Portfolio Analysis'!$D$121*T606+AA606*'Part 3 Portfolio Analysis'!$E$121+'Part 3 Portfolio Analysis'!$F$121*AH606</f>
        <v>2.3623799999999999E-3</v>
      </c>
      <c r="AM606" s="91"/>
      <c r="AN606" s="90">
        <v>45545</v>
      </c>
      <c r="AO606" s="91">
        <v>24999.400389999999</v>
      </c>
      <c r="AP606" s="91">
        <v>25041.099610000001</v>
      </c>
      <c r="AQ606" s="91">
        <v>25041.099610000001</v>
      </c>
      <c r="AR606" s="91">
        <v>251300</v>
      </c>
      <c r="AS606" s="91">
        <v>4.1999999999999997E-3</v>
      </c>
    </row>
    <row r="607" spans="1:45" x14ac:dyDescent="0.55000000000000004">
      <c r="A607" s="90">
        <v>45546</v>
      </c>
      <c r="B607" s="91">
        <v>7880</v>
      </c>
      <c r="C607" s="91">
        <v>7717.1000979999999</v>
      </c>
      <c r="D607" s="91">
        <v>7630.7788090000004</v>
      </c>
      <c r="E607" s="91">
        <v>153919</v>
      </c>
      <c r="F607" s="91">
        <v>-1.7000000000000001E-2</v>
      </c>
      <c r="H607" s="90">
        <v>45546</v>
      </c>
      <c r="I607" s="91">
        <v>1463.0500489999999</v>
      </c>
      <c r="J607" s="91">
        <v>1451.5</v>
      </c>
      <c r="K607" s="91">
        <v>1445.725952</v>
      </c>
      <c r="L607" s="91">
        <v>9760202</v>
      </c>
      <c r="M607" s="91">
        <v>-6.8999999999999999E-3</v>
      </c>
      <c r="O607" s="90">
        <v>45546</v>
      </c>
      <c r="P607" s="91">
        <v>825.20001219999995</v>
      </c>
      <c r="Q607" s="91">
        <v>821.95001219999995</v>
      </c>
      <c r="R607" s="91">
        <v>810.98791500000004</v>
      </c>
      <c r="S607" s="91">
        <v>22226684</v>
      </c>
      <c r="T607" s="91">
        <v>-3.8999999999999998E-3</v>
      </c>
      <c r="V607" s="90">
        <v>45546</v>
      </c>
      <c r="W607" s="91">
        <v>1914.6999510000001</v>
      </c>
      <c r="X607" s="91">
        <v>1910.150024</v>
      </c>
      <c r="Y607" s="91">
        <v>1834.3588870000001</v>
      </c>
      <c r="Z607" s="91">
        <v>5312946</v>
      </c>
      <c r="AA607" s="91">
        <v>-1.1000000000000001E-3</v>
      </c>
      <c r="AB607" s="91"/>
      <c r="AC607" s="90">
        <v>45546</v>
      </c>
      <c r="AD607" s="91">
        <v>7160.9501950000003</v>
      </c>
      <c r="AE607" s="91">
        <v>7148.8500979999999</v>
      </c>
      <c r="AF607" s="91">
        <v>7142.6621089999999</v>
      </c>
      <c r="AG607" s="91">
        <v>428437</v>
      </c>
      <c r="AH607" s="91">
        <v>1.5E-3</v>
      </c>
      <c r="AI607" s="91"/>
      <c r="AJ607" s="91">
        <f>(F607*'Part 3 Portfolio Analysis'!$B$8+M607*'Part 3 Portfolio Analysis'!$C$8+T607*'Part 3 Portfolio Analysis'!$D$8+AA607*'Part 3 Portfolio Analysis'!$E$8+AH607*'Part 3 Portfolio Analysis'!$F$8)/100</f>
        <v>-8.4140489801612043E-3</v>
      </c>
      <c r="AK607" s="91">
        <f>'Part 3 Portfolio Analysis'!$B$107*F607+M607*'Part 3 Portfolio Analysis'!$C$107+T607*'Part 3 Portfolio Analysis'!$D$107+AA607*'Part 3 Portfolio Analysis'!$E$107+AH607*'Part 3 Portfolio Analysis'!$F$107</f>
        <v>-5.5562000000000007E-3</v>
      </c>
      <c r="AL607" s="91">
        <f>F607*'Part 3 Portfolio Analysis'!$B$121+M607*'Part 3 Portfolio Analysis'!$C$121+'Part 3 Portfolio Analysis'!$D$121*T607+AA607*'Part 3 Portfolio Analysis'!$E$121+'Part 3 Portfolio Analysis'!$F$121*AH607</f>
        <v>-5.5341399999999999E-3</v>
      </c>
      <c r="AM607" s="91"/>
      <c r="AN607" s="90">
        <v>45546</v>
      </c>
      <c r="AO607" s="91">
        <v>25034</v>
      </c>
      <c r="AP607" s="91">
        <v>24918.449219999999</v>
      </c>
      <c r="AQ607" s="91">
        <v>24918.449219999999</v>
      </c>
      <c r="AR607" s="91">
        <v>279200</v>
      </c>
      <c r="AS607" s="91">
        <v>-4.8999999999999998E-3</v>
      </c>
    </row>
    <row r="608" spans="1:45" x14ac:dyDescent="0.55000000000000004">
      <c r="A608" s="90">
        <v>45547</v>
      </c>
      <c r="B608" s="91">
        <v>7757.3999020000001</v>
      </c>
      <c r="C608" s="91">
        <v>7788.3999020000001</v>
      </c>
      <c r="D608" s="91">
        <v>7701.28125</v>
      </c>
      <c r="E608" s="91">
        <v>152510</v>
      </c>
      <c r="F608" s="91">
        <v>9.1999999999999998E-3</v>
      </c>
      <c r="H608" s="90">
        <v>45547</v>
      </c>
      <c r="I608" s="91">
        <v>1457</v>
      </c>
      <c r="J608" s="91">
        <v>1479.8000489999999</v>
      </c>
      <c r="K608" s="91">
        <v>1473.9133300000001</v>
      </c>
      <c r="L608" s="91">
        <v>22349376</v>
      </c>
      <c r="M608" s="91">
        <v>1.95E-2</v>
      </c>
      <c r="O608" s="90">
        <v>45547</v>
      </c>
      <c r="P608" s="91">
        <v>827</v>
      </c>
      <c r="Q608" s="91">
        <v>833.29998780000005</v>
      </c>
      <c r="R608" s="91">
        <v>822.18652340000006</v>
      </c>
      <c r="S608" s="91">
        <v>32424046</v>
      </c>
      <c r="T608" s="91">
        <v>1.38E-2</v>
      </c>
      <c r="V608" s="90">
        <v>45547</v>
      </c>
      <c r="W608" s="91">
        <v>1925</v>
      </c>
      <c r="X608" s="91">
        <v>1950.4499510000001</v>
      </c>
      <c r="Y608" s="91">
        <v>1873.059937</v>
      </c>
      <c r="Z608" s="91">
        <v>8555092</v>
      </c>
      <c r="AA608" s="91">
        <v>2.1100000000000001E-2</v>
      </c>
      <c r="AB608" s="91"/>
      <c r="AC608" s="90">
        <v>45547</v>
      </c>
      <c r="AD608" s="91">
        <v>7198</v>
      </c>
      <c r="AE608" s="91">
        <v>7210.5</v>
      </c>
      <c r="AF608" s="91">
        <v>7204.2587890000004</v>
      </c>
      <c r="AG608" s="91">
        <v>572357</v>
      </c>
      <c r="AH608" s="91">
        <v>8.6E-3</v>
      </c>
      <c r="AI608" s="91"/>
      <c r="AJ608" s="91">
        <f>(F608*'Part 3 Portfolio Analysis'!$B$8+M608*'Part 3 Portfolio Analysis'!$C$8+T608*'Part 3 Portfolio Analysis'!$D$8+AA608*'Part 3 Portfolio Analysis'!$E$8+AH608*'Part 3 Portfolio Analysis'!$F$8)/100</f>
        <v>1.5610129114192593E-2</v>
      </c>
      <c r="AK608" s="91">
        <f>'Part 3 Portfolio Analysis'!$B$107*F608+M608*'Part 3 Portfolio Analysis'!$C$107+T608*'Part 3 Portfolio Analysis'!$D$107+AA608*'Part 3 Portfolio Analysis'!$E$107+AH608*'Part 3 Portfolio Analysis'!$F$107</f>
        <v>1.4175700000000003E-2</v>
      </c>
      <c r="AL608" s="91">
        <f>F608*'Part 3 Portfolio Analysis'!$B$121+M608*'Part 3 Portfolio Analysis'!$C$121+'Part 3 Portfolio Analysis'!$D$121*T608+AA608*'Part 3 Portfolio Analysis'!$E$121+'Part 3 Portfolio Analysis'!$F$121*AH608</f>
        <v>1.7137360000000001E-2</v>
      </c>
      <c r="AM608" s="91"/>
      <c r="AN608" s="90">
        <v>45547</v>
      </c>
      <c r="AO608" s="91">
        <v>25059.650389999999</v>
      </c>
      <c r="AP608" s="91">
        <v>25388.900389999999</v>
      </c>
      <c r="AQ608" s="91">
        <v>25388.900389999999</v>
      </c>
      <c r="AR608" s="91">
        <v>380100</v>
      </c>
      <c r="AS608" s="91">
        <v>1.89E-2</v>
      </c>
    </row>
    <row r="609" spans="1:45" x14ac:dyDescent="0.55000000000000004">
      <c r="A609" s="90">
        <v>45548</v>
      </c>
      <c r="B609" s="91">
        <v>7825</v>
      </c>
      <c r="C609" s="91">
        <v>7714.8999020000001</v>
      </c>
      <c r="D609" s="91">
        <v>7628.6035160000001</v>
      </c>
      <c r="E609" s="91">
        <v>121235</v>
      </c>
      <c r="F609" s="91">
        <v>-9.4000000000000004E-3</v>
      </c>
      <c r="H609" s="90">
        <v>45548</v>
      </c>
      <c r="I609" s="91">
        <v>1476.400024</v>
      </c>
      <c r="J609" s="91">
        <v>1472.625</v>
      </c>
      <c r="K609" s="91">
        <v>1466.766846</v>
      </c>
      <c r="L609" s="91">
        <v>8711328</v>
      </c>
      <c r="M609" s="91">
        <v>-4.7999999999999996E-3</v>
      </c>
      <c r="O609" s="90">
        <v>45548</v>
      </c>
      <c r="P609" s="91">
        <v>837</v>
      </c>
      <c r="Q609" s="91">
        <v>832.97497559999999</v>
      </c>
      <c r="R609" s="91">
        <v>821.86584470000003</v>
      </c>
      <c r="S609" s="91">
        <v>23860532</v>
      </c>
      <c r="T609" s="91">
        <v>-4.0000000000000002E-4</v>
      </c>
      <c r="V609" s="90">
        <v>45548</v>
      </c>
      <c r="W609" s="91">
        <v>1950.4499510000001</v>
      </c>
      <c r="X609" s="91">
        <v>1944.099976</v>
      </c>
      <c r="Y609" s="91">
        <v>1866.961914</v>
      </c>
      <c r="Z609" s="91">
        <v>3843127</v>
      </c>
      <c r="AA609" s="91">
        <v>-3.3E-3</v>
      </c>
      <c r="AB609" s="91"/>
      <c r="AC609" s="90">
        <v>45548</v>
      </c>
      <c r="AD609" s="91">
        <v>7248.5</v>
      </c>
      <c r="AE609" s="91">
        <v>7233.1499020000001</v>
      </c>
      <c r="AF609" s="91">
        <v>7226.8891599999997</v>
      </c>
      <c r="AG609" s="91">
        <v>468707</v>
      </c>
      <c r="AH609" s="91">
        <v>3.0999999999999999E-3</v>
      </c>
      <c r="AI609" s="91"/>
      <c r="AJ609" s="91">
        <f>(F609*'Part 3 Portfolio Analysis'!$B$8+M609*'Part 3 Portfolio Analysis'!$C$8+T609*'Part 3 Portfolio Analysis'!$D$8+AA609*'Part 3 Portfolio Analysis'!$E$8+AH609*'Part 3 Portfolio Analysis'!$F$8)/100</f>
        <v>-5.1274123484990487E-3</v>
      </c>
      <c r="AK609" s="91">
        <f>'Part 3 Portfolio Analysis'!$B$107*F609+M609*'Part 3 Portfolio Analysis'!$C$107+T609*'Part 3 Portfolio Analysis'!$D$107+AA609*'Part 3 Portfolio Analysis'!$E$107+AH609*'Part 3 Portfolio Analysis'!$F$107</f>
        <v>-2.8051999999999999E-3</v>
      </c>
      <c r="AL609" s="91">
        <f>F609*'Part 3 Portfolio Analysis'!$B$121+M609*'Part 3 Portfolio Analysis'!$C$121+'Part 3 Portfolio Analysis'!$D$121*T609+AA609*'Part 3 Portfolio Analysis'!$E$121+'Part 3 Portfolio Analysis'!$F$121*AH609</f>
        <v>-3.4743399999999998E-3</v>
      </c>
      <c r="AM609" s="91"/>
      <c r="AN609" s="90">
        <v>45548</v>
      </c>
      <c r="AO609" s="91">
        <v>25430.449219999999</v>
      </c>
      <c r="AP609" s="91">
        <v>25356.5</v>
      </c>
      <c r="AQ609" s="91">
        <v>25356.5</v>
      </c>
      <c r="AR609" s="91">
        <v>250800</v>
      </c>
      <c r="AS609" s="91">
        <v>-1.2999999999999999E-3</v>
      </c>
    </row>
    <row r="610" spans="1:45" x14ac:dyDescent="0.55000000000000004">
      <c r="A610" s="90">
        <v>45551</v>
      </c>
      <c r="B610" s="91">
        <v>7750</v>
      </c>
      <c r="C610" s="91">
        <v>7688.75</v>
      </c>
      <c r="D610" s="91">
        <v>7602.7460940000001</v>
      </c>
      <c r="E610" s="91">
        <v>98044</v>
      </c>
      <c r="F610" s="91">
        <v>-3.3999999999999998E-3</v>
      </c>
      <c r="H610" s="90">
        <v>45551</v>
      </c>
      <c r="I610" s="91">
        <v>1477.5500489999999</v>
      </c>
      <c r="J610" s="91">
        <v>1471.349976</v>
      </c>
      <c r="K610" s="91">
        <v>1465.496948</v>
      </c>
      <c r="L610" s="91">
        <v>5481774</v>
      </c>
      <c r="M610" s="91">
        <v>-8.9999999999999998E-4</v>
      </c>
      <c r="O610" s="90">
        <v>45551</v>
      </c>
      <c r="P610" s="91">
        <v>833.5</v>
      </c>
      <c r="Q610" s="91">
        <v>835.47497559999999</v>
      </c>
      <c r="R610" s="91">
        <v>824.33245850000003</v>
      </c>
      <c r="S610" s="91">
        <v>15172820</v>
      </c>
      <c r="T610" s="91">
        <v>3.0000000000000001E-3</v>
      </c>
      <c r="V610" s="90">
        <v>45551</v>
      </c>
      <c r="W610" s="91">
        <v>1945.75</v>
      </c>
      <c r="X610" s="91">
        <v>1950.25</v>
      </c>
      <c r="Y610" s="91">
        <v>1872.8680420000001</v>
      </c>
      <c r="Z610" s="91">
        <v>1570181</v>
      </c>
      <c r="AA610" s="91">
        <v>3.2000000000000002E-3</v>
      </c>
      <c r="AB610" s="91"/>
      <c r="AC610" s="90">
        <v>45551</v>
      </c>
      <c r="AD610" s="91">
        <v>7270</v>
      </c>
      <c r="AE610" s="91">
        <v>7318.7998049999997</v>
      </c>
      <c r="AF610" s="91">
        <v>7312.4648440000001</v>
      </c>
      <c r="AG610" s="91">
        <v>502100</v>
      </c>
      <c r="AH610" s="91">
        <v>1.18E-2</v>
      </c>
      <c r="AI610" s="91"/>
      <c r="AJ610" s="91">
        <f>(F610*'Part 3 Portfolio Analysis'!$B$8+M610*'Part 3 Portfolio Analysis'!$C$8+T610*'Part 3 Portfolio Analysis'!$D$8+AA610*'Part 3 Portfolio Analysis'!$E$8+AH610*'Part 3 Portfolio Analysis'!$F$8)/100</f>
        <v>-2.1547815233138165E-4</v>
      </c>
      <c r="AK610" s="91">
        <f>'Part 3 Portfolio Analysis'!$B$107*F610+M610*'Part 3 Portfolio Analysis'!$C$107+T610*'Part 3 Portfolio Analysis'!$D$107+AA610*'Part 3 Portfolio Analysis'!$E$107+AH610*'Part 3 Portfolio Analysis'!$F$107</f>
        <v>2.8649000000000001E-3</v>
      </c>
      <c r="AL610" s="91">
        <f>F610*'Part 3 Portfolio Analysis'!$B$121+M610*'Part 3 Portfolio Analysis'!$C$121+'Part 3 Portfolio Analysis'!$D$121*T610+AA610*'Part 3 Portfolio Analysis'!$E$121+'Part 3 Portfolio Analysis'!$F$121*AH610</f>
        <v>1.1080400000000002E-3</v>
      </c>
      <c r="AM610" s="91"/>
      <c r="AN610" s="90">
        <v>45551</v>
      </c>
      <c r="AO610" s="91">
        <v>25406.650389999999</v>
      </c>
      <c r="AP610" s="91">
        <v>25383.75</v>
      </c>
      <c r="AQ610" s="91">
        <v>25383.75</v>
      </c>
      <c r="AR610" s="91">
        <v>168700</v>
      </c>
      <c r="AS610" s="91">
        <v>1.1000000000000001E-3</v>
      </c>
    </row>
    <row r="611" spans="1:45" x14ac:dyDescent="0.55000000000000004">
      <c r="A611" s="90">
        <v>45552</v>
      </c>
      <c r="B611" s="91">
        <v>7688.75</v>
      </c>
      <c r="C611" s="91">
        <v>7707.6000979999999</v>
      </c>
      <c r="D611" s="91">
        <v>7621.3852539999998</v>
      </c>
      <c r="E611" s="91">
        <v>127522</v>
      </c>
      <c r="F611" s="91">
        <v>2.5000000000000001E-3</v>
      </c>
      <c r="H611" s="90">
        <v>45552</v>
      </c>
      <c r="I611" s="91">
        <v>1474</v>
      </c>
      <c r="J611" s="91">
        <v>1472.3000489999999</v>
      </c>
      <c r="K611" s="91">
        <v>1466.443237</v>
      </c>
      <c r="L611" s="91">
        <v>5935328</v>
      </c>
      <c r="M611" s="91">
        <v>5.9999999999999995E-4</v>
      </c>
      <c r="O611" s="90">
        <v>45552</v>
      </c>
      <c r="P611" s="91">
        <v>839</v>
      </c>
      <c r="Q611" s="91">
        <v>834.40002440000001</v>
      </c>
      <c r="R611" s="91">
        <v>823.27185059999999</v>
      </c>
      <c r="S611" s="91">
        <v>20127122</v>
      </c>
      <c r="T611" s="91">
        <v>-1.2999999999999999E-3</v>
      </c>
      <c r="V611" s="90">
        <v>45552</v>
      </c>
      <c r="W611" s="91">
        <v>1947.75</v>
      </c>
      <c r="X611" s="91">
        <v>1952.5500489999999</v>
      </c>
      <c r="Y611" s="91">
        <v>1875.0766599999999</v>
      </c>
      <c r="Z611" s="91">
        <v>2793127</v>
      </c>
      <c r="AA611" s="91">
        <v>1.1999999999999999E-3</v>
      </c>
      <c r="AB611" s="91"/>
      <c r="AC611" s="90">
        <v>45552</v>
      </c>
      <c r="AD611" s="91">
        <v>7415</v>
      </c>
      <c r="AE611" s="91">
        <v>7403.4501950000003</v>
      </c>
      <c r="AF611" s="91">
        <v>7397.0419920000004</v>
      </c>
      <c r="AG611" s="91">
        <v>753643</v>
      </c>
      <c r="AH611" s="91">
        <v>1.1599999999999999E-2</v>
      </c>
      <c r="AI611" s="91"/>
      <c r="AJ611" s="91">
        <f>(F611*'Part 3 Portfolio Analysis'!$B$8+M611*'Part 3 Portfolio Analysis'!$C$8+T611*'Part 3 Portfolio Analysis'!$D$8+AA611*'Part 3 Portfolio Analysis'!$E$8+AH611*'Part 3 Portfolio Analysis'!$F$8)/100</f>
        <v>1.057125575961534E-3</v>
      </c>
      <c r="AK611" s="91">
        <f>'Part 3 Portfolio Analysis'!$B$107*F611+M611*'Part 3 Portfolio Analysis'!$C$107+T611*'Part 3 Portfolio Analysis'!$D$107+AA611*'Part 3 Portfolio Analysis'!$E$107+AH611*'Part 3 Portfolio Analysis'!$F$107</f>
        <v>3.4795E-3</v>
      </c>
      <c r="AL611" s="91">
        <f>F611*'Part 3 Portfolio Analysis'!$B$121+M611*'Part 3 Portfolio Analysis'!$C$121+'Part 3 Portfolio Analysis'!$D$121*T611+AA611*'Part 3 Portfolio Analysis'!$E$121+'Part 3 Portfolio Analysis'!$F$121*AH611</f>
        <v>6.4757999999999981E-4</v>
      </c>
      <c r="AM611" s="91"/>
      <c r="AN611" s="90">
        <v>45552</v>
      </c>
      <c r="AO611" s="91">
        <v>25416.900389999999</v>
      </c>
      <c r="AP611" s="91">
        <v>25418.550780000001</v>
      </c>
      <c r="AQ611" s="91">
        <v>25418.550780000001</v>
      </c>
      <c r="AR611" s="91">
        <v>216000</v>
      </c>
      <c r="AS611" s="91">
        <v>1.4E-3</v>
      </c>
    </row>
    <row r="612" spans="1:45" x14ac:dyDescent="0.55000000000000004">
      <c r="A612" s="90">
        <v>45553</v>
      </c>
      <c r="B612" s="91">
        <v>7708</v>
      </c>
      <c r="C612" s="91">
        <v>7639.5</v>
      </c>
      <c r="D612" s="91">
        <v>7554.046875</v>
      </c>
      <c r="E612" s="91">
        <v>85829</v>
      </c>
      <c r="F612" s="91">
        <v>-8.8000000000000005E-3</v>
      </c>
      <c r="H612" s="90">
        <v>45553</v>
      </c>
      <c r="I612" s="91">
        <v>1470</v>
      </c>
      <c r="J612" s="91">
        <v>1463.4499510000001</v>
      </c>
      <c r="K612" s="91">
        <v>1457.6282960000001</v>
      </c>
      <c r="L612" s="91">
        <v>8574714</v>
      </c>
      <c r="M612" s="91">
        <v>-6.0000000000000001E-3</v>
      </c>
      <c r="O612" s="90">
        <v>45553</v>
      </c>
      <c r="P612" s="91">
        <v>835.92498780000005</v>
      </c>
      <c r="Q612" s="91">
        <v>847.40002440000001</v>
      </c>
      <c r="R612" s="91">
        <v>836.09851070000002</v>
      </c>
      <c r="S612" s="91">
        <v>40917342</v>
      </c>
      <c r="T612" s="91">
        <v>1.5599999999999999E-2</v>
      </c>
      <c r="V612" s="90">
        <v>45553</v>
      </c>
      <c r="W612" s="91">
        <v>1938.75</v>
      </c>
      <c r="X612" s="91">
        <v>1892.150024</v>
      </c>
      <c r="Y612" s="91">
        <v>1817.0732419999999</v>
      </c>
      <c r="Z612" s="91">
        <v>6385468</v>
      </c>
      <c r="AA612" s="91">
        <v>-3.09E-2</v>
      </c>
      <c r="AB612" s="91"/>
      <c r="AC612" s="90">
        <v>45553</v>
      </c>
      <c r="AD612" s="91">
        <v>7435</v>
      </c>
      <c r="AE612" s="91">
        <v>7336</v>
      </c>
      <c r="AF612" s="91">
        <v>7329.6499020000001</v>
      </c>
      <c r="AG612" s="91">
        <v>388287</v>
      </c>
      <c r="AH612" s="91">
        <v>-9.1000000000000004E-3</v>
      </c>
      <c r="AI612" s="91"/>
      <c r="AJ612" s="91">
        <f>(F612*'Part 3 Portfolio Analysis'!$B$8+M612*'Part 3 Portfolio Analysis'!$C$8+T612*'Part 3 Portfolio Analysis'!$D$8+AA612*'Part 3 Portfolio Analysis'!$E$8+AH612*'Part 3 Portfolio Analysis'!$F$8)/100</f>
        <v>-7.2743897110856348E-3</v>
      </c>
      <c r="AK612" s="91">
        <f>'Part 3 Portfolio Analysis'!$B$107*F612+M612*'Part 3 Portfolio Analysis'!$C$107+T612*'Part 3 Portfolio Analysis'!$D$107+AA612*'Part 3 Portfolio Analysis'!$E$107+AH612*'Part 3 Portfolio Analysis'!$F$107</f>
        <v>-6.427200000000001E-3</v>
      </c>
      <c r="AL612" s="91">
        <f>F612*'Part 3 Portfolio Analysis'!$B$121+M612*'Part 3 Portfolio Analysis'!$C$121+'Part 3 Portfolio Analysis'!$D$121*T612+AA612*'Part 3 Portfolio Analysis'!$E$121+'Part 3 Portfolio Analysis'!$F$121*AH612</f>
        <v>-5.4161800000000005E-3</v>
      </c>
      <c r="AM612" s="91"/>
      <c r="AN612" s="90">
        <v>45553</v>
      </c>
      <c r="AO612" s="91">
        <v>25402.400389999999</v>
      </c>
      <c r="AP612" s="91">
        <v>25377.550780000001</v>
      </c>
      <c r="AQ612" s="91">
        <v>25377.550780000001</v>
      </c>
      <c r="AR612" s="91">
        <v>215700</v>
      </c>
      <c r="AS612" s="91">
        <v>-1.6000000000000001E-3</v>
      </c>
    </row>
    <row r="613" spans="1:45" x14ac:dyDescent="0.55000000000000004">
      <c r="A613" s="90">
        <v>45554</v>
      </c>
      <c r="B613" s="91">
        <v>7682</v>
      </c>
      <c r="C613" s="91">
        <v>7523.1499020000001</v>
      </c>
      <c r="D613" s="91">
        <v>7438.998047</v>
      </c>
      <c r="E613" s="91">
        <v>129289</v>
      </c>
      <c r="F613" s="91">
        <v>-1.52E-2</v>
      </c>
      <c r="H613" s="90">
        <v>45554</v>
      </c>
      <c r="I613" s="91">
        <v>1466.25</v>
      </c>
      <c r="J613" s="91">
        <v>1469.6750489999999</v>
      </c>
      <c r="K613" s="91">
        <v>1463.8286129999999</v>
      </c>
      <c r="L613" s="91">
        <v>16955902</v>
      </c>
      <c r="M613" s="91">
        <v>4.3E-3</v>
      </c>
      <c r="O613" s="90">
        <v>45554</v>
      </c>
      <c r="P613" s="91">
        <v>849.59997559999999</v>
      </c>
      <c r="Q613" s="91">
        <v>854.25</v>
      </c>
      <c r="R613" s="91">
        <v>842.85711670000001</v>
      </c>
      <c r="S613" s="91">
        <v>30651776</v>
      </c>
      <c r="T613" s="91">
        <v>8.0999999999999996E-3</v>
      </c>
      <c r="V613" s="90">
        <v>45554</v>
      </c>
      <c r="W613" s="91">
        <v>1910.599976</v>
      </c>
      <c r="X613" s="91">
        <v>1894.1999510000001</v>
      </c>
      <c r="Y613" s="91">
        <v>1819.0417480000001</v>
      </c>
      <c r="Z613" s="91">
        <v>7976570</v>
      </c>
      <c r="AA613" s="91">
        <v>1.1000000000000001E-3</v>
      </c>
      <c r="AB613" s="91"/>
      <c r="AC613" s="90">
        <v>45554</v>
      </c>
      <c r="AD613" s="91">
        <v>7456</v>
      </c>
      <c r="AE613" s="91">
        <v>7326.1499020000001</v>
      </c>
      <c r="AF613" s="91">
        <v>7319.8085940000001</v>
      </c>
      <c r="AG613" s="91">
        <v>395523</v>
      </c>
      <c r="AH613" s="91">
        <v>-1.2999999999999999E-3</v>
      </c>
      <c r="AI613" s="91"/>
      <c r="AJ613" s="91">
        <f>(F613*'Part 3 Portfolio Analysis'!$B$8+M613*'Part 3 Portfolio Analysis'!$C$8+T613*'Part 3 Portfolio Analysis'!$D$8+AA613*'Part 3 Portfolio Analysis'!$E$8+AH613*'Part 3 Portfolio Analysis'!$F$8)/100</f>
        <v>-1.4858313041178619E-3</v>
      </c>
      <c r="AK613" s="91">
        <f>'Part 3 Portfolio Analysis'!$B$107*F613+M613*'Part 3 Portfolio Analysis'!$C$107+T613*'Part 3 Portfolio Analysis'!$D$107+AA613*'Part 3 Portfolio Analysis'!$E$107+AH613*'Part 3 Portfolio Analysis'!$F$107</f>
        <v>-3.5219999999999989E-4</v>
      </c>
      <c r="AL613" s="91">
        <f>F613*'Part 3 Portfolio Analysis'!$B$121+M613*'Part 3 Portfolio Analysis'!$C$121+'Part 3 Portfolio Analysis'!$D$121*T613+AA613*'Part 3 Portfolio Analysis'!$E$121+'Part 3 Portfolio Analysis'!$F$121*AH613</f>
        <v>2.9439800000000006E-3</v>
      </c>
      <c r="AM613" s="91"/>
      <c r="AN613" s="90">
        <v>45554</v>
      </c>
      <c r="AO613" s="91">
        <v>25487.050780000001</v>
      </c>
      <c r="AP613" s="91">
        <v>25415.800780000001</v>
      </c>
      <c r="AQ613" s="91">
        <v>25415.800780000001</v>
      </c>
      <c r="AR613" s="91">
        <v>314500</v>
      </c>
      <c r="AS613" s="91">
        <v>1.5E-3</v>
      </c>
    </row>
    <row r="614" spans="1:45" x14ac:dyDescent="0.55000000000000004">
      <c r="A614" s="90">
        <v>45555</v>
      </c>
      <c r="B614" s="91">
        <v>7570</v>
      </c>
      <c r="C614" s="91">
        <v>7859.3999020000001</v>
      </c>
      <c r="D614" s="91">
        <v>7771.4868159999996</v>
      </c>
      <c r="E614" s="91">
        <v>377846</v>
      </c>
      <c r="F614" s="91">
        <v>4.4699999999999997E-2</v>
      </c>
      <c r="H614" s="90">
        <v>45555</v>
      </c>
      <c r="I614" s="91">
        <v>1474</v>
      </c>
      <c r="J614" s="91">
        <v>1485.9250489999999</v>
      </c>
      <c r="K614" s="91">
        <v>1480.014038</v>
      </c>
      <c r="L614" s="91">
        <v>30897320</v>
      </c>
      <c r="M614" s="91">
        <v>1.11E-2</v>
      </c>
      <c r="O614" s="90">
        <v>45555</v>
      </c>
      <c r="P614" s="91">
        <v>858.25</v>
      </c>
      <c r="Q614" s="91">
        <v>870.59997559999999</v>
      </c>
      <c r="R614" s="91">
        <v>858.98901369999999</v>
      </c>
      <c r="S614" s="91">
        <v>60623386</v>
      </c>
      <c r="T614" s="91">
        <v>1.9099999999999999E-2</v>
      </c>
      <c r="V614" s="90">
        <v>45555</v>
      </c>
      <c r="W614" s="91">
        <v>1905</v>
      </c>
      <c r="X614" s="91">
        <v>1905.75</v>
      </c>
      <c r="Y614" s="91">
        <v>1830.1336670000001</v>
      </c>
      <c r="Z614" s="91">
        <v>15242974</v>
      </c>
      <c r="AA614" s="91">
        <v>6.1000000000000004E-3</v>
      </c>
      <c r="AB614" s="91"/>
      <c r="AC614" s="90">
        <v>45555</v>
      </c>
      <c r="AD614" s="91">
        <v>7350</v>
      </c>
      <c r="AE614" s="91">
        <v>7465.1499020000001</v>
      </c>
      <c r="AF614" s="91">
        <v>7458.6879879999997</v>
      </c>
      <c r="AG614" s="91">
        <v>798170</v>
      </c>
      <c r="AH614" s="91">
        <v>1.9E-2</v>
      </c>
      <c r="AI614" s="91"/>
      <c r="AJ614" s="91">
        <f>(F614*'Part 3 Portfolio Analysis'!$B$8+M614*'Part 3 Portfolio Analysis'!$C$8+T614*'Part 3 Portfolio Analysis'!$D$8+AA614*'Part 3 Portfolio Analysis'!$E$8+AH614*'Part 3 Portfolio Analysis'!$F$8)/100</f>
        <v>2.1787045168752552E-2</v>
      </c>
      <c r="AK614" s="91">
        <f>'Part 3 Portfolio Analysis'!$B$107*F614+M614*'Part 3 Portfolio Analysis'!$C$107+T614*'Part 3 Portfolio Analysis'!$D$107+AA614*'Part 3 Portfolio Analysis'!$E$107+AH614*'Part 3 Portfolio Analysis'!$F$107</f>
        <v>1.9878799999999999E-2</v>
      </c>
      <c r="AL614" s="91">
        <f>F614*'Part 3 Portfolio Analysis'!$B$121+M614*'Part 3 Portfolio Analysis'!$C$121+'Part 3 Portfolio Analysis'!$D$121*T614+AA614*'Part 3 Portfolio Analysis'!$E$121+'Part 3 Portfolio Analysis'!$F$121*AH614</f>
        <v>1.52449E-2</v>
      </c>
      <c r="AM614" s="91"/>
      <c r="AN614" s="90">
        <v>45555</v>
      </c>
      <c r="AO614" s="91">
        <v>25525.949219999999</v>
      </c>
      <c r="AP614" s="91">
        <v>25790.949219999999</v>
      </c>
      <c r="AQ614" s="91">
        <v>25790.949219999999</v>
      </c>
      <c r="AR614" s="91">
        <v>533100</v>
      </c>
      <c r="AS614" s="91">
        <v>1.4800000000000001E-2</v>
      </c>
    </row>
    <row r="615" spans="1:45" x14ac:dyDescent="0.55000000000000004">
      <c r="A615" s="90">
        <v>45558</v>
      </c>
      <c r="B615" s="91">
        <v>7885.0498049999997</v>
      </c>
      <c r="C615" s="91">
        <v>7833</v>
      </c>
      <c r="D615" s="91">
        <v>7745.3823240000002</v>
      </c>
      <c r="E615" s="91">
        <v>231866</v>
      </c>
      <c r="F615" s="91">
        <v>-3.3999999999999998E-3</v>
      </c>
      <c r="H615" s="90">
        <v>45558</v>
      </c>
      <c r="I615" s="91">
        <v>1491</v>
      </c>
      <c r="J615" s="91">
        <v>1493.375</v>
      </c>
      <c r="K615" s="91">
        <v>1487.4343260000001</v>
      </c>
      <c r="L615" s="91">
        <v>8832314</v>
      </c>
      <c r="M615" s="91">
        <v>5.0000000000000001E-3</v>
      </c>
      <c r="O615" s="90">
        <v>45558</v>
      </c>
      <c r="P615" s="91">
        <v>874.5</v>
      </c>
      <c r="Q615" s="91">
        <v>879.90002440000001</v>
      </c>
      <c r="R615" s="91">
        <v>868.16503909999994</v>
      </c>
      <c r="S615" s="91">
        <v>26965350</v>
      </c>
      <c r="T615" s="91">
        <v>1.0699999999999999E-2</v>
      </c>
      <c r="V615" s="90">
        <v>45558</v>
      </c>
      <c r="W615" s="91">
        <v>1909</v>
      </c>
      <c r="X615" s="91">
        <v>1896.4499510000001</v>
      </c>
      <c r="Y615" s="91">
        <v>1821.2025149999999</v>
      </c>
      <c r="Z615" s="91">
        <v>3636672</v>
      </c>
      <c r="AA615" s="91">
        <v>-4.8999999999999998E-3</v>
      </c>
      <c r="AB615" s="91"/>
      <c r="AC615" s="90">
        <v>45558</v>
      </c>
      <c r="AD615" s="91">
        <v>7520.9501950000003</v>
      </c>
      <c r="AE615" s="91">
        <v>7623.4501950000003</v>
      </c>
      <c r="AF615" s="91">
        <v>7616.8515630000002</v>
      </c>
      <c r="AG615" s="91">
        <v>510496</v>
      </c>
      <c r="AH615" s="91">
        <v>2.12E-2</v>
      </c>
      <c r="AI615" s="91"/>
      <c r="AJ615" s="91">
        <f>(F615*'Part 3 Portfolio Analysis'!$B$8+M615*'Part 3 Portfolio Analysis'!$C$8+T615*'Part 3 Portfolio Analysis'!$D$8+AA615*'Part 3 Portfolio Analysis'!$E$8+AH615*'Part 3 Portfolio Analysis'!$F$8)/100</f>
        <v>1.9959223187546588E-3</v>
      </c>
      <c r="AK615" s="91">
        <f>'Part 3 Portfolio Analysis'!$B$107*F615+M615*'Part 3 Portfolio Analysis'!$C$107+T615*'Part 3 Portfolio Analysis'!$D$107+AA615*'Part 3 Portfolio Analysis'!$E$107+AH615*'Part 3 Portfolio Analysis'!$F$107</f>
        <v>7.4638999999999999E-3</v>
      </c>
      <c r="AL615" s="91">
        <f>F615*'Part 3 Portfolio Analysis'!$B$121+M615*'Part 3 Portfolio Analysis'!$C$121+'Part 3 Portfolio Analysis'!$D$121*T615+AA615*'Part 3 Portfolio Analysis'!$E$121+'Part 3 Portfolio Analysis'!$F$121*AH615</f>
        <v>4.3043600000000001E-3</v>
      </c>
      <c r="AM615" s="91"/>
      <c r="AN615" s="90">
        <v>45558</v>
      </c>
      <c r="AO615" s="91">
        <v>25872.550780000001</v>
      </c>
      <c r="AP615" s="91">
        <v>25939.050780000001</v>
      </c>
      <c r="AQ615" s="91">
        <v>25939.050780000001</v>
      </c>
      <c r="AR615" s="91">
        <v>209200</v>
      </c>
      <c r="AS615" s="91">
        <v>5.7000000000000002E-3</v>
      </c>
    </row>
    <row r="616" spans="1:45" x14ac:dyDescent="0.55000000000000004">
      <c r="A616" s="90">
        <v>45559</v>
      </c>
      <c r="B616" s="91">
        <v>7850</v>
      </c>
      <c r="C616" s="91">
        <v>7920.25</v>
      </c>
      <c r="D616" s="91">
        <v>7831.65625</v>
      </c>
      <c r="E616" s="91">
        <v>176369</v>
      </c>
      <c r="F616" s="91">
        <v>1.11E-2</v>
      </c>
      <c r="H616" s="90">
        <v>45559</v>
      </c>
      <c r="I616" s="91">
        <v>1488.5</v>
      </c>
      <c r="J616" s="91">
        <v>1489.375</v>
      </c>
      <c r="K616" s="91">
        <v>1483.4501949999999</v>
      </c>
      <c r="L616" s="91">
        <v>17137444</v>
      </c>
      <c r="M616" s="91">
        <v>-2.7000000000000001E-3</v>
      </c>
      <c r="O616" s="90">
        <v>45559</v>
      </c>
      <c r="P616" s="91">
        <v>882.5</v>
      </c>
      <c r="Q616" s="91">
        <v>884.02502440000001</v>
      </c>
      <c r="R616" s="91">
        <v>872.23504639999999</v>
      </c>
      <c r="S616" s="91">
        <v>33039036</v>
      </c>
      <c r="T616" s="91">
        <v>4.7000000000000002E-3</v>
      </c>
      <c r="V616" s="90">
        <v>45559</v>
      </c>
      <c r="W616" s="91">
        <v>1888</v>
      </c>
      <c r="X616" s="91">
        <v>1898.599976</v>
      </c>
      <c r="Y616" s="91">
        <v>1823.267212</v>
      </c>
      <c r="Z616" s="91">
        <v>7277616</v>
      </c>
      <c r="AA616" s="91">
        <v>1.1000000000000001E-3</v>
      </c>
      <c r="AB616" s="91"/>
      <c r="AC616" s="90">
        <v>45559</v>
      </c>
      <c r="AD616" s="91">
        <v>7639.9501950000003</v>
      </c>
      <c r="AE616" s="91">
        <v>7621.3500979999999</v>
      </c>
      <c r="AF616" s="91">
        <v>7614.7534180000002</v>
      </c>
      <c r="AG616" s="91">
        <v>613798</v>
      </c>
      <c r="AH616" s="91">
        <v>-2.9999999999999997E-4</v>
      </c>
      <c r="AI616" s="91"/>
      <c r="AJ616" s="91">
        <f>(F616*'Part 3 Portfolio Analysis'!$B$8+M616*'Part 3 Portfolio Analysis'!$C$8+T616*'Part 3 Portfolio Analysis'!$D$8+AA616*'Part 3 Portfolio Analysis'!$E$8+AH616*'Part 3 Portfolio Analysis'!$F$8)/100</f>
        <v>3.3094181811312751E-3</v>
      </c>
      <c r="AK616" s="91">
        <f>'Part 3 Portfolio Analysis'!$B$107*F616+M616*'Part 3 Portfolio Analysis'!$C$107+T616*'Part 3 Portfolio Analysis'!$D$107+AA616*'Part 3 Portfolio Analysis'!$E$107+AH616*'Part 3 Portfolio Analysis'!$F$107</f>
        <v>1.9158000000000001E-3</v>
      </c>
      <c r="AL616" s="91">
        <f>F616*'Part 3 Portfolio Analysis'!$B$121+M616*'Part 3 Portfolio Analysis'!$C$121+'Part 3 Portfolio Analysis'!$D$121*T616+AA616*'Part 3 Portfolio Analysis'!$E$121+'Part 3 Portfolio Analysis'!$F$121*AH616</f>
        <v>1.2700400000000003E-3</v>
      </c>
      <c r="AM616" s="91"/>
      <c r="AN616" s="90">
        <v>45559</v>
      </c>
      <c r="AO616" s="91">
        <v>25921.449219999999</v>
      </c>
      <c r="AP616" s="91">
        <v>25940.400389999999</v>
      </c>
      <c r="AQ616" s="91">
        <v>25940.400389999999</v>
      </c>
      <c r="AR616" s="91">
        <v>384100</v>
      </c>
      <c r="AS616" s="91">
        <v>1E-4</v>
      </c>
    </row>
    <row r="617" spans="1:45" x14ac:dyDescent="0.55000000000000004">
      <c r="A617" s="90">
        <v>45560</v>
      </c>
      <c r="B617" s="91">
        <v>7950</v>
      </c>
      <c r="C617" s="91">
        <v>7829.1000979999999</v>
      </c>
      <c r="D617" s="91">
        <v>7741.5258789999998</v>
      </c>
      <c r="E617" s="91">
        <v>114985</v>
      </c>
      <c r="F617" s="91">
        <v>-1.15E-2</v>
      </c>
      <c r="H617" s="90">
        <v>45560</v>
      </c>
      <c r="I617" s="91">
        <v>1483.900024</v>
      </c>
      <c r="J617" s="91">
        <v>1493.9499510000001</v>
      </c>
      <c r="K617" s="91">
        <v>1488.0069579999999</v>
      </c>
      <c r="L617" s="91">
        <v>7069002</v>
      </c>
      <c r="M617" s="91">
        <v>3.0999999999999999E-3</v>
      </c>
      <c r="O617" s="90">
        <v>45560</v>
      </c>
      <c r="P617" s="91">
        <v>880.07501219999995</v>
      </c>
      <c r="Q617" s="91">
        <v>889.54998780000005</v>
      </c>
      <c r="R617" s="91">
        <v>877.68634029999998</v>
      </c>
      <c r="S617" s="91">
        <v>31965312</v>
      </c>
      <c r="T617" s="91">
        <v>6.1999999999999998E-3</v>
      </c>
      <c r="V617" s="90">
        <v>45560</v>
      </c>
      <c r="W617" s="91">
        <v>1886.349976</v>
      </c>
      <c r="X617" s="91">
        <v>1895.3000489999999</v>
      </c>
      <c r="Y617" s="91">
        <v>1820.0982670000001</v>
      </c>
      <c r="Z617" s="91">
        <v>4268341</v>
      </c>
      <c r="AA617" s="91">
        <v>-1.6999999999999999E-3</v>
      </c>
      <c r="AB617" s="91"/>
      <c r="AC617" s="90">
        <v>45560</v>
      </c>
      <c r="AD617" s="91">
        <v>7618.25</v>
      </c>
      <c r="AE617" s="91">
        <v>7614.8999020000001</v>
      </c>
      <c r="AF617" s="91">
        <v>7608.3085940000001</v>
      </c>
      <c r="AG617" s="91">
        <v>576171</v>
      </c>
      <c r="AH617" s="91">
        <v>-8.0000000000000004E-4</v>
      </c>
      <c r="AI617" s="91"/>
      <c r="AJ617" s="91">
        <f>(F617*'Part 3 Portfolio Analysis'!$B$8+M617*'Part 3 Portfolio Analysis'!$C$8+T617*'Part 3 Portfolio Analysis'!$D$8+AA617*'Part 3 Portfolio Analysis'!$E$8+AH617*'Part 3 Portfolio Analysis'!$F$8)/100</f>
        <v>-1.5734787916831952E-3</v>
      </c>
      <c r="AK617" s="91">
        <f>'Part 3 Portfolio Analysis'!$B$107*F617+M617*'Part 3 Portfolio Analysis'!$C$107+T617*'Part 3 Portfolio Analysis'!$D$107+AA617*'Part 3 Portfolio Analysis'!$E$107+AH617*'Part 3 Portfolio Analysis'!$F$107</f>
        <v>-5.1029999999999999E-4</v>
      </c>
      <c r="AL617" s="91">
        <f>F617*'Part 3 Portfolio Analysis'!$B$121+M617*'Part 3 Portfolio Analysis'!$C$121+'Part 3 Portfolio Analysis'!$D$121*T617+AA617*'Part 3 Portfolio Analysis'!$E$121+'Part 3 Portfolio Analysis'!$F$121*AH617</f>
        <v>1.6808999999999999E-3</v>
      </c>
      <c r="AM617" s="91"/>
      <c r="AN617" s="90">
        <v>45560</v>
      </c>
      <c r="AO617" s="91">
        <v>25899.449219999999</v>
      </c>
      <c r="AP617" s="91">
        <v>26004.150389999999</v>
      </c>
      <c r="AQ617" s="91">
        <v>26004.150389999999</v>
      </c>
      <c r="AR617" s="91">
        <v>278500</v>
      </c>
      <c r="AS617" s="91">
        <v>2.5000000000000001E-3</v>
      </c>
    </row>
    <row r="618" spans="1:45" x14ac:dyDescent="0.55000000000000004">
      <c r="A618" s="90">
        <v>45561</v>
      </c>
      <c r="B618" s="91">
        <v>7827</v>
      </c>
      <c r="C618" s="91">
        <v>7834.2998049999997</v>
      </c>
      <c r="D618" s="91">
        <v>7746.6674800000001</v>
      </c>
      <c r="E618" s="91">
        <v>113372</v>
      </c>
      <c r="F618" s="91">
        <v>6.9999999999999999E-4</v>
      </c>
      <c r="H618" s="90">
        <v>45561</v>
      </c>
      <c r="I618" s="91">
        <v>1490.650024</v>
      </c>
      <c r="J618" s="91">
        <v>1497.9499510000001</v>
      </c>
      <c r="K618" s="91">
        <v>1491.9910890000001</v>
      </c>
      <c r="L618" s="91">
        <v>18818998</v>
      </c>
      <c r="M618" s="91">
        <v>2.7000000000000001E-3</v>
      </c>
      <c r="O618" s="90">
        <v>45561</v>
      </c>
      <c r="P618" s="91">
        <v>886.52502440000001</v>
      </c>
      <c r="Q618" s="91">
        <v>891.72497559999999</v>
      </c>
      <c r="R618" s="91">
        <v>879.83227539999996</v>
      </c>
      <c r="S618" s="91">
        <v>31899644</v>
      </c>
      <c r="T618" s="91">
        <v>2.3999999999999998E-3</v>
      </c>
      <c r="V618" s="90">
        <v>45561</v>
      </c>
      <c r="W618" s="91">
        <v>1897.8000489999999</v>
      </c>
      <c r="X618" s="91">
        <v>1900.25</v>
      </c>
      <c r="Y618" s="91">
        <v>1824.851807</v>
      </c>
      <c r="Z618" s="91">
        <v>8952803</v>
      </c>
      <c r="AA618" s="91">
        <v>2.5999999999999999E-3</v>
      </c>
      <c r="AB618" s="91"/>
      <c r="AC618" s="90">
        <v>45561</v>
      </c>
      <c r="AD618" s="91">
        <v>7724.8999020000001</v>
      </c>
      <c r="AE618" s="91">
        <v>7845.3999020000001</v>
      </c>
      <c r="AF618" s="91">
        <v>7838.6088870000003</v>
      </c>
      <c r="AG618" s="91">
        <v>1712253</v>
      </c>
      <c r="AH618" s="91">
        <v>3.0300000000000001E-2</v>
      </c>
      <c r="AI618" s="91"/>
      <c r="AJ618" s="91">
        <f>(F618*'Part 3 Portfolio Analysis'!$B$8+M618*'Part 3 Portfolio Analysis'!$C$8+T618*'Part 3 Portfolio Analysis'!$D$8+AA618*'Part 3 Portfolio Analysis'!$E$8+AH618*'Part 3 Portfolio Analysis'!$F$8)/100</f>
        <v>2.3036141046822349E-3</v>
      </c>
      <c r="AK618" s="91">
        <f>'Part 3 Portfolio Analysis'!$B$107*F618+M618*'Part 3 Portfolio Analysis'!$C$107+T618*'Part 3 Portfolio Analysis'!$D$107+AA618*'Part 3 Portfolio Analysis'!$E$107+AH618*'Part 3 Portfolio Analysis'!$F$107</f>
        <v>9.2387000000000007E-3</v>
      </c>
      <c r="AL618" s="91">
        <f>F618*'Part 3 Portfolio Analysis'!$B$121+M618*'Part 3 Portfolio Analysis'!$C$121+'Part 3 Portfolio Analysis'!$D$121*T618+AA618*'Part 3 Portfolio Analysis'!$E$121+'Part 3 Portfolio Analysis'!$F$121*AH618</f>
        <v>3.1571199999999998E-3</v>
      </c>
      <c r="AM618" s="91"/>
      <c r="AN618" s="90">
        <v>45561</v>
      </c>
      <c r="AO618" s="91">
        <v>26005.400389999999</v>
      </c>
      <c r="AP618" s="91">
        <v>26216.050780000001</v>
      </c>
      <c r="AQ618" s="91">
        <v>26216.050780000001</v>
      </c>
      <c r="AR618" s="91">
        <v>370900</v>
      </c>
      <c r="AS618" s="91">
        <v>8.0999999999999996E-3</v>
      </c>
    </row>
    <row r="619" spans="1:45" x14ac:dyDescent="0.55000000000000004">
      <c r="A619" s="90">
        <v>45562</v>
      </c>
      <c r="B619" s="91">
        <v>7860</v>
      </c>
      <c r="C619" s="91">
        <v>7811.3999020000001</v>
      </c>
      <c r="D619" s="91">
        <v>7724.0239259999998</v>
      </c>
      <c r="E619" s="91">
        <v>470425</v>
      </c>
      <c r="F619" s="91">
        <v>-2.8999999999999998E-3</v>
      </c>
      <c r="H619" s="90">
        <v>45562</v>
      </c>
      <c r="I619" s="91">
        <v>1499</v>
      </c>
      <c r="J619" s="91">
        <v>1526.1750489999999</v>
      </c>
      <c r="K619" s="91">
        <v>1520.1038820000001</v>
      </c>
      <c r="L619" s="91">
        <v>20597478</v>
      </c>
      <c r="M619" s="91">
        <v>1.8800000000000001E-2</v>
      </c>
      <c r="O619" s="90">
        <v>45562</v>
      </c>
      <c r="P619" s="91">
        <v>888.5</v>
      </c>
      <c r="Q619" s="91">
        <v>876.32501219999995</v>
      </c>
      <c r="R619" s="91">
        <v>864.63775629999998</v>
      </c>
      <c r="S619" s="91">
        <v>35613502</v>
      </c>
      <c r="T619" s="91">
        <v>-1.7299999999999999E-2</v>
      </c>
      <c r="V619" s="90">
        <v>45562</v>
      </c>
      <c r="W619" s="91">
        <v>1932.099976</v>
      </c>
      <c r="X619" s="91">
        <v>1906.75</v>
      </c>
      <c r="Y619" s="91">
        <v>1831.0939940000001</v>
      </c>
      <c r="Z619" s="91">
        <v>14908931</v>
      </c>
      <c r="AA619" s="91">
        <v>3.3999999999999998E-3</v>
      </c>
      <c r="AB619" s="91"/>
      <c r="AC619" s="90">
        <v>45562</v>
      </c>
      <c r="AD619" s="91">
        <v>7899.9501950000003</v>
      </c>
      <c r="AE619" s="91">
        <v>7833.7001950000003</v>
      </c>
      <c r="AF619" s="91">
        <v>7826.9194340000004</v>
      </c>
      <c r="AG619" s="91">
        <v>11179751</v>
      </c>
      <c r="AH619" s="91">
        <v>-1.5E-3</v>
      </c>
      <c r="AI619" s="91"/>
      <c r="AJ619" s="91">
        <f>(F619*'Part 3 Portfolio Analysis'!$B$8+M619*'Part 3 Portfolio Analysis'!$C$8+T619*'Part 3 Portfolio Analysis'!$D$8+AA619*'Part 3 Portfolio Analysis'!$E$8+AH619*'Part 3 Portfolio Analysis'!$F$8)/100</f>
        <v>3.5912805228735379E-3</v>
      </c>
      <c r="AK619" s="91">
        <f>'Part 3 Portfolio Analysis'!$B$107*F619+M619*'Part 3 Portfolio Analysis'!$C$107+T619*'Part 3 Portfolio Analysis'!$D$107+AA619*'Part 3 Portfolio Analysis'!$E$107+AH619*'Part 3 Portfolio Analysis'!$F$107</f>
        <v>2.642900000000001E-3</v>
      </c>
      <c r="AL619" s="91">
        <f>F619*'Part 3 Portfolio Analysis'!$B$121+M619*'Part 3 Portfolio Analysis'!$C$121+'Part 3 Portfolio Analysis'!$D$121*T619+AA619*'Part 3 Portfolio Analysis'!$E$121+'Part 3 Portfolio Analysis'!$F$121*AH619</f>
        <v>3.5852000000000002E-3</v>
      </c>
      <c r="AM619" s="91"/>
      <c r="AN619" s="90">
        <v>45562</v>
      </c>
      <c r="AO619" s="91">
        <v>26248.25</v>
      </c>
      <c r="AP619" s="91">
        <v>26178.949219999999</v>
      </c>
      <c r="AQ619" s="91">
        <v>26178.949219999999</v>
      </c>
      <c r="AR619" s="91">
        <v>490300</v>
      </c>
      <c r="AS619" s="91">
        <v>-1.4E-3</v>
      </c>
    </row>
    <row r="620" spans="1:45" x14ac:dyDescent="0.55000000000000004">
      <c r="A620" s="90">
        <v>45565</v>
      </c>
      <c r="B620" s="91">
        <v>7780</v>
      </c>
      <c r="C620" s="91">
        <v>7724.4501950000003</v>
      </c>
      <c r="D620" s="91">
        <v>7638.046875</v>
      </c>
      <c r="E620" s="91">
        <v>130533</v>
      </c>
      <c r="F620" s="91">
        <v>-1.11E-2</v>
      </c>
      <c r="H620" s="90">
        <v>45565</v>
      </c>
      <c r="I620" s="91">
        <v>1519.400024</v>
      </c>
      <c r="J620" s="91">
        <v>1476.5749510000001</v>
      </c>
      <c r="K620" s="91">
        <v>1470.701172</v>
      </c>
      <c r="L620" s="91">
        <v>27008814</v>
      </c>
      <c r="M620" s="91">
        <v>-3.2500000000000001E-2</v>
      </c>
      <c r="O620" s="90">
        <v>45565</v>
      </c>
      <c r="P620" s="91">
        <v>874.40002440000001</v>
      </c>
      <c r="Q620" s="91">
        <v>866.02502440000001</v>
      </c>
      <c r="R620" s="91">
        <v>854.47509769999999</v>
      </c>
      <c r="S620" s="91">
        <v>26383534</v>
      </c>
      <c r="T620" s="91">
        <v>-1.18E-2</v>
      </c>
      <c r="V620" s="90">
        <v>45565</v>
      </c>
      <c r="W620" s="91">
        <v>1880</v>
      </c>
      <c r="X620" s="91">
        <v>1875.599976</v>
      </c>
      <c r="Y620" s="91">
        <v>1801.179932</v>
      </c>
      <c r="Z620" s="91">
        <v>6986955</v>
      </c>
      <c r="AA620" s="91">
        <v>-1.6299999999999999E-2</v>
      </c>
      <c r="AB620" s="91"/>
      <c r="AC620" s="90">
        <v>45565</v>
      </c>
      <c r="AD620" s="91">
        <v>7814.75</v>
      </c>
      <c r="AE620" s="91">
        <v>7574.6499020000001</v>
      </c>
      <c r="AF620" s="91">
        <v>7568.0932620000003</v>
      </c>
      <c r="AG620" s="91">
        <v>1117618</v>
      </c>
      <c r="AH620" s="91">
        <v>-3.3099999999999997E-2</v>
      </c>
      <c r="AI620" s="91"/>
      <c r="AJ620" s="91">
        <f>(F620*'Part 3 Portfolio Analysis'!$B$8+M620*'Part 3 Portfolio Analysis'!$C$8+T620*'Part 3 Portfolio Analysis'!$D$8+AA620*'Part 3 Portfolio Analysis'!$E$8+AH620*'Part 3 Portfolio Analysis'!$F$8)/100</f>
        <v>-2.0025717426841439E-2</v>
      </c>
      <c r="AK620" s="91">
        <f>'Part 3 Portfolio Analysis'!$B$107*F620+M620*'Part 3 Portfolio Analysis'!$C$107+T620*'Part 3 Portfolio Analysis'!$D$107+AA620*'Part 3 Portfolio Analysis'!$E$107+AH620*'Part 3 Portfolio Analysis'!$F$107</f>
        <v>-2.3970700000000001E-2</v>
      </c>
      <c r="AL620" s="91">
        <f>F620*'Part 3 Portfolio Analysis'!$B$121+M620*'Part 3 Portfolio Analysis'!$C$121+'Part 3 Portfolio Analysis'!$D$121*T620+AA620*'Part 3 Portfolio Analysis'!$E$121+'Part 3 Portfolio Analysis'!$F$121*AH620</f>
        <v>-2.1886239999999998E-2</v>
      </c>
      <c r="AM620" s="91"/>
      <c r="AN620" s="90">
        <v>45565</v>
      </c>
      <c r="AO620" s="91">
        <v>26061.300780000001</v>
      </c>
      <c r="AP620" s="91">
        <v>25810.849610000001</v>
      </c>
      <c r="AQ620" s="91">
        <v>25810.849610000001</v>
      </c>
      <c r="AR620" s="91">
        <v>343100</v>
      </c>
      <c r="AS620" s="91">
        <v>-1.41E-2</v>
      </c>
    </row>
    <row r="621" spans="1:45" x14ac:dyDescent="0.55000000000000004">
      <c r="A621" s="90">
        <v>45566</v>
      </c>
      <c r="B621" s="91">
        <v>7725</v>
      </c>
      <c r="C621" s="91">
        <v>7765.25</v>
      </c>
      <c r="D621" s="91">
        <v>7678.3901370000003</v>
      </c>
      <c r="E621" s="91">
        <v>90103</v>
      </c>
      <c r="F621" s="91">
        <v>5.3E-3</v>
      </c>
      <c r="H621" s="90">
        <v>45566</v>
      </c>
      <c r="I621" s="91">
        <v>1480.650024</v>
      </c>
      <c r="J621" s="91">
        <v>1464.8249510000001</v>
      </c>
      <c r="K621" s="91">
        <v>1458.997803</v>
      </c>
      <c r="L621" s="91">
        <v>16431642</v>
      </c>
      <c r="M621" s="91">
        <v>-8.0000000000000002E-3</v>
      </c>
      <c r="O621" s="90">
        <v>45566</v>
      </c>
      <c r="P621" s="91">
        <v>862</v>
      </c>
      <c r="Q621" s="91">
        <v>863.09997559999999</v>
      </c>
      <c r="R621" s="91">
        <v>851.58905030000005</v>
      </c>
      <c r="S621" s="91">
        <v>24572284</v>
      </c>
      <c r="T621" s="91">
        <v>-3.3999999999999998E-3</v>
      </c>
      <c r="V621" s="90">
        <v>45566</v>
      </c>
      <c r="W621" s="91">
        <v>1875</v>
      </c>
      <c r="X621" s="91">
        <v>1904.349976</v>
      </c>
      <c r="Y621" s="91">
        <v>1828.7891850000001</v>
      </c>
      <c r="Z621" s="91">
        <v>4029072</v>
      </c>
      <c r="AA621" s="91">
        <v>1.5299999999999999E-2</v>
      </c>
      <c r="AB621" s="91"/>
      <c r="AC621" s="90">
        <v>45566</v>
      </c>
      <c r="AD621" s="91">
        <v>7600</v>
      </c>
      <c r="AE621" s="91">
        <v>7612.7001950000003</v>
      </c>
      <c r="AF621" s="91">
        <v>7606.1108400000003</v>
      </c>
      <c r="AG621" s="91">
        <v>559721</v>
      </c>
      <c r="AH621" s="91">
        <v>5.0000000000000001E-3</v>
      </c>
      <c r="AI621" s="91"/>
      <c r="AJ621" s="91">
        <f>(F621*'Part 3 Portfolio Analysis'!$B$8+M621*'Part 3 Portfolio Analysis'!$C$8+T621*'Part 3 Portfolio Analysis'!$D$8+AA621*'Part 3 Portfolio Analysis'!$E$8+AH621*'Part 3 Portfolio Analysis'!$F$8)/100</f>
        <v>6.3414735896843478E-4</v>
      </c>
      <c r="AK621" s="91">
        <f>'Part 3 Portfolio Analysis'!$B$107*F621+M621*'Part 3 Portfolio Analysis'!$C$107+T621*'Part 3 Portfolio Analysis'!$D$107+AA621*'Part 3 Portfolio Analysis'!$E$107+AH621*'Part 3 Portfolio Analysis'!$F$107</f>
        <v>7.1299999999999988E-4</v>
      </c>
      <c r="AL621" s="91">
        <f>F621*'Part 3 Portfolio Analysis'!$B$121+M621*'Part 3 Portfolio Analysis'!$C$121+'Part 3 Portfolio Analysis'!$D$121*T621+AA621*'Part 3 Portfolio Analysis'!$E$121+'Part 3 Portfolio Analysis'!$F$121*AH621</f>
        <v>-6.5493999999999969E-4</v>
      </c>
      <c r="AM621" s="91"/>
      <c r="AN621" s="90">
        <v>45566</v>
      </c>
      <c r="AO621" s="91">
        <v>25788.449219999999</v>
      </c>
      <c r="AP621" s="91">
        <v>25796.900389999999</v>
      </c>
      <c r="AQ621" s="91">
        <v>25796.900389999999</v>
      </c>
      <c r="AR621" s="91">
        <v>247400</v>
      </c>
      <c r="AS621" s="91">
        <v>-5.0000000000000001E-4</v>
      </c>
    </row>
    <row r="622" spans="1:45" x14ac:dyDescent="0.55000000000000004">
      <c r="A622" s="90">
        <v>45568</v>
      </c>
      <c r="B622" s="91">
        <v>7689.0498049999997</v>
      </c>
      <c r="C622" s="91">
        <v>7589.8999020000001</v>
      </c>
      <c r="D622" s="91">
        <v>7505.0014650000003</v>
      </c>
      <c r="E622" s="91">
        <v>127058</v>
      </c>
      <c r="F622" s="91">
        <v>-2.2599999999999999E-2</v>
      </c>
      <c r="H622" s="90">
        <v>45568</v>
      </c>
      <c r="I622" s="91">
        <v>1436.5749510000001</v>
      </c>
      <c r="J622" s="91">
        <v>1406.974976</v>
      </c>
      <c r="K622" s="91">
        <v>1401.378052</v>
      </c>
      <c r="L622" s="91">
        <v>37757294</v>
      </c>
      <c r="M622" s="91">
        <v>-3.95E-2</v>
      </c>
      <c r="O622" s="90">
        <v>45568</v>
      </c>
      <c r="P622" s="91">
        <v>857.82501219999995</v>
      </c>
      <c r="Q622" s="91">
        <v>841</v>
      </c>
      <c r="R622" s="91">
        <v>829.78381349999995</v>
      </c>
      <c r="S622" s="91">
        <v>48473398</v>
      </c>
      <c r="T622" s="91">
        <v>-2.5600000000000001E-2</v>
      </c>
      <c r="V622" s="90">
        <v>45568</v>
      </c>
      <c r="W622" s="91">
        <v>1889.5</v>
      </c>
      <c r="X622" s="91">
        <v>1893.400024</v>
      </c>
      <c r="Y622" s="91">
        <v>1818.2735600000001</v>
      </c>
      <c r="Z622" s="91">
        <v>7503887</v>
      </c>
      <c r="AA622" s="91">
        <v>-5.7999999999999996E-3</v>
      </c>
      <c r="AB622" s="91"/>
      <c r="AC622" s="90">
        <v>45568</v>
      </c>
      <c r="AD622" s="91">
        <v>7569.5</v>
      </c>
      <c r="AE622" s="91">
        <v>7487.8999020000001</v>
      </c>
      <c r="AF622" s="91">
        <v>7481.4184569999998</v>
      </c>
      <c r="AG622" s="91">
        <v>741293</v>
      </c>
      <c r="AH622" s="91">
        <v>-1.6400000000000001E-2</v>
      </c>
      <c r="AI622" s="91"/>
      <c r="AJ622" s="91">
        <f>(F622*'Part 3 Portfolio Analysis'!$B$8+M622*'Part 3 Portfolio Analysis'!$C$8+T622*'Part 3 Portfolio Analysis'!$D$8+AA622*'Part 3 Portfolio Analysis'!$E$8+AH622*'Part 3 Portfolio Analysis'!$F$8)/100</f>
        <v>-2.6462072072386249E-2</v>
      </c>
      <c r="AK622" s="91">
        <f>'Part 3 Portfolio Analysis'!$B$107*F622+M622*'Part 3 Portfolio Analysis'!$C$107+T622*'Part 3 Portfolio Analysis'!$D$107+AA622*'Part 3 Portfolio Analysis'!$E$107+AH622*'Part 3 Portfolio Analysis'!$F$107</f>
        <v>-2.5112299999999997E-2</v>
      </c>
      <c r="AL622" s="91">
        <f>F622*'Part 3 Portfolio Analysis'!$B$121+M622*'Part 3 Portfolio Analysis'!$C$121+'Part 3 Portfolio Analysis'!$D$121*T622+AA622*'Part 3 Portfolio Analysis'!$E$121+'Part 3 Portfolio Analysis'!$F$121*AH622</f>
        <v>-2.6984800000000003E-2</v>
      </c>
      <c r="AM622" s="91"/>
      <c r="AN622" s="90">
        <v>45568</v>
      </c>
      <c r="AO622" s="91">
        <v>25452.849610000001</v>
      </c>
      <c r="AP622" s="91">
        <v>25250.099610000001</v>
      </c>
      <c r="AQ622" s="91">
        <v>25250.099610000001</v>
      </c>
      <c r="AR622" s="91">
        <v>423400</v>
      </c>
      <c r="AS622" s="91">
        <v>-2.12E-2</v>
      </c>
    </row>
    <row r="623" spans="1:45" x14ac:dyDescent="0.55000000000000004">
      <c r="A623" s="90">
        <v>45569</v>
      </c>
      <c r="B623" s="91">
        <v>7589</v>
      </c>
      <c r="C623" s="91">
        <v>7576.1000979999999</v>
      </c>
      <c r="D623" s="91">
        <v>7491.3559569999998</v>
      </c>
      <c r="E623" s="91">
        <v>129147</v>
      </c>
      <c r="F623" s="91">
        <v>-1.8E-3</v>
      </c>
      <c r="H623" s="90">
        <v>45569</v>
      </c>
      <c r="I623" s="91">
        <v>1403.9250489999999</v>
      </c>
      <c r="J623" s="91">
        <v>1386.525024</v>
      </c>
      <c r="K623" s="91">
        <v>1381.009399</v>
      </c>
      <c r="L623" s="91">
        <v>37072876</v>
      </c>
      <c r="M623" s="91">
        <v>-1.4500000000000001E-2</v>
      </c>
      <c r="O623" s="90">
        <v>45569</v>
      </c>
      <c r="P623" s="91">
        <v>837.25</v>
      </c>
      <c r="Q623" s="91">
        <v>828.82501219999995</v>
      </c>
      <c r="R623" s="91">
        <v>817.77124019999997</v>
      </c>
      <c r="S623" s="91">
        <v>48683232</v>
      </c>
      <c r="T623" s="91">
        <v>-1.4500000000000001E-2</v>
      </c>
      <c r="V623" s="90">
        <v>45569</v>
      </c>
      <c r="W623" s="91">
        <v>1889.5500489999999</v>
      </c>
      <c r="X623" s="91">
        <v>1918.150024</v>
      </c>
      <c r="Y623" s="91">
        <v>1842.041626</v>
      </c>
      <c r="Z623" s="91">
        <v>10001483</v>
      </c>
      <c r="AA623" s="91">
        <v>1.3100000000000001E-2</v>
      </c>
      <c r="AB623" s="91"/>
      <c r="AC623" s="90">
        <v>45569</v>
      </c>
      <c r="AD623" s="91">
        <v>7441</v>
      </c>
      <c r="AE623" s="91">
        <v>7353.2998049999997</v>
      </c>
      <c r="AF623" s="91">
        <v>7346.9350590000004</v>
      </c>
      <c r="AG623" s="91">
        <v>938897</v>
      </c>
      <c r="AH623" s="91">
        <v>-1.7999999999999999E-2</v>
      </c>
      <c r="AI623" s="91"/>
      <c r="AJ623" s="91">
        <f>(F623*'Part 3 Portfolio Analysis'!$B$8+M623*'Part 3 Portfolio Analysis'!$C$8+T623*'Part 3 Portfolio Analysis'!$D$8+AA623*'Part 3 Portfolio Analysis'!$E$8+AH623*'Part 3 Portfolio Analysis'!$F$8)/100</f>
        <v>-6.282441059754694E-3</v>
      </c>
      <c r="AK623" s="91">
        <f>'Part 3 Portfolio Analysis'!$B$107*F623+M623*'Part 3 Portfolio Analysis'!$C$107+T623*'Part 3 Portfolio Analysis'!$D$107+AA623*'Part 3 Portfolio Analysis'!$E$107+AH623*'Part 3 Portfolio Analysis'!$F$107</f>
        <v>-1.0336E-2</v>
      </c>
      <c r="AL623" s="91">
        <f>F623*'Part 3 Portfolio Analysis'!$B$121+M623*'Part 3 Portfolio Analysis'!$C$121+'Part 3 Portfolio Analysis'!$D$121*T623+AA623*'Part 3 Portfolio Analysis'!$E$121+'Part 3 Portfolio Analysis'!$F$121*AH623</f>
        <v>-8.0277599999999984E-3</v>
      </c>
      <c r="AM623" s="91"/>
      <c r="AN623" s="90">
        <v>45569</v>
      </c>
      <c r="AO623" s="91">
        <v>25181.900389999999</v>
      </c>
      <c r="AP623" s="91">
        <v>25014.599610000001</v>
      </c>
      <c r="AQ623" s="91">
        <v>25014.599610000001</v>
      </c>
      <c r="AR623" s="91">
        <v>374900</v>
      </c>
      <c r="AS623" s="91">
        <v>-9.2999999999999992E-3</v>
      </c>
    </row>
    <row r="624" spans="1:45" x14ac:dyDescent="0.55000000000000004">
      <c r="A624" s="90">
        <v>45572</v>
      </c>
      <c r="B624" s="91">
        <v>7580</v>
      </c>
      <c r="C624" s="91">
        <v>7430.6499020000001</v>
      </c>
      <c r="D624" s="91">
        <v>7347.5327150000003</v>
      </c>
      <c r="E624" s="91">
        <v>137781</v>
      </c>
      <c r="F624" s="91">
        <v>-1.9199999999999998E-2</v>
      </c>
      <c r="H624" s="90">
        <v>45572</v>
      </c>
      <c r="I624" s="91">
        <v>1393.5</v>
      </c>
      <c r="J624" s="91">
        <v>1370.724976</v>
      </c>
      <c r="K624" s="91">
        <v>1365.272217</v>
      </c>
      <c r="L624" s="91">
        <v>22181340</v>
      </c>
      <c r="M624" s="91">
        <v>-1.14E-2</v>
      </c>
      <c r="O624" s="90">
        <v>45572</v>
      </c>
      <c r="P624" s="91">
        <v>826.09997559999999</v>
      </c>
      <c r="Q624" s="91">
        <v>808.90002440000001</v>
      </c>
      <c r="R624" s="91">
        <v>798.11193849999995</v>
      </c>
      <c r="S624" s="91">
        <v>94458296</v>
      </c>
      <c r="T624" s="91">
        <v>-2.4E-2</v>
      </c>
      <c r="V624" s="90">
        <v>45572</v>
      </c>
      <c r="W624" s="91">
        <v>1923.1999510000001</v>
      </c>
      <c r="X624" s="91">
        <v>1934.3000489999999</v>
      </c>
      <c r="Y624" s="91">
        <v>1857.5507809999999</v>
      </c>
      <c r="Z624" s="91">
        <v>6112575</v>
      </c>
      <c r="AA624" s="91">
        <v>8.3999999999999995E-3</v>
      </c>
      <c r="AB624" s="91"/>
      <c r="AC624" s="90">
        <v>45572</v>
      </c>
      <c r="AD624" s="91">
        <v>7307.2001950000003</v>
      </c>
      <c r="AE624" s="91">
        <v>7449.5</v>
      </c>
      <c r="AF624" s="91">
        <v>7443.0517579999996</v>
      </c>
      <c r="AG624" s="91">
        <v>854385</v>
      </c>
      <c r="AH624" s="91">
        <v>1.3100000000000001E-2</v>
      </c>
      <c r="AI624" s="91"/>
      <c r="AJ624" s="91">
        <f>(F624*'Part 3 Portfolio Analysis'!$B$8+M624*'Part 3 Portfolio Analysis'!$C$8+T624*'Part 3 Portfolio Analysis'!$D$8+AA624*'Part 3 Portfolio Analysis'!$E$8+AH624*'Part 3 Portfolio Analysis'!$F$8)/100</f>
        <v>-1.241590221985856E-2</v>
      </c>
      <c r="AK624" s="91">
        <f>'Part 3 Portfolio Analysis'!$B$107*F624+M624*'Part 3 Portfolio Analysis'!$C$107+T624*'Part 3 Portfolio Analysis'!$D$107+AA624*'Part 3 Portfolio Analysis'!$E$107+AH624*'Part 3 Portfolio Analysis'!$F$107</f>
        <v>-6.6029999999999978E-3</v>
      </c>
      <c r="AL624" s="91">
        <f>F624*'Part 3 Portfolio Analysis'!$B$121+M624*'Part 3 Portfolio Analysis'!$C$121+'Part 3 Portfolio Analysis'!$D$121*T624+AA624*'Part 3 Portfolio Analysis'!$E$121+'Part 3 Portfolio Analysis'!$F$121*AH624</f>
        <v>-1.086646E-2</v>
      </c>
      <c r="AM624" s="91"/>
      <c r="AN624" s="90">
        <v>45572</v>
      </c>
      <c r="AO624" s="91">
        <v>25084.099610000001</v>
      </c>
      <c r="AP624" s="91">
        <v>24795.75</v>
      </c>
      <c r="AQ624" s="91">
        <v>24795.75</v>
      </c>
      <c r="AR624" s="91">
        <v>374300</v>
      </c>
      <c r="AS624" s="91">
        <v>-8.6999999999999994E-3</v>
      </c>
    </row>
    <row r="625" spans="1:45" x14ac:dyDescent="0.55000000000000004">
      <c r="A625" s="90">
        <v>45573</v>
      </c>
      <c r="B625" s="91">
        <v>7430</v>
      </c>
      <c r="C625" s="91">
        <v>7550.1000979999999</v>
      </c>
      <c r="D625" s="91">
        <v>7465.6469729999999</v>
      </c>
      <c r="E625" s="91">
        <v>113271</v>
      </c>
      <c r="F625" s="91">
        <v>1.61E-2</v>
      </c>
      <c r="H625" s="90">
        <v>45573</v>
      </c>
      <c r="I625" s="91">
        <v>1372.974976</v>
      </c>
      <c r="J625" s="91">
        <v>1397.349976</v>
      </c>
      <c r="K625" s="91">
        <v>1391.79126</v>
      </c>
      <c r="L625" s="91">
        <v>17020808</v>
      </c>
      <c r="M625" s="91">
        <v>1.9400000000000001E-2</v>
      </c>
      <c r="O625" s="90">
        <v>45573</v>
      </c>
      <c r="P625" s="91">
        <v>815</v>
      </c>
      <c r="Q625" s="91">
        <v>825.52502440000001</v>
      </c>
      <c r="R625" s="91">
        <v>814.51519780000001</v>
      </c>
      <c r="S625" s="91">
        <v>29734406</v>
      </c>
      <c r="T625" s="91">
        <v>2.06E-2</v>
      </c>
      <c r="V625" s="90">
        <v>45573</v>
      </c>
      <c r="W625" s="91">
        <v>1937.900024</v>
      </c>
      <c r="X625" s="91">
        <v>1948.5500489999999</v>
      </c>
      <c r="Y625" s="91">
        <v>1871.2353519999999</v>
      </c>
      <c r="Z625" s="91">
        <v>5637391</v>
      </c>
      <c r="AA625" s="91">
        <v>7.4000000000000003E-3</v>
      </c>
      <c r="AB625" s="91"/>
      <c r="AC625" s="90">
        <v>45573</v>
      </c>
      <c r="AD625" s="91">
        <v>7520</v>
      </c>
      <c r="AE625" s="91">
        <v>8041.9501950000003</v>
      </c>
      <c r="AF625" s="91">
        <v>8034.9892579999996</v>
      </c>
      <c r="AG625" s="91">
        <v>2278240</v>
      </c>
      <c r="AH625" s="91">
        <v>7.9500000000000001E-2</v>
      </c>
      <c r="AI625" s="91"/>
      <c r="AJ625" s="91">
        <f>(F625*'Part 3 Portfolio Analysis'!$B$8+M625*'Part 3 Portfolio Analysis'!$C$8+T625*'Part 3 Portfolio Analysis'!$D$8+AA625*'Part 3 Portfolio Analysis'!$E$8+AH625*'Part 3 Portfolio Analysis'!$F$8)/100</f>
        <v>1.7266365569742384E-2</v>
      </c>
      <c r="AK625" s="91">
        <f>'Part 3 Portfolio Analysis'!$B$107*F625+M625*'Part 3 Portfolio Analysis'!$C$107+T625*'Part 3 Portfolio Analysis'!$D$107+AA625*'Part 3 Portfolio Analysis'!$E$107+AH625*'Part 3 Portfolio Analysis'!$F$107</f>
        <v>3.29372E-2</v>
      </c>
      <c r="AL625" s="91">
        <f>F625*'Part 3 Portfolio Analysis'!$B$121+M625*'Part 3 Portfolio Analysis'!$C$121+'Part 3 Portfolio Analysis'!$D$121*T625+AA625*'Part 3 Portfolio Analysis'!$E$121+'Part 3 Portfolio Analysis'!$F$121*AH625</f>
        <v>1.8629759999999999E-2</v>
      </c>
      <c r="AM625" s="91"/>
      <c r="AN625" s="90">
        <v>45573</v>
      </c>
      <c r="AO625" s="91">
        <v>24832.199219999999</v>
      </c>
      <c r="AP625" s="91">
        <v>25013.150389999999</v>
      </c>
      <c r="AQ625" s="91">
        <v>25013.150389999999</v>
      </c>
      <c r="AR625" s="91">
        <v>333200</v>
      </c>
      <c r="AS625" s="91">
        <v>8.8000000000000005E-3</v>
      </c>
    </row>
    <row r="626" spans="1:45" x14ac:dyDescent="0.55000000000000004">
      <c r="A626" s="90">
        <v>45574</v>
      </c>
      <c r="B626" s="91">
        <v>7584</v>
      </c>
      <c r="C626" s="91">
        <v>7614.2998049999997</v>
      </c>
      <c r="D626" s="91">
        <v>7529.1284180000002</v>
      </c>
      <c r="E626" s="91">
        <v>162611</v>
      </c>
      <c r="F626" s="91">
        <v>8.5000000000000006E-3</v>
      </c>
      <c r="H626" s="90">
        <v>45574</v>
      </c>
      <c r="I626" s="91">
        <v>1397.525024</v>
      </c>
      <c r="J626" s="91">
        <v>1374.599976</v>
      </c>
      <c r="K626" s="91">
        <v>1369.131836</v>
      </c>
      <c r="L626" s="91">
        <v>14310610</v>
      </c>
      <c r="M626" s="91">
        <v>-1.6299999999999999E-2</v>
      </c>
      <c r="O626" s="90">
        <v>45574</v>
      </c>
      <c r="P626" s="91">
        <v>824.75</v>
      </c>
      <c r="Q626" s="91">
        <v>816.57501219999995</v>
      </c>
      <c r="R626" s="91">
        <v>805.68463129999998</v>
      </c>
      <c r="S626" s="91">
        <v>41125642</v>
      </c>
      <c r="T626" s="91">
        <v>-1.0800000000000001E-2</v>
      </c>
      <c r="V626" s="90">
        <v>45574</v>
      </c>
      <c r="W626" s="91">
        <v>1952.5500489999999</v>
      </c>
      <c r="X626" s="91">
        <v>1952.75</v>
      </c>
      <c r="Y626" s="91">
        <v>1875.268677</v>
      </c>
      <c r="Z626" s="91">
        <v>4857163</v>
      </c>
      <c r="AA626" s="91">
        <v>2.2000000000000001E-3</v>
      </c>
      <c r="AB626" s="91"/>
      <c r="AC626" s="90">
        <v>45574</v>
      </c>
      <c r="AD626" s="91">
        <v>8089</v>
      </c>
      <c r="AE626" s="91">
        <v>8220.8496090000008</v>
      </c>
      <c r="AF626" s="91">
        <v>8213.7333980000003</v>
      </c>
      <c r="AG626" s="91">
        <v>1260784</v>
      </c>
      <c r="AH626" s="91">
        <v>2.2200000000000001E-2</v>
      </c>
      <c r="AI626" s="91"/>
      <c r="AJ626" s="91">
        <f>(F626*'Part 3 Portfolio Analysis'!$B$8+M626*'Part 3 Portfolio Analysis'!$C$8+T626*'Part 3 Portfolio Analysis'!$D$8+AA626*'Part 3 Portfolio Analysis'!$E$8+AH626*'Part 3 Portfolio Analysis'!$F$8)/100</f>
        <v>-4.5889756276182546E-3</v>
      </c>
      <c r="AK626" s="91">
        <f>'Part 3 Portfolio Analysis'!$B$107*F626+M626*'Part 3 Portfolio Analysis'!$C$107+T626*'Part 3 Portfolio Analysis'!$D$107+AA626*'Part 3 Portfolio Analysis'!$E$107+AH626*'Part 3 Portfolio Analysis'!$F$107</f>
        <v>5.6850000000000043E-4</v>
      </c>
      <c r="AL626" s="91">
        <f>F626*'Part 3 Portfolio Analysis'!$B$121+M626*'Part 3 Portfolio Analysis'!$C$121+'Part 3 Portfolio Analysis'!$D$121*T626+AA626*'Part 3 Portfolio Analysis'!$E$121+'Part 3 Portfolio Analysis'!$F$121*AH626</f>
        <v>-8.0567400000000015E-3</v>
      </c>
      <c r="AM626" s="91"/>
      <c r="AN626" s="90">
        <v>45574</v>
      </c>
      <c r="AO626" s="91">
        <v>25065.800780000001</v>
      </c>
      <c r="AP626" s="91">
        <v>24981.949219999999</v>
      </c>
      <c r="AQ626" s="91">
        <v>24981.949219999999</v>
      </c>
      <c r="AR626" s="91">
        <v>290600</v>
      </c>
      <c r="AS626" s="91">
        <v>-1.1999999999999999E-3</v>
      </c>
    </row>
    <row r="627" spans="1:45" x14ac:dyDescent="0.55000000000000004">
      <c r="A627" s="90">
        <v>45575</v>
      </c>
      <c r="B627" s="91">
        <v>7627</v>
      </c>
      <c r="C627" s="91">
        <v>7759.2998049999997</v>
      </c>
      <c r="D627" s="91">
        <v>7672.5063479999999</v>
      </c>
      <c r="E627" s="91">
        <v>679383</v>
      </c>
      <c r="F627" s="91">
        <v>1.9E-2</v>
      </c>
      <c r="H627" s="90">
        <v>45575</v>
      </c>
      <c r="I627" s="91">
        <v>1380.025024</v>
      </c>
      <c r="J627" s="91">
        <v>1371.0500489999999</v>
      </c>
      <c r="K627" s="91">
        <v>1365.595947</v>
      </c>
      <c r="L627" s="91">
        <v>22358646</v>
      </c>
      <c r="M627" s="91">
        <v>-2.5999999999999999E-3</v>
      </c>
      <c r="O627" s="90">
        <v>45575</v>
      </c>
      <c r="P627" s="91">
        <v>819.5</v>
      </c>
      <c r="Q627" s="91">
        <v>831.20001219999995</v>
      </c>
      <c r="R627" s="91">
        <v>820.11450200000002</v>
      </c>
      <c r="S627" s="91">
        <v>21754766</v>
      </c>
      <c r="T627" s="91">
        <v>1.7899999999999999E-2</v>
      </c>
      <c r="V627" s="90">
        <v>45575</v>
      </c>
      <c r="W627" s="91">
        <v>1957.900024</v>
      </c>
      <c r="X627" s="91">
        <v>1919</v>
      </c>
      <c r="Y627" s="91">
        <v>1842.8579099999999</v>
      </c>
      <c r="Z627" s="91">
        <v>4782119</v>
      </c>
      <c r="AA627" s="91">
        <v>-1.7299999999999999E-2</v>
      </c>
      <c r="AB627" s="91"/>
      <c r="AC627" s="90">
        <v>45575</v>
      </c>
      <c r="AD627" s="91">
        <v>8200</v>
      </c>
      <c r="AE627" s="91">
        <v>8028.8500979999999</v>
      </c>
      <c r="AF627" s="91">
        <v>8021.9003910000001</v>
      </c>
      <c r="AG627" s="91">
        <v>606292</v>
      </c>
      <c r="AH627" s="91">
        <v>-2.3400000000000001E-2</v>
      </c>
      <c r="AI627" s="91"/>
      <c r="AJ627" s="91">
        <f>(F627*'Part 3 Portfolio Analysis'!$B$8+M627*'Part 3 Portfolio Analysis'!$C$8+T627*'Part 3 Portfolio Analysis'!$D$8+AA627*'Part 3 Portfolio Analysis'!$E$8+AH627*'Part 3 Portfolio Analysis'!$F$8)/100</f>
        <v>4.7306460679136936E-3</v>
      </c>
      <c r="AK627" s="91">
        <f>'Part 3 Portfolio Analysis'!$B$107*F627+M627*'Part 3 Portfolio Analysis'!$C$107+T627*'Part 3 Portfolio Analysis'!$D$107+AA627*'Part 3 Portfolio Analysis'!$E$107+AH627*'Part 3 Portfolio Analysis'!$F$107</f>
        <v>-2.2460999999999991E-3</v>
      </c>
      <c r="AL627" s="91">
        <f>F627*'Part 3 Portfolio Analysis'!$B$121+M627*'Part 3 Portfolio Analysis'!$C$121+'Part 3 Portfolio Analysis'!$D$121*T627+AA627*'Part 3 Portfolio Analysis'!$E$121+'Part 3 Portfolio Analysis'!$F$121*AH627</f>
        <v>1.2665600000000006E-3</v>
      </c>
      <c r="AM627" s="91"/>
      <c r="AN627" s="90">
        <v>45575</v>
      </c>
      <c r="AO627" s="91">
        <v>25067.050780000001</v>
      </c>
      <c r="AP627" s="91">
        <v>24998.449219999999</v>
      </c>
      <c r="AQ627" s="91">
        <v>24998.449219999999</v>
      </c>
      <c r="AR627" s="91">
        <v>261400</v>
      </c>
      <c r="AS627" s="91">
        <v>6.9999999999999999E-4</v>
      </c>
    </row>
    <row r="628" spans="1:45" x14ac:dyDescent="0.55000000000000004">
      <c r="A628" s="90">
        <v>45576</v>
      </c>
      <c r="B628" s="91">
        <v>7800</v>
      </c>
      <c r="C628" s="91">
        <v>7675.1499020000001</v>
      </c>
      <c r="D628" s="91">
        <v>7589.2978519999997</v>
      </c>
      <c r="E628" s="91">
        <v>531591</v>
      </c>
      <c r="F628" s="91">
        <v>-1.0800000000000001E-2</v>
      </c>
      <c r="H628" s="90">
        <v>45576</v>
      </c>
      <c r="I628" s="91">
        <v>1370</v>
      </c>
      <c r="J628" s="91">
        <v>1372.099976</v>
      </c>
      <c r="K628" s="91">
        <v>1366.6417240000001</v>
      </c>
      <c r="L628" s="91">
        <v>7980122</v>
      </c>
      <c r="M628" s="91">
        <v>8.0000000000000004E-4</v>
      </c>
      <c r="O628" s="90">
        <v>45576</v>
      </c>
      <c r="P628" s="91">
        <v>832.22497559999999</v>
      </c>
      <c r="Q628" s="91">
        <v>825.5</v>
      </c>
      <c r="R628" s="91">
        <v>814.49060059999999</v>
      </c>
      <c r="S628" s="91">
        <v>23672594</v>
      </c>
      <c r="T628" s="91">
        <v>-6.8999999999999999E-3</v>
      </c>
      <c r="V628" s="90">
        <v>45576</v>
      </c>
      <c r="W628" s="91">
        <v>1918</v>
      </c>
      <c r="X628" s="91">
        <v>1935.099976</v>
      </c>
      <c r="Y628" s="91">
        <v>1858.31897</v>
      </c>
      <c r="Z628" s="91">
        <v>4709431</v>
      </c>
      <c r="AA628" s="91">
        <v>8.3999999999999995E-3</v>
      </c>
      <c r="AB628" s="91"/>
      <c r="AC628" s="90">
        <v>45576</v>
      </c>
      <c r="AD628" s="91">
        <v>8069</v>
      </c>
      <c r="AE628" s="91">
        <v>8234.9501949999994</v>
      </c>
      <c r="AF628" s="91">
        <v>8227.8222659999992</v>
      </c>
      <c r="AG628" s="91">
        <v>800644</v>
      </c>
      <c r="AH628" s="91">
        <v>2.5700000000000001E-2</v>
      </c>
      <c r="AI628" s="91"/>
      <c r="AJ628" s="91">
        <f>(F628*'Part 3 Portfolio Analysis'!$B$8+M628*'Part 3 Portfolio Analysis'!$C$8+T628*'Part 3 Portfolio Analysis'!$D$8+AA628*'Part 3 Portfolio Analysis'!$E$8+AH628*'Part 3 Portfolio Analysis'!$F$8)/100</f>
        <v>-2.4980001017150611E-3</v>
      </c>
      <c r="AK628" s="91">
        <f>'Part 3 Portfolio Analysis'!$B$107*F628+M628*'Part 3 Portfolio Analysis'!$C$107+T628*'Part 3 Portfolio Analysis'!$D$107+AA628*'Part 3 Portfolio Analysis'!$E$107+AH628*'Part 3 Portfolio Analysis'!$F$107</f>
        <v>4.5532999999999997E-3</v>
      </c>
      <c r="AL628" s="91">
        <f>F628*'Part 3 Portfolio Analysis'!$B$121+M628*'Part 3 Portfolio Analysis'!$C$121+'Part 3 Portfolio Analysis'!$D$121*T628+AA628*'Part 3 Portfolio Analysis'!$E$121+'Part 3 Portfolio Analysis'!$F$121*AH628</f>
        <v>-7.5539999999999917E-5</v>
      </c>
      <c r="AM628" s="91"/>
      <c r="AN628" s="90">
        <v>45576</v>
      </c>
      <c r="AO628" s="91">
        <v>24985.300780000001</v>
      </c>
      <c r="AP628" s="91">
        <v>24964.25</v>
      </c>
      <c r="AQ628" s="91">
        <v>24964.25</v>
      </c>
      <c r="AR628" s="91">
        <v>210500</v>
      </c>
      <c r="AS628" s="91">
        <v>-1.4E-3</v>
      </c>
    </row>
    <row r="629" spans="1:45" x14ac:dyDescent="0.55000000000000004">
      <c r="A629" s="90">
        <v>45579</v>
      </c>
      <c r="B629" s="91">
        <v>7728.3999020000001</v>
      </c>
      <c r="C629" s="91">
        <v>7573.5</v>
      </c>
      <c r="D629" s="91">
        <v>7488.7851559999999</v>
      </c>
      <c r="E629" s="91">
        <v>142578</v>
      </c>
      <c r="F629" s="91">
        <v>-1.32E-2</v>
      </c>
      <c r="H629" s="90">
        <v>45579</v>
      </c>
      <c r="I629" s="91">
        <v>1379.4499510000001</v>
      </c>
      <c r="J629" s="91">
        <v>1372.525024</v>
      </c>
      <c r="K629" s="91">
        <v>1367.065063</v>
      </c>
      <c r="L629" s="91">
        <v>12221432</v>
      </c>
      <c r="M629" s="91">
        <v>2.9999999999999997E-4</v>
      </c>
      <c r="O629" s="90">
        <v>45579</v>
      </c>
      <c r="P629" s="91">
        <v>828.02502440000001</v>
      </c>
      <c r="Q629" s="91">
        <v>844.04998780000005</v>
      </c>
      <c r="R629" s="91">
        <v>832.7931519</v>
      </c>
      <c r="S629" s="91">
        <v>18527508</v>
      </c>
      <c r="T629" s="91">
        <v>2.2499999999999999E-2</v>
      </c>
      <c r="V629" s="90">
        <v>45579</v>
      </c>
      <c r="W629" s="91">
        <v>1932.150024</v>
      </c>
      <c r="X629" s="91">
        <v>1958.900024</v>
      </c>
      <c r="Y629" s="91">
        <v>1881.174683</v>
      </c>
      <c r="Z629" s="91">
        <v>3751378</v>
      </c>
      <c r="AA629" s="91">
        <v>1.23E-2</v>
      </c>
      <c r="AB629" s="91"/>
      <c r="AC629" s="90">
        <v>45579</v>
      </c>
      <c r="AD629" s="91">
        <v>8280.0498050000006</v>
      </c>
      <c r="AE629" s="91">
        <v>8191.8500979999999</v>
      </c>
      <c r="AF629" s="91">
        <v>8184.7592770000001</v>
      </c>
      <c r="AG629" s="91">
        <v>417498</v>
      </c>
      <c r="AH629" s="91">
        <v>-5.1999999999999998E-3</v>
      </c>
      <c r="AI629" s="91"/>
      <c r="AJ629" s="91">
        <f>(F629*'Part 3 Portfolio Analysis'!$B$8+M629*'Part 3 Portfolio Analysis'!$C$8+T629*'Part 3 Portfolio Analysis'!$D$8+AA629*'Part 3 Portfolio Analysis'!$E$8+AH629*'Part 3 Portfolio Analysis'!$F$8)/100</f>
        <v>1.8306900059140041E-3</v>
      </c>
      <c r="AK629" s="91">
        <f>'Part 3 Portfolio Analysis'!$B$107*F629+M629*'Part 3 Portfolio Analysis'!$C$107+T629*'Part 3 Portfolio Analysis'!$D$107+AA629*'Part 3 Portfolio Analysis'!$E$107+AH629*'Part 3 Portfolio Analysis'!$F$107</f>
        <v>1.1249999999999999E-3</v>
      </c>
      <c r="AL629" s="91">
        <f>F629*'Part 3 Portfolio Analysis'!$B$121+M629*'Part 3 Portfolio Analysis'!$C$121+'Part 3 Portfolio Analysis'!$D$121*T629+AA629*'Part 3 Portfolio Analysis'!$E$121+'Part 3 Portfolio Analysis'!$F$121*AH629</f>
        <v>7.484600000000001E-3</v>
      </c>
      <c r="AM629" s="91"/>
      <c r="AN629" s="90">
        <v>45579</v>
      </c>
      <c r="AO629" s="91">
        <v>25023.449219999999</v>
      </c>
      <c r="AP629" s="91">
        <v>25127.949219999999</v>
      </c>
      <c r="AQ629" s="91">
        <v>25127.949219999999</v>
      </c>
      <c r="AR629" s="91">
        <v>206400</v>
      </c>
      <c r="AS629" s="91">
        <v>6.6E-3</v>
      </c>
    </row>
    <row r="630" spans="1:45" x14ac:dyDescent="0.55000000000000004">
      <c r="A630" s="90">
        <v>45580</v>
      </c>
      <c r="B630" s="91">
        <v>7575</v>
      </c>
      <c r="C630" s="91">
        <v>7469.1000979999999</v>
      </c>
      <c r="D630" s="91">
        <v>7385.5527339999999</v>
      </c>
      <c r="E630" s="91">
        <v>158563</v>
      </c>
      <c r="F630" s="91">
        <v>-1.38E-2</v>
      </c>
      <c r="H630" s="90">
        <v>45580</v>
      </c>
      <c r="I630" s="91">
        <v>1358.525024</v>
      </c>
      <c r="J630" s="91">
        <v>1344.025024</v>
      </c>
      <c r="K630" s="91">
        <v>1338.678467</v>
      </c>
      <c r="L630" s="91">
        <v>33762794</v>
      </c>
      <c r="M630" s="91">
        <v>-2.0799999999999999E-2</v>
      </c>
      <c r="O630" s="90">
        <v>45580</v>
      </c>
      <c r="P630" s="91">
        <v>847</v>
      </c>
      <c r="Q630" s="91">
        <v>842.04998780000005</v>
      </c>
      <c r="R630" s="91">
        <v>830.81982419999997</v>
      </c>
      <c r="S630" s="91">
        <v>19651130</v>
      </c>
      <c r="T630" s="91">
        <v>-2.3999999999999998E-3</v>
      </c>
      <c r="V630" s="90">
        <v>45580</v>
      </c>
      <c r="W630" s="91">
        <v>1960</v>
      </c>
      <c r="X630" s="91">
        <v>1959.3000489999999</v>
      </c>
      <c r="Y630" s="91">
        <v>1881.5589600000001</v>
      </c>
      <c r="Z630" s="91">
        <v>5353705</v>
      </c>
      <c r="AA630" s="91">
        <v>2.0000000000000001E-4</v>
      </c>
      <c r="AB630" s="91"/>
      <c r="AC630" s="90">
        <v>45580</v>
      </c>
      <c r="AD630" s="91">
        <v>8224</v>
      </c>
      <c r="AE630" s="91">
        <v>8124.25</v>
      </c>
      <c r="AF630" s="91">
        <v>8117.2177730000003</v>
      </c>
      <c r="AG630" s="91">
        <v>460534</v>
      </c>
      <c r="AH630" s="91">
        <v>-8.3000000000000001E-3</v>
      </c>
      <c r="AI630" s="91"/>
      <c r="AJ630" s="91">
        <f>(F630*'Part 3 Portfolio Analysis'!$B$8+M630*'Part 3 Portfolio Analysis'!$C$8+T630*'Part 3 Portfolio Analysis'!$D$8+AA630*'Part 3 Portfolio Analysis'!$E$8+AH630*'Part 3 Portfolio Analysis'!$F$8)/100</f>
        <v>-1.2128871384211206E-2</v>
      </c>
      <c r="AK630" s="91">
        <f>'Part 3 Portfolio Analysis'!$B$107*F630+M630*'Part 3 Portfolio Analysis'!$C$107+T630*'Part 3 Portfolio Analysis'!$D$107+AA630*'Part 3 Portfolio Analysis'!$E$107+AH630*'Part 3 Portfolio Analysis'!$F$107</f>
        <v>-1.1438E-2</v>
      </c>
      <c r="AL630" s="91">
        <f>F630*'Part 3 Portfolio Analysis'!$B$121+M630*'Part 3 Portfolio Analysis'!$C$121+'Part 3 Portfolio Analysis'!$D$121*T630+AA630*'Part 3 Portfolio Analysis'!$E$121+'Part 3 Portfolio Analysis'!$F$121*AH630</f>
        <v>-1.0692299999999998E-2</v>
      </c>
      <c r="AM630" s="91"/>
      <c r="AN630" s="90">
        <v>45580</v>
      </c>
      <c r="AO630" s="91">
        <v>25186.300780000001</v>
      </c>
      <c r="AP630" s="91">
        <v>25057.349610000001</v>
      </c>
      <c r="AQ630" s="91">
        <v>25057.349610000001</v>
      </c>
      <c r="AR630" s="91">
        <v>257200</v>
      </c>
      <c r="AS630" s="91">
        <v>-2.8E-3</v>
      </c>
    </row>
    <row r="631" spans="1:45" x14ac:dyDescent="0.55000000000000004">
      <c r="A631" s="90">
        <v>45581</v>
      </c>
      <c r="B631" s="91">
        <v>7450</v>
      </c>
      <c r="C631" s="91">
        <v>7400.5</v>
      </c>
      <c r="D631" s="91">
        <v>7317.7202150000003</v>
      </c>
      <c r="E631" s="91">
        <v>133627</v>
      </c>
      <c r="F631" s="91">
        <v>-9.1999999999999998E-3</v>
      </c>
      <c r="H631" s="90">
        <v>45581</v>
      </c>
      <c r="I631" s="91">
        <v>1340</v>
      </c>
      <c r="J631" s="91">
        <v>1354.0749510000001</v>
      </c>
      <c r="K631" s="91">
        <v>1348.6884769999999</v>
      </c>
      <c r="L631" s="91">
        <v>20034438</v>
      </c>
      <c r="M631" s="91">
        <v>7.4999999999999997E-3</v>
      </c>
      <c r="O631" s="90">
        <v>45581</v>
      </c>
      <c r="P631" s="91">
        <v>840.04998780000005</v>
      </c>
      <c r="Q631" s="91">
        <v>849.90002440000001</v>
      </c>
      <c r="R631" s="91">
        <v>838.56518549999998</v>
      </c>
      <c r="S631" s="91">
        <v>20470682</v>
      </c>
      <c r="T631" s="91">
        <v>9.2999999999999992E-3</v>
      </c>
      <c r="V631" s="90">
        <v>45581</v>
      </c>
      <c r="W631" s="91">
        <v>1955</v>
      </c>
      <c r="X631" s="91">
        <v>1920.099976</v>
      </c>
      <c r="Y631" s="91">
        <v>1843.914307</v>
      </c>
      <c r="Z631" s="91">
        <v>3111512</v>
      </c>
      <c r="AA631" s="91">
        <v>-0.02</v>
      </c>
      <c r="AB631" s="91"/>
      <c r="AC631" s="90">
        <v>45581</v>
      </c>
      <c r="AD631" s="91">
        <v>8110</v>
      </c>
      <c r="AE631" s="91">
        <v>7805.7998049999997</v>
      </c>
      <c r="AF631" s="91">
        <v>7799.0434569999998</v>
      </c>
      <c r="AG631" s="91">
        <v>900545</v>
      </c>
      <c r="AH631" s="91">
        <v>-3.9199999999999999E-2</v>
      </c>
      <c r="AI631" s="91"/>
      <c r="AJ631" s="91">
        <f>(F631*'Part 3 Portfolio Analysis'!$B$8+M631*'Part 3 Portfolio Analysis'!$C$8+T631*'Part 3 Portfolio Analysis'!$D$8+AA631*'Part 3 Portfolio Analysis'!$E$8+AH631*'Part 3 Portfolio Analysis'!$F$8)/100</f>
        <v>-2.0918372820573185E-3</v>
      </c>
      <c r="AK631" s="91">
        <f>'Part 3 Portfolio Analysis'!$B$107*F631+M631*'Part 3 Portfolio Analysis'!$C$107+T631*'Part 3 Portfolio Analysis'!$D$107+AA631*'Part 3 Portfolio Analysis'!$E$107+AH631*'Part 3 Portfolio Analysis'!$F$107</f>
        <v>-9.7453999999999995E-3</v>
      </c>
      <c r="AL631" s="91">
        <f>F631*'Part 3 Portfolio Analysis'!$B$121+M631*'Part 3 Portfolio Analysis'!$C$121+'Part 3 Portfolio Analysis'!$D$121*T631+AA631*'Part 3 Portfolio Analysis'!$E$121+'Part 3 Portfolio Analysis'!$F$121*AH631</f>
        <v>-1.0668000000000071E-4</v>
      </c>
      <c r="AM631" s="91"/>
      <c r="AN631" s="90">
        <v>45581</v>
      </c>
      <c r="AO631" s="91">
        <v>25008.550780000001</v>
      </c>
      <c r="AP631" s="91">
        <v>24971.300780000001</v>
      </c>
      <c r="AQ631" s="91">
        <v>24971.300780000001</v>
      </c>
      <c r="AR631" s="91">
        <v>226800</v>
      </c>
      <c r="AS631" s="91">
        <v>-3.3999999999999998E-3</v>
      </c>
    </row>
    <row r="632" spans="1:45" x14ac:dyDescent="0.55000000000000004">
      <c r="A632" s="90">
        <v>45582</v>
      </c>
      <c r="B632" s="91">
        <v>7420.3999020000001</v>
      </c>
      <c r="C632" s="91">
        <v>7365.1000979999999</v>
      </c>
      <c r="D632" s="91">
        <v>7282.7163090000004</v>
      </c>
      <c r="E632" s="91">
        <v>167307</v>
      </c>
      <c r="F632" s="91">
        <v>-4.7999999999999996E-3</v>
      </c>
      <c r="H632" s="90">
        <v>45582</v>
      </c>
      <c r="I632" s="91">
        <v>1365.6999510000001</v>
      </c>
      <c r="J632" s="91">
        <v>1356.4250489999999</v>
      </c>
      <c r="K632" s="91">
        <v>1351.0291749999999</v>
      </c>
      <c r="L632" s="91">
        <v>15543660</v>
      </c>
      <c r="M632" s="91">
        <v>1.6999999999999999E-3</v>
      </c>
      <c r="O632" s="90">
        <v>45582</v>
      </c>
      <c r="P632" s="91">
        <v>847.47497559999999</v>
      </c>
      <c r="Q632" s="91">
        <v>836.57501219999995</v>
      </c>
      <c r="R632" s="91">
        <v>825.41784670000004</v>
      </c>
      <c r="S632" s="91">
        <v>14695732</v>
      </c>
      <c r="T632" s="91">
        <v>-1.5699999999999999E-2</v>
      </c>
      <c r="V632" s="90">
        <v>45582</v>
      </c>
      <c r="W632" s="91">
        <v>1935.1999510000001</v>
      </c>
      <c r="X632" s="91">
        <v>1968.099976</v>
      </c>
      <c r="Y632" s="91">
        <v>1890.009644</v>
      </c>
      <c r="Z632" s="91">
        <v>8162822</v>
      </c>
      <c r="AA632" s="91">
        <v>2.5000000000000001E-2</v>
      </c>
      <c r="AB632" s="91"/>
      <c r="AC632" s="90">
        <v>45582</v>
      </c>
      <c r="AD632" s="91">
        <v>7780.2998049999997</v>
      </c>
      <c r="AE632" s="91">
        <v>7719.6499020000001</v>
      </c>
      <c r="AF632" s="91">
        <v>7712.9677730000003</v>
      </c>
      <c r="AG632" s="91">
        <v>997450</v>
      </c>
      <c r="AH632" s="91">
        <v>-1.0999999999999999E-2</v>
      </c>
      <c r="AI632" s="91"/>
      <c r="AJ632" s="91">
        <f>(F632*'Part 3 Portfolio Analysis'!$B$8+M632*'Part 3 Portfolio Analysis'!$C$8+T632*'Part 3 Portfolio Analysis'!$D$8+AA632*'Part 3 Portfolio Analysis'!$E$8+AH632*'Part 3 Portfolio Analysis'!$F$8)/100</f>
        <v>4.7308651156572929E-4</v>
      </c>
      <c r="AK632" s="91">
        <f>'Part 3 Portfolio Analysis'!$B$107*F632+M632*'Part 3 Portfolio Analysis'!$C$107+T632*'Part 3 Portfolio Analysis'!$D$107+AA632*'Part 3 Portfolio Analysis'!$E$107+AH632*'Part 3 Portfolio Analysis'!$F$107</f>
        <v>-3.0373999999999991E-3</v>
      </c>
      <c r="AL632" s="91">
        <f>F632*'Part 3 Portfolio Analysis'!$B$121+M632*'Part 3 Portfolio Analysis'!$C$121+'Part 3 Portfolio Analysis'!$D$121*T632+AA632*'Part 3 Portfolio Analysis'!$E$121+'Part 3 Portfolio Analysis'!$F$121*AH632</f>
        <v>7.6016000000000169E-4</v>
      </c>
      <c r="AM632" s="91"/>
      <c r="AN632" s="90">
        <v>45582</v>
      </c>
      <c r="AO632" s="91">
        <v>25027.400389999999</v>
      </c>
      <c r="AP632" s="91">
        <v>24749.849610000001</v>
      </c>
      <c r="AQ632" s="91">
        <v>24749.849610000001</v>
      </c>
      <c r="AR632" s="91">
        <v>252800</v>
      </c>
      <c r="AS632" s="91">
        <v>-8.8999999999999999E-3</v>
      </c>
    </row>
    <row r="633" spans="1:45" x14ac:dyDescent="0.55000000000000004">
      <c r="A633" s="90">
        <v>45583</v>
      </c>
      <c r="B633" s="91">
        <v>7360</v>
      </c>
      <c r="C633" s="91">
        <v>7328.7001950000003</v>
      </c>
      <c r="D633" s="91">
        <v>7246.7236329999996</v>
      </c>
      <c r="E633" s="91">
        <v>72674</v>
      </c>
      <c r="F633" s="91">
        <v>-4.8999999999999998E-3</v>
      </c>
      <c r="H633" s="90">
        <v>45583</v>
      </c>
      <c r="I633" s="91">
        <v>1352.1750489999999</v>
      </c>
      <c r="J633" s="91">
        <v>1359.3000489999999</v>
      </c>
      <c r="K633" s="91">
        <v>1353.8927000000001</v>
      </c>
      <c r="L633" s="91">
        <v>12082452</v>
      </c>
      <c r="M633" s="91">
        <v>2.0999999999999999E-3</v>
      </c>
      <c r="O633" s="90">
        <v>45583</v>
      </c>
      <c r="P633" s="91">
        <v>831.54998780000005</v>
      </c>
      <c r="Q633" s="91">
        <v>840.92498780000005</v>
      </c>
      <c r="R633" s="91">
        <v>829.70983890000002</v>
      </c>
      <c r="S633" s="91">
        <v>24809724</v>
      </c>
      <c r="T633" s="91">
        <v>5.1999999999999998E-3</v>
      </c>
      <c r="V633" s="90">
        <v>45583</v>
      </c>
      <c r="W633" s="91">
        <v>1893.8000489999999</v>
      </c>
      <c r="X633" s="91">
        <v>1879.599976</v>
      </c>
      <c r="Y633" s="91">
        <v>1805.0211179999999</v>
      </c>
      <c r="Z633" s="91">
        <v>10526196</v>
      </c>
      <c r="AA633" s="91">
        <v>-4.4999999999999998E-2</v>
      </c>
      <c r="AB633" s="91"/>
      <c r="AC633" s="90">
        <v>45583</v>
      </c>
      <c r="AD633" s="91">
        <v>7720</v>
      </c>
      <c r="AE633" s="91">
        <v>7768.0498049999997</v>
      </c>
      <c r="AF633" s="91">
        <v>7761.326172</v>
      </c>
      <c r="AG633" s="91">
        <v>571161</v>
      </c>
      <c r="AH633" s="91">
        <v>6.3E-3</v>
      </c>
      <c r="AI633" s="91"/>
      <c r="AJ633" s="91">
        <f>(F633*'Part 3 Portfolio Analysis'!$B$8+M633*'Part 3 Portfolio Analysis'!$C$8+T633*'Part 3 Portfolio Analysis'!$D$8+AA633*'Part 3 Portfolio Analysis'!$E$8+AH633*'Part 3 Portfolio Analysis'!$F$8)/100</f>
        <v>-7.0218026640627602E-3</v>
      </c>
      <c r="AK633" s="91">
        <f>'Part 3 Portfolio Analysis'!$B$107*F633+M633*'Part 3 Portfolio Analysis'!$C$107+T633*'Part 3 Portfolio Analysis'!$D$107+AA633*'Part 3 Portfolio Analysis'!$E$107+AH633*'Part 3 Portfolio Analysis'!$F$107</f>
        <v>-2.3311E-3</v>
      </c>
      <c r="AL633" s="91">
        <f>F633*'Part 3 Portfolio Analysis'!$B$121+M633*'Part 3 Portfolio Analysis'!$C$121+'Part 3 Portfolio Analysis'!$D$121*T633+AA633*'Part 3 Portfolio Analysis'!$E$121+'Part 3 Portfolio Analysis'!$F$121*AH633</f>
        <v>-6.9421599999999993E-3</v>
      </c>
      <c r="AM633" s="91"/>
      <c r="AN633" s="90">
        <v>45583</v>
      </c>
      <c r="AO633" s="91">
        <v>24664.949219999999</v>
      </c>
      <c r="AP633" s="91">
        <v>24854.050780000001</v>
      </c>
      <c r="AQ633" s="91">
        <v>24854.050780000001</v>
      </c>
      <c r="AR633" s="91">
        <v>290900</v>
      </c>
      <c r="AS633" s="91">
        <v>4.1999999999999997E-3</v>
      </c>
    </row>
    <row r="634" spans="1:45" x14ac:dyDescent="0.55000000000000004">
      <c r="A634" s="90">
        <v>45586</v>
      </c>
      <c r="B634" s="91">
        <v>7365</v>
      </c>
      <c r="C634" s="91">
        <v>7409.2001950000003</v>
      </c>
      <c r="D634" s="91">
        <v>7326.3232420000004</v>
      </c>
      <c r="E634" s="91">
        <v>160306</v>
      </c>
      <c r="F634" s="91">
        <v>1.0999999999999999E-2</v>
      </c>
      <c r="H634" s="90">
        <v>45586</v>
      </c>
      <c r="I634" s="91">
        <v>1367.125</v>
      </c>
      <c r="J634" s="91">
        <v>1369.1999510000001</v>
      </c>
      <c r="K634" s="91">
        <v>1363.7532960000001</v>
      </c>
      <c r="L634" s="91">
        <v>14067408</v>
      </c>
      <c r="M634" s="91">
        <v>7.3000000000000001E-3</v>
      </c>
      <c r="O634" s="90">
        <v>45586</v>
      </c>
      <c r="P634" s="91">
        <v>857.5</v>
      </c>
      <c r="Q634" s="91">
        <v>864.34997559999999</v>
      </c>
      <c r="R634" s="91">
        <v>852.82238770000004</v>
      </c>
      <c r="S634" s="91">
        <v>46548354</v>
      </c>
      <c r="T634" s="91">
        <v>2.7900000000000001E-2</v>
      </c>
      <c r="V634" s="90">
        <v>45586</v>
      </c>
      <c r="W634" s="91">
        <v>1891.099976</v>
      </c>
      <c r="X634" s="91">
        <v>1852.75</v>
      </c>
      <c r="Y634" s="91">
        <v>1779.236572</v>
      </c>
      <c r="Z634" s="91">
        <v>4654601</v>
      </c>
      <c r="AA634" s="91">
        <v>-1.43E-2</v>
      </c>
      <c r="AB634" s="91"/>
      <c r="AC634" s="90">
        <v>45586</v>
      </c>
      <c r="AD634" s="91">
        <v>7820</v>
      </c>
      <c r="AE634" s="91">
        <v>7606.5498049999997</v>
      </c>
      <c r="AF634" s="91">
        <v>7599.9658200000003</v>
      </c>
      <c r="AG634" s="91">
        <v>662166</v>
      </c>
      <c r="AH634" s="91">
        <v>-2.0799999999999999E-2</v>
      </c>
      <c r="AI634" s="91"/>
      <c r="AJ634" s="91">
        <f>(F634*'Part 3 Portfolio Analysis'!$B$8+M634*'Part 3 Portfolio Analysis'!$C$8+T634*'Part 3 Portfolio Analysis'!$D$8+AA634*'Part 3 Portfolio Analysis'!$E$8+AH634*'Part 3 Portfolio Analysis'!$F$8)/100</f>
        <v>8.0955384490196836E-3</v>
      </c>
      <c r="AK634" s="91">
        <f>'Part 3 Portfolio Analysis'!$B$107*F634+M634*'Part 3 Portfolio Analysis'!$C$107+T634*'Part 3 Portfolio Analysis'!$D$107+AA634*'Part 3 Portfolio Analysis'!$E$107+AH634*'Part 3 Portfolio Analysis'!$F$107</f>
        <v>1.9178000000000008E-3</v>
      </c>
      <c r="AL634" s="91">
        <f>F634*'Part 3 Portfolio Analysis'!$B$121+M634*'Part 3 Portfolio Analysis'!$C$121+'Part 3 Portfolio Analysis'!$D$121*T634+AA634*'Part 3 Portfolio Analysis'!$E$121+'Part 3 Portfolio Analysis'!$F$121*AH634</f>
        <v>8.1511199999999995E-3</v>
      </c>
      <c r="AM634" s="91"/>
      <c r="AN634" s="90">
        <v>45586</v>
      </c>
      <c r="AO634" s="91">
        <v>24956.150389999999</v>
      </c>
      <c r="AP634" s="91">
        <v>24781.099610000001</v>
      </c>
      <c r="AQ634" s="91">
        <v>24781.099610000001</v>
      </c>
      <c r="AR634" s="91">
        <v>242000</v>
      </c>
      <c r="AS634" s="91">
        <v>-2.8999999999999998E-3</v>
      </c>
    </row>
    <row r="635" spans="1:45" x14ac:dyDescent="0.55000000000000004">
      <c r="A635" s="90">
        <v>45587</v>
      </c>
      <c r="B635" s="91">
        <v>7410</v>
      </c>
      <c r="C635" s="91">
        <v>7126.5</v>
      </c>
      <c r="D635" s="91">
        <v>7046.7851559999999</v>
      </c>
      <c r="E635" s="91">
        <v>121709</v>
      </c>
      <c r="F635" s="91">
        <v>-3.8199999999999998E-2</v>
      </c>
      <c r="H635" s="90">
        <v>45587</v>
      </c>
      <c r="I635" s="91">
        <v>1369.1999510000001</v>
      </c>
      <c r="J635" s="91">
        <v>1343.349976</v>
      </c>
      <c r="K635" s="91">
        <v>1338.0061040000001</v>
      </c>
      <c r="L635" s="91">
        <v>15831960</v>
      </c>
      <c r="M635" s="91">
        <v>-1.89E-2</v>
      </c>
      <c r="O635" s="90">
        <v>45587</v>
      </c>
      <c r="P635" s="91">
        <v>865.02502440000001</v>
      </c>
      <c r="Q635" s="91">
        <v>857.27502440000001</v>
      </c>
      <c r="R635" s="91">
        <v>845.84179689999996</v>
      </c>
      <c r="S635" s="91">
        <v>38875280</v>
      </c>
      <c r="T635" s="91">
        <v>-8.2000000000000007E-3</v>
      </c>
      <c r="V635" s="90">
        <v>45587</v>
      </c>
      <c r="W635" s="91">
        <v>1858.1999510000001</v>
      </c>
      <c r="X635" s="91">
        <v>1851.599976</v>
      </c>
      <c r="Y635" s="91">
        <v>1778.1320800000001</v>
      </c>
      <c r="Z635" s="91">
        <v>4125240</v>
      </c>
      <c r="AA635" s="91">
        <v>-5.9999999999999995E-4</v>
      </c>
      <c r="AB635" s="91"/>
      <c r="AC635" s="90">
        <v>45587</v>
      </c>
      <c r="AD635" s="91">
        <v>7634.9501950000003</v>
      </c>
      <c r="AE635" s="91">
        <v>7497.3500979999999</v>
      </c>
      <c r="AF635" s="91">
        <v>7490.8603519999997</v>
      </c>
      <c r="AG635" s="91">
        <v>610564</v>
      </c>
      <c r="AH635" s="91">
        <v>-1.44E-2</v>
      </c>
      <c r="AI635" s="91"/>
      <c r="AJ635" s="91">
        <f>(F635*'Part 3 Portfolio Analysis'!$B$8+M635*'Part 3 Portfolio Analysis'!$C$8+T635*'Part 3 Portfolio Analysis'!$D$8+AA635*'Part 3 Portfolio Analysis'!$E$8+AH635*'Part 3 Portfolio Analysis'!$F$8)/100</f>
        <v>-1.991603859069423E-2</v>
      </c>
      <c r="AK635" s="91">
        <f>'Part 3 Portfolio Analysis'!$B$107*F635+M635*'Part 3 Portfolio Analysis'!$C$107+T635*'Part 3 Portfolio Analysis'!$D$107+AA635*'Part 3 Portfolio Analysis'!$E$107+AH635*'Part 3 Portfolio Analysis'!$F$107</f>
        <v>-1.7751499999999996E-2</v>
      </c>
      <c r="AL635" s="91">
        <f>F635*'Part 3 Portfolio Analysis'!$B$121+M635*'Part 3 Portfolio Analysis'!$C$121+'Part 3 Portfolio Analysis'!$D$121*T635+AA635*'Part 3 Portfolio Analysis'!$E$121+'Part 3 Portfolio Analysis'!$F$121*AH635</f>
        <v>-1.3798160000000002E-2</v>
      </c>
      <c r="AM635" s="91"/>
      <c r="AN635" s="90">
        <v>45587</v>
      </c>
      <c r="AO635" s="91">
        <v>24798.650389999999</v>
      </c>
      <c r="AP635" s="91">
        <v>24472.099610000001</v>
      </c>
      <c r="AQ635" s="91">
        <v>24472.099610000001</v>
      </c>
      <c r="AR635" s="91">
        <v>279500</v>
      </c>
      <c r="AS635" s="91">
        <v>-1.2500000000000001E-2</v>
      </c>
    </row>
    <row r="636" spans="1:45" x14ac:dyDescent="0.55000000000000004">
      <c r="A636" s="90">
        <v>45588</v>
      </c>
      <c r="B636" s="91">
        <v>7137.9501950000003</v>
      </c>
      <c r="C636" s="91">
        <v>7217.1499020000001</v>
      </c>
      <c r="D636" s="91">
        <v>7136.4208980000003</v>
      </c>
      <c r="E636" s="91">
        <v>170785</v>
      </c>
      <c r="F636" s="91">
        <v>1.2699999999999999E-2</v>
      </c>
      <c r="H636" s="90">
        <v>45588</v>
      </c>
      <c r="I636" s="91">
        <v>1337.5</v>
      </c>
      <c r="J636" s="91">
        <v>1338.525024</v>
      </c>
      <c r="K636" s="91">
        <v>1333.200317</v>
      </c>
      <c r="L636" s="91">
        <v>17214742</v>
      </c>
      <c r="M636" s="91">
        <v>-3.5999999999999999E-3</v>
      </c>
      <c r="O636" s="90">
        <v>45588</v>
      </c>
      <c r="P636" s="91">
        <v>852.52502440000001</v>
      </c>
      <c r="Q636" s="91">
        <v>867.90002440000001</v>
      </c>
      <c r="R636" s="91">
        <v>856.32513429999995</v>
      </c>
      <c r="S636" s="91">
        <v>38036090</v>
      </c>
      <c r="T636" s="91">
        <v>1.24E-2</v>
      </c>
      <c r="V636" s="90">
        <v>45588</v>
      </c>
      <c r="W636" s="91">
        <v>1845.25</v>
      </c>
      <c r="X636" s="91">
        <v>1873.400024</v>
      </c>
      <c r="Y636" s="91">
        <v>1799.0672609999999</v>
      </c>
      <c r="Z636" s="91">
        <v>4311910</v>
      </c>
      <c r="AA636" s="91">
        <v>1.18E-2</v>
      </c>
      <c r="AB636" s="91"/>
      <c r="AC636" s="90">
        <v>45588</v>
      </c>
      <c r="AD636" s="91">
        <v>7468</v>
      </c>
      <c r="AE636" s="91">
        <v>7511.2998049999997</v>
      </c>
      <c r="AF636" s="91">
        <v>7504.7983400000003</v>
      </c>
      <c r="AG636" s="91">
        <v>505590</v>
      </c>
      <c r="AH636" s="91">
        <v>1.9E-3</v>
      </c>
      <c r="AI636" s="91"/>
      <c r="AJ636" s="91">
        <f>(F636*'Part 3 Portfolio Analysis'!$B$8+M636*'Part 3 Portfolio Analysis'!$C$8+T636*'Part 3 Portfolio Analysis'!$D$8+AA636*'Part 3 Portfolio Analysis'!$E$8+AH636*'Part 3 Portfolio Analysis'!$F$8)/100</f>
        <v>6.491134965714759E-3</v>
      </c>
      <c r="AK636" s="91">
        <f>'Part 3 Portfolio Analysis'!$B$107*F636+M636*'Part 3 Portfolio Analysis'!$C$107+T636*'Part 3 Portfolio Analysis'!$D$107+AA636*'Part 3 Portfolio Analysis'!$E$107+AH636*'Part 3 Portfolio Analysis'!$F$107</f>
        <v>4.7399999999999994E-3</v>
      </c>
      <c r="AL636" s="91">
        <f>F636*'Part 3 Portfolio Analysis'!$B$121+M636*'Part 3 Portfolio Analysis'!$C$121+'Part 3 Portfolio Analysis'!$D$121*T636+AA636*'Part 3 Portfolio Analysis'!$E$121+'Part 3 Portfolio Analysis'!$F$121*AH636</f>
        <v>5.3159600000000007E-3</v>
      </c>
      <c r="AM636" s="91"/>
      <c r="AN636" s="90">
        <v>45588</v>
      </c>
      <c r="AO636" s="91">
        <v>24378.150389999999</v>
      </c>
      <c r="AP636" s="91">
        <v>24435.5</v>
      </c>
      <c r="AQ636" s="91">
        <v>24435.5</v>
      </c>
      <c r="AR636" s="91">
        <v>284600</v>
      </c>
      <c r="AS636" s="91">
        <v>-1.5E-3</v>
      </c>
    </row>
    <row r="637" spans="1:45" x14ac:dyDescent="0.55000000000000004">
      <c r="A637" s="90">
        <v>45589</v>
      </c>
      <c r="B637" s="91">
        <v>7247.7001950000003</v>
      </c>
      <c r="C637" s="91">
        <v>6966.3999020000001</v>
      </c>
      <c r="D637" s="91">
        <v>6888.4755859999996</v>
      </c>
      <c r="E637" s="91">
        <v>178050</v>
      </c>
      <c r="F637" s="91">
        <v>-3.4700000000000002E-2</v>
      </c>
      <c r="H637" s="90">
        <v>45589</v>
      </c>
      <c r="I637" s="91">
        <v>1335.275024</v>
      </c>
      <c r="J637" s="91">
        <v>1339.8000489999999</v>
      </c>
      <c r="K637" s="91">
        <v>1334.470337</v>
      </c>
      <c r="L637" s="91">
        <v>22155934</v>
      </c>
      <c r="M637" s="91">
        <v>1E-3</v>
      </c>
      <c r="O637" s="90">
        <v>45589</v>
      </c>
      <c r="P637" s="91">
        <v>869.04998780000005</v>
      </c>
      <c r="Q637" s="91">
        <v>874.82501219999995</v>
      </c>
      <c r="R637" s="91">
        <v>863.15771480000001</v>
      </c>
      <c r="S637" s="91">
        <v>30832258</v>
      </c>
      <c r="T637" s="91">
        <v>8.0000000000000002E-3</v>
      </c>
      <c r="V637" s="90">
        <v>45589</v>
      </c>
      <c r="W637" s="91">
        <v>1861.400024</v>
      </c>
      <c r="X637" s="91">
        <v>1863.349976</v>
      </c>
      <c r="Y637" s="91">
        <v>1789.415894</v>
      </c>
      <c r="Z637" s="91">
        <v>2906475</v>
      </c>
      <c r="AA637" s="91">
        <v>-5.4000000000000003E-3</v>
      </c>
      <c r="AB637" s="91"/>
      <c r="AC637" s="90">
        <v>45589</v>
      </c>
      <c r="AD637" s="91">
        <v>7569.2001950000003</v>
      </c>
      <c r="AE637" s="91">
        <v>7488</v>
      </c>
      <c r="AF637" s="91">
        <v>7481.5185549999997</v>
      </c>
      <c r="AG637" s="91">
        <v>448738</v>
      </c>
      <c r="AH637" s="91">
        <v>-3.0999999999999999E-3</v>
      </c>
      <c r="AI637" s="91"/>
      <c r="AJ637" s="91">
        <f>(F637*'Part 3 Portfolio Analysis'!$B$8+M637*'Part 3 Portfolio Analysis'!$C$8+T637*'Part 3 Portfolio Analysis'!$D$8+AA637*'Part 3 Portfolio Analysis'!$E$8+AH637*'Part 3 Portfolio Analysis'!$F$8)/100</f>
        <v>-9.6123576911843565E-3</v>
      </c>
      <c r="AK637" s="91">
        <f>'Part 3 Portfolio Analysis'!$B$107*F637+M637*'Part 3 Portfolio Analysis'!$C$107+T637*'Part 3 Portfolio Analysis'!$D$107+AA637*'Part 3 Portfolio Analysis'!$E$107+AH637*'Part 3 Portfolio Analysis'!$F$107</f>
        <v>-6.0141999999999999E-3</v>
      </c>
      <c r="AL637" s="91">
        <f>F637*'Part 3 Portfolio Analysis'!$B$121+M637*'Part 3 Portfolio Analysis'!$C$121+'Part 3 Portfolio Analysis'!$D$121*T637+AA637*'Part 3 Portfolio Analysis'!$E$121+'Part 3 Portfolio Analysis'!$F$121*AH637</f>
        <v>-1.4179599999999996E-3</v>
      </c>
      <c r="AM637" s="91"/>
      <c r="AN637" s="90">
        <v>45589</v>
      </c>
      <c r="AO637" s="91">
        <v>24412.699219999999</v>
      </c>
      <c r="AP637" s="91">
        <v>24399.400389999999</v>
      </c>
      <c r="AQ637" s="91">
        <v>24399.400389999999</v>
      </c>
      <c r="AR637" s="91">
        <v>216700</v>
      </c>
      <c r="AS637" s="91">
        <v>-1.5E-3</v>
      </c>
    </row>
    <row r="638" spans="1:45" x14ac:dyDescent="0.55000000000000004">
      <c r="A638" s="90">
        <v>45590</v>
      </c>
      <c r="B638" s="91">
        <v>6990</v>
      </c>
      <c r="C638" s="91">
        <v>6990.6499020000001</v>
      </c>
      <c r="D638" s="91">
        <v>6912.4545900000003</v>
      </c>
      <c r="E638" s="91">
        <v>142390</v>
      </c>
      <c r="F638" s="91">
        <v>3.5000000000000001E-3</v>
      </c>
      <c r="H638" s="90">
        <v>45590</v>
      </c>
      <c r="I638" s="91">
        <v>1343.5</v>
      </c>
      <c r="J638" s="91">
        <v>1327.849976</v>
      </c>
      <c r="K638" s="91">
        <v>1322.567749</v>
      </c>
      <c r="L638" s="91">
        <v>18597496</v>
      </c>
      <c r="M638" s="91">
        <v>-8.8999999999999999E-3</v>
      </c>
      <c r="O638" s="90">
        <v>45590</v>
      </c>
      <c r="P638" s="91">
        <v>877.5</v>
      </c>
      <c r="Q638" s="91">
        <v>871.70001219999995</v>
      </c>
      <c r="R638" s="91">
        <v>860.0744019</v>
      </c>
      <c r="S638" s="91">
        <v>26130478</v>
      </c>
      <c r="T638" s="91">
        <v>-3.5999999999999999E-3</v>
      </c>
      <c r="V638" s="90">
        <v>45590</v>
      </c>
      <c r="W638" s="91">
        <v>1863.4499510000001</v>
      </c>
      <c r="X638" s="91">
        <v>1862.0500489999999</v>
      </c>
      <c r="Y638" s="91">
        <v>1788.1676030000001</v>
      </c>
      <c r="Z638" s="91">
        <v>4689120</v>
      </c>
      <c r="AA638" s="91">
        <v>-6.9999999999999999E-4</v>
      </c>
      <c r="AB638" s="91"/>
      <c r="AC638" s="90">
        <v>45590</v>
      </c>
      <c r="AD638" s="91">
        <v>7450</v>
      </c>
      <c r="AE638" s="91">
        <v>7361.4501950000003</v>
      </c>
      <c r="AF638" s="91">
        <v>7355.078125</v>
      </c>
      <c r="AG638" s="91">
        <v>590268</v>
      </c>
      <c r="AH638" s="91">
        <v>-1.6899999999999998E-2</v>
      </c>
      <c r="AI638" s="91"/>
      <c r="AJ638" s="91">
        <f>(F638*'Part 3 Portfolio Analysis'!$B$8+M638*'Part 3 Portfolio Analysis'!$C$8+T638*'Part 3 Portfolio Analysis'!$D$8+AA638*'Part 3 Portfolio Analysis'!$E$8+AH638*'Part 3 Portfolio Analysis'!$F$8)/100</f>
        <v>-3.0544261890127389E-3</v>
      </c>
      <c r="AK638" s="91">
        <f>'Part 3 Portfolio Analysis'!$B$107*F638+M638*'Part 3 Portfolio Analysis'!$C$107+T638*'Part 3 Portfolio Analysis'!$D$107+AA638*'Part 3 Portfolio Analysis'!$E$107+AH638*'Part 3 Portfolio Analysis'!$F$107</f>
        <v>-7.0424999999999993E-3</v>
      </c>
      <c r="AL638" s="91">
        <f>F638*'Part 3 Portfolio Analysis'!$B$121+M638*'Part 3 Portfolio Analysis'!$C$121+'Part 3 Portfolio Analysis'!$D$121*T638+AA638*'Part 3 Portfolio Analysis'!$E$121+'Part 3 Portfolio Analysis'!$F$121*AH638</f>
        <v>-5.0087200000000004E-3</v>
      </c>
      <c r="AM638" s="91"/>
      <c r="AN638" s="90">
        <v>45590</v>
      </c>
      <c r="AO638" s="91">
        <v>24418.050780000001</v>
      </c>
      <c r="AP638" s="91">
        <v>24180.800780000001</v>
      </c>
      <c r="AQ638" s="91">
        <v>24180.800780000001</v>
      </c>
      <c r="AR638" s="91">
        <v>372600</v>
      </c>
      <c r="AS638" s="91">
        <v>-8.9999999999999993E-3</v>
      </c>
    </row>
    <row r="639" spans="1:45" x14ac:dyDescent="0.55000000000000004">
      <c r="A639" s="90">
        <v>45593</v>
      </c>
      <c r="B639" s="91">
        <v>7068</v>
      </c>
      <c r="C639" s="91">
        <v>7060</v>
      </c>
      <c r="D639" s="91">
        <v>6981.0288090000004</v>
      </c>
      <c r="E639" s="91">
        <v>97684</v>
      </c>
      <c r="F639" s="91">
        <v>9.9000000000000008E-3</v>
      </c>
      <c r="H639" s="90">
        <v>45593</v>
      </c>
      <c r="I639" s="91">
        <v>1337</v>
      </c>
      <c r="J639" s="91">
        <v>1334.349976</v>
      </c>
      <c r="K639" s="91">
        <v>1329.04187</v>
      </c>
      <c r="L639" s="91">
        <v>10824350</v>
      </c>
      <c r="M639" s="91">
        <v>4.8999999999999998E-3</v>
      </c>
      <c r="O639" s="90">
        <v>45593</v>
      </c>
      <c r="P639" s="91">
        <v>871</v>
      </c>
      <c r="Q639" s="91">
        <v>867.09997559999999</v>
      </c>
      <c r="R639" s="91">
        <v>855.53570560000003</v>
      </c>
      <c r="S639" s="91">
        <v>22012142</v>
      </c>
      <c r="T639" s="91">
        <v>-5.3E-3</v>
      </c>
      <c r="V639" s="90">
        <v>45593</v>
      </c>
      <c r="W639" s="91">
        <v>1859.6999510000001</v>
      </c>
      <c r="X639" s="91">
        <v>1865.349976</v>
      </c>
      <c r="Y639" s="91">
        <v>1791.3366699999999</v>
      </c>
      <c r="Z639" s="91">
        <v>7018940</v>
      </c>
      <c r="AA639" s="91">
        <v>1.8E-3</v>
      </c>
      <c r="AB639" s="91"/>
      <c r="AC639" s="90">
        <v>45593</v>
      </c>
      <c r="AD639" s="91">
        <v>7362.25</v>
      </c>
      <c r="AE639" s="91">
        <v>7307.8500979999999</v>
      </c>
      <c r="AF639" s="91">
        <v>7301.5244140000004</v>
      </c>
      <c r="AG639" s="91">
        <v>419026</v>
      </c>
      <c r="AH639" s="91">
        <v>-7.3000000000000001E-3</v>
      </c>
      <c r="AI639" s="91"/>
      <c r="AJ639" s="91">
        <f>(F639*'Part 3 Portfolio Analysis'!$B$8+M639*'Part 3 Portfolio Analysis'!$C$8+T639*'Part 3 Portfolio Analysis'!$D$8+AA639*'Part 3 Portfolio Analysis'!$E$8+AH639*'Part 3 Portfolio Analysis'!$F$8)/100</f>
        <v>4.0803785078981749E-3</v>
      </c>
      <c r="AK639" s="91">
        <f>'Part 3 Portfolio Analysis'!$B$107*F639+M639*'Part 3 Portfolio Analysis'!$C$107+T639*'Part 3 Portfolio Analysis'!$D$107+AA639*'Part 3 Portfolio Analysis'!$E$107+AH639*'Part 3 Portfolio Analysis'!$F$107</f>
        <v>8.3460000000000023E-4</v>
      </c>
      <c r="AL639" s="91">
        <f>F639*'Part 3 Portfolio Analysis'!$B$121+M639*'Part 3 Portfolio Analysis'!$C$121+'Part 3 Portfolio Analysis'!$D$121*T639+AA639*'Part 3 Portfolio Analysis'!$E$121+'Part 3 Portfolio Analysis'!$F$121*AH639</f>
        <v>1.5969599999999999E-3</v>
      </c>
      <c r="AM639" s="91"/>
      <c r="AN639" s="90">
        <v>45593</v>
      </c>
      <c r="AO639" s="91">
        <v>24251.099610000001</v>
      </c>
      <c r="AP639" s="91">
        <v>24339.150389999999</v>
      </c>
      <c r="AQ639" s="91">
        <v>24339.150389999999</v>
      </c>
      <c r="AR639" s="91">
        <v>278600</v>
      </c>
      <c r="AS639" s="91">
        <v>6.4999999999999997E-3</v>
      </c>
    </row>
    <row r="640" spans="1:45" x14ac:dyDescent="0.55000000000000004">
      <c r="A640" s="90">
        <v>45594</v>
      </c>
      <c r="B640" s="91">
        <v>7080</v>
      </c>
      <c r="C640" s="91">
        <v>7038.9501950000003</v>
      </c>
      <c r="D640" s="91">
        <v>6960.2143550000001</v>
      </c>
      <c r="E640" s="91">
        <v>73770</v>
      </c>
      <c r="F640" s="91">
        <v>-3.0000000000000001E-3</v>
      </c>
      <c r="H640" s="90">
        <v>45594</v>
      </c>
      <c r="I640" s="91">
        <v>1328.099976</v>
      </c>
      <c r="J640" s="91">
        <v>1340</v>
      </c>
      <c r="K640" s="91">
        <v>1334.6694339999999</v>
      </c>
      <c r="L640" s="91">
        <v>12008361</v>
      </c>
      <c r="M640" s="91">
        <v>4.1999999999999997E-3</v>
      </c>
      <c r="O640" s="90">
        <v>45594</v>
      </c>
      <c r="P640" s="91">
        <v>863.07501219999995</v>
      </c>
      <c r="Q640" s="91">
        <v>875.92498780000005</v>
      </c>
      <c r="R640" s="91">
        <v>864.24304199999995</v>
      </c>
      <c r="S640" s="91">
        <v>35794926</v>
      </c>
      <c r="T640" s="91">
        <v>1.0200000000000001E-2</v>
      </c>
      <c r="V640" s="90">
        <v>45594</v>
      </c>
      <c r="W640" s="91">
        <v>1846</v>
      </c>
      <c r="X640" s="91">
        <v>1839.3000489999999</v>
      </c>
      <c r="Y640" s="91">
        <v>1786.431763</v>
      </c>
      <c r="Z640" s="91">
        <v>4621252</v>
      </c>
      <c r="AA640" s="91">
        <v>-2.7000000000000001E-3</v>
      </c>
      <c r="AB640" s="91"/>
      <c r="AC640" s="90">
        <v>45594</v>
      </c>
      <c r="AD640" s="91">
        <v>7313.2998049999997</v>
      </c>
      <c r="AE640" s="91">
        <v>7410.2998049999997</v>
      </c>
      <c r="AF640" s="91">
        <v>7403.8857420000004</v>
      </c>
      <c r="AG640" s="91">
        <v>359440</v>
      </c>
      <c r="AH640" s="91">
        <v>1.4E-2</v>
      </c>
      <c r="AI640" s="91"/>
      <c r="AJ640" s="91">
        <f>(F640*'Part 3 Portfolio Analysis'!$B$8+M640*'Part 3 Portfolio Analysis'!$C$8+T640*'Part 3 Portfolio Analysis'!$D$8+AA640*'Part 3 Portfolio Analysis'!$E$8+AH640*'Part 3 Portfolio Analysis'!$F$8)/100</f>
        <v>2.0262158190169385E-3</v>
      </c>
      <c r="AK640" s="91">
        <f>'Part 3 Portfolio Analysis'!$B$107*F640+M640*'Part 3 Portfolio Analysis'!$C$107+T640*'Part 3 Portfolio Analysis'!$D$107+AA640*'Part 3 Portfolio Analysis'!$E$107+AH640*'Part 3 Portfolio Analysis'!$F$107</f>
        <v>5.6135999999999998E-3</v>
      </c>
      <c r="AL640" s="91">
        <f>F640*'Part 3 Portfolio Analysis'!$B$121+M640*'Part 3 Portfolio Analysis'!$C$121+'Part 3 Portfolio Analysis'!$D$121*T640+AA640*'Part 3 Portfolio Analysis'!$E$121+'Part 3 Portfolio Analysis'!$F$121*AH640</f>
        <v>4.1169199999999996E-3</v>
      </c>
      <c r="AM640" s="91"/>
      <c r="AN640" s="90">
        <v>45594</v>
      </c>
      <c r="AO640" s="91">
        <v>24328.849610000001</v>
      </c>
      <c r="AP640" s="91">
        <v>24466.849610000001</v>
      </c>
      <c r="AQ640" s="91">
        <v>24466.849610000001</v>
      </c>
      <c r="AR640" s="91">
        <v>332000</v>
      </c>
      <c r="AS640" s="91">
        <v>5.1999999999999998E-3</v>
      </c>
    </row>
    <row r="641" spans="1:45" x14ac:dyDescent="0.55000000000000004">
      <c r="A641" s="90">
        <v>45595</v>
      </c>
      <c r="B641" s="91">
        <v>7030</v>
      </c>
      <c r="C641" s="91">
        <v>7101</v>
      </c>
      <c r="D641" s="91">
        <v>7021.5703130000002</v>
      </c>
      <c r="E641" s="91">
        <v>73886</v>
      </c>
      <c r="F641" s="91">
        <v>8.8000000000000005E-3</v>
      </c>
      <c r="H641" s="90">
        <v>45595</v>
      </c>
      <c r="I641" s="91">
        <v>1335</v>
      </c>
      <c r="J641" s="91">
        <v>1343.900024</v>
      </c>
      <c r="K641" s="91">
        <v>1338.5539550000001</v>
      </c>
      <c r="L641" s="91">
        <v>11984423</v>
      </c>
      <c r="M641" s="91">
        <v>2.8999999999999998E-3</v>
      </c>
      <c r="O641" s="90">
        <v>45595</v>
      </c>
      <c r="P641" s="91">
        <v>871</v>
      </c>
      <c r="Q641" s="91">
        <v>867.29998780000005</v>
      </c>
      <c r="R641" s="91">
        <v>855.73309329999995</v>
      </c>
      <c r="S641" s="91">
        <v>32715724</v>
      </c>
      <c r="T641" s="91">
        <v>-9.7999999999999997E-3</v>
      </c>
      <c r="V641" s="90">
        <v>45595</v>
      </c>
      <c r="W641" s="91">
        <v>1832</v>
      </c>
      <c r="X641" s="91">
        <v>1802.099976</v>
      </c>
      <c r="Y641" s="91">
        <v>1750.301025</v>
      </c>
      <c r="Z641" s="91">
        <v>5919715</v>
      </c>
      <c r="AA641" s="91">
        <v>-2.0199999999999999E-2</v>
      </c>
      <c r="AB641" s="91"/>
      <c r="AC641" s="90">
        <v>45595</v>
      </c>
      <c r="AD641" s="91">
        <v>7420</v>
      </c>
      <c r="AE641" s="91">
        <v>7252.4501950000003</v>
      </c>
      <c r="AF641" s="91">
        <v>7246.1728519999997</v>
      </c>
      <c r="AG641" s="91">
        <v>481764</v>
      </c>
      <c r="AH641" s="91">
        <v>-2.1299999999999999E-2</v>
      </c>
      <c r="AI641" s="91"/>
      <c r="AJ641" s="91">
        <f>(F641*'Part 3 Portfolio Analysis'!$B$8+M641*'Part 3 Portfolio Analysis'!$C$8+T641*'Part 3 Portfolio Analysis'!$D$8+AA641*'Part 3 Portfolio Analysis'!$E$8+AH641*'Part 3 Portfolio Analysis'!$F$8)/100</f>
        <v>-1.4026078027076544E-3</v>
      </c>
      <c r="AK641" s="91">
        <f>'Part 3 Portfolio Analysis'!$B$107*F641+M641*'Part 3 Portfolio Analysis'!$C$107+T641*'Part 3 Portfolio Analysis'!$D$107+AA641*'Part 3 Portfolio Analysis'!$E$107+AH641*'Part 3 Portfolio Analysis'!$F$107</f>
        <v>-6.4149000000000003E-3</v>
      </c>
      <c r="AL641" s="91">
        <f>F641*'Part 3 Portfolio Analysis'!$B$121+M641*'Part 3 Portfolio Analysis'!$C$121+'Part 3 Portfolio Analysis'!$D$121*T641+AA641*'Part 3 Portfolio Analysis'!$E$121+'Part 3 Portfolio Analysis'!$F$121*AH641</f>
        <v>-5.3234600000000003E-3</v>
      </c>
      <c r="AM641" s="91"/>
      <c r="AN641" s="90">
        <v>45595</v>
      </c>
      <c r="AO641" s="91">
        <v>24371.449219999999</v>
      </c>
      <c r="AP641" s="91">
        <v>24340.849610000001</v>
      </c>
      <c r="AQ641" s="91">
        <v>24340.849610000001</v>
      </c>
      <c r="AR641" s="91">
        <v>285200</v>
      </c>
      <c r="AS641" s="91">
        <v>-5.1000000000000004E-3</v>
      </c>
    </row>
    <row r="642" spans="1:45" x14ac:dyDescent="0.55000000000000004">
      <c r="A642" s="90">
        <v>45596</v>
      </c>
      <c r="B642" s="91">
        <v>7100</v>
      </c>
      <c r="C642" s="91">
        <v>7021.8500979999999</v>
      </c>
      <c r="D642" s="91">
        <v>6943.3056640000004</v>
      </c>
      <c r="E642" s="91">
        <v>52624</v>
      </c>
      <c r="F642" s="91">
        <v>-1.11E-2</v>
      </c>
      <c r="H642" s="90">
        <v>45596</v>
      </c>
      <c r="I642" s="91">
        <v>1340</v>
      </c>
      <c r="J642" s="91">
        <v>1332.0500489999999</v>
      </c>
      <c r="K642" s="91">
        <v>1326.7510990000001</v>
      </c>
      <c r="L642" s="91">
        <v>9331650</v>
      </c>
      <c r="M642" s="91">
        <v>-8.8000000000000005E-3</v>
      </c>
      <c r="O642" s="90">
        <v>45596</v>
      </c>
      <c r="P642" s="91">
        <v>864</v>
      </c>
      <c r="Q642" s="91">
        <v>867.84997559999999</v>
      </c>
      <c r="R642" s="91">
        <v>856.27569579999999</v>
      </c>
      <c r="S642" s="91">
        <v>22895912</v>
      </c>
      <c r="T642" s="91">
        <v>5.9999999999999995E-4</v>
      </c>
      <c r="V642" s="90">
        <v>45596</v>
      </c>
      <c r="W642" s="91">
        <v>1787.900024</v>
      </c>
      <c r="X642" s="91">
        <v>1757.25</v>
      </c>
      <c r="Y642" s="91">
        <v>1706.7402340000001</v>
      </c>
      <c r="Z642" s="91">
        <v>7395236</v>
      </c>
      <c r="AA642" s="91">
        <v>-2.4899999999999999E-2</v>
      </c>
      <c r="AB642" s="91"/>
      <c r="AC642" s="90">
        <v>45596</v>
      </c>
      <c r="AD642" s="91">
        <v>7259</v>
      </c>
      <c r="AE642" s="91">
        <v>7128.3500979999999</v>
      </c>
      <c r="AF642" s="91">
        <v>7122.1801759999998</v>
      </c>
      <c r="AG642" s="91">
        <v>742508</v>
      </c>
      <c r="AH642" s="91">
        <v>-1.7100000000000001E-2</v>
      </c>
      <c r="AI642" s="91"/>
      <c r="AJ642" s="91">
        <f>(F642*'Part 3 Portfolio Analysis'!$B$8+M642*'Part 3 Portfolio Analysis'!$C$8+T642*'Part 3 Portfolio Analysis'!$D$8+AA642*'Part 3 Portfolio Analysis'!$E$8+AH642*'Part 3 Portfolio Analysis'!$F$8)/100</f>
        <v>-1.0594111944690256E-2</v>
      </c>
      <c r="AK642" s="91">
        <f>'Part 3 Portfolio Analysis'!$B$107*F642+M642*'Part 3 Portfolio Analysis'!$C$107+T642*'Part 3 Portfolio Analysis'!$D$107+AA642*'Part 3 Portfolio Analysis'!$E$107+AH642*'Part 3 Portfolio Analysis'!$F$107</f>
        <v>-1.1458599999999999E-2</v>
      </c>
      <c r="AL642" s="91">
        <f>F642*'Part 3 Portfolio Analysis'!$B$121+M642*'Part 3 Portfolio Analysis'!$C$121+'Part 3 Portfolio Analysis'!$D$121*T642+AA642*'Part 3 Portfolio Analysis'!$E$121+'Part 3 Portfolio Analysis'!$F$121*AH642</f>
        <v>-9.869720000000002E-3</v>
      </c>
      <c r="AM642" s="91"/>
      <c r="AN642" s="90">
        <v>45596</v>
      </c>
      <c r="AO642" s="91">
        <v>24349.849610000001</v>
      </c>
      <c r="AP642" s="91">
        <v>24205.349610000001</v>
      </c>
      <c r="AQ642" s="91">
        <v>24205.349610000001</v>
      </c>
      <c r="AR642" s="91">
        <v>287000</v>
      </c>
      <c r="AS642" s="91">
        <v>-5.5999999999999999E-3</v>
      </c>
    </row>
    <row r="643" spans="1:45" x14ac:dyDescent="0.55000000000000004">
      <c r="A643" s="90">
        <v>45597</v>
      </c>
      <c r="B643" s="91">
        <v>7069</v>
      </c>
      <c r="C643" s="91">
        <v>7107.5</v>
      </c>
      <c r="D643" s="91">
        <v>7027.9975590000004</v>
      </c>
      <c r="E643" s="91">
        <v>19781</v>
      </c>
      <c r="F643" s="91">
        <v>1.2200000000000001E-2</v>
      </c>
      <c r="H643" s="90">
        <v>45597</v>
      </c>
      <c r="I643" s="91">
        <v>1333.0500489999999</v>
      </c>
      <c r="J643" s="91">
        <v>1338.650024</v>
      </c>
      <c r="K643" s="91">
        <v>1333.3248289999999</v>
      </c>
      <c r="L643" s="91">
        <v>2127335</v>
      </c>
      <c r="M643" s="91">
        <v>5.0000000000000001E-3</v>
      </c>
      <c r="O643" s="90">
        <v>45597</v>
      </c>
      <c r="P643" s="91">
        <v>866.5</v>
      </c>
      <c r="Q643" s="91">
        <v>868.65002440000001</v>
      </c>
      <c r="R643" s="91">
        <v>857.06512450000002</v>
      </c>
      <c r="S643" s="91">
        <v>1759692</v>
      </c>
      <c r="T643" s="91">
        <v>8.9999999999999998E-4</v>
      </c>
      <c r="V643" s="90">
        <v>45597</v>
      </c>
      <c r="W643" s="91">
        <v>1764.5</v>
      </c>
      <c r="X643" s="91">
        <v>1760.849976</v>
      </c>
      <c r="Y643" s="91">
        <v>1710.236572</v>
      </c>
      <c r="Z643" s="91">
        <v>371966</v>
      </c>
      <c r="AA643" s="91">
        <v>2E-3</v>
      </c>
      <c r="AB643" s="91"/>
      <c r="AC643" s="90">
        <v>45597</v>
      </c>
      <c r="AD643" s="91">
        <v>7153.9501950000003</v>
      </c>
      <c r="AE643" s="91">
        <v>7149</v>
      </c>
      <c r="AF643" s="91">
        <v>7142.8120120000003</v>
      </c>
      <c r="AG643" s="91">
        <v>76497</v>
      </c>
      <c r="AH643" s="91">
        <v>2.8999999999999998E-3</v>
      </c>
      <c r="AI643" s="91"/>
      <c r="AJ643" s="91">
        <f>(F643*'Part 3 Portfolio Analysis'!$B$8+M643*'Part 3 Portfolio Analysis'!$C$8+T643*'Part 3 Portfolio Analysis'!$D$8+AA643*'Part 3 Portfolio Analysis'!$E$8+AH643*'Part 3 Portfolio Analysis'!$F$8)/100</f>
        <v>5.9727426652542819E-3</v>
      </c>
      <c r="AK643" s="91">
        <f>'Part 3 Portfolio Analysis'!$B$107*F643+M643*'Part 3 Portfolio Analysis'!$C$107+T643*'Part 3 Portfolio Analysis'!$D$107+AA643*'Part 3 Portfolio Analysis'!$E$107+AH643*'Part 3 Portfolio Analysis'!$F$107</f>
        <v>4.8313000000000002E-3</v>
      </c>
      <c r="AL643" s="91">
        <f>F643*'Part 3 Portfolio Analysis'!$B$121+M643*'Part 3 Portfolio Analysis'!$C$121+'Part 3 Portfolio Analysis'!$D$121*T643+AA643*'Part 3 Portfolio Analysis'!$E$121+'Part 3 Portfolio Analysis'!$F$121*AH643</f>
        <v>3.82162E-3</v>
      </c>
      <c r="AM643" s="91"/>
      <c r="AN643" s="90">
        <v>45597</v>
      </c>
      <c r="AO643" s="91">
        <v>24302.75</v>
      </c>
      <c r="AP643" s="91">
        <v>24304.349610000001</v>
      </c>
      <c r="AQ643" s="91">
        <v>24304.349610000001</v>
      </c>
      <c r="AR643" s="91">
        <v>38800</v>
      </c>
      <c r="AS643" s="91">
        <v>4.1000000000000003E-3</v>
      </c>
    </row>
    <row r="644" spans="1:45" x14ac:dyDescent="0.55000000000000004">
      <c r="A644" s="90">
        <v>45600</v>
      </c>
      <c r="B644" s="91">
        <v>7146.9501950000003</v>
      </c>
      <c r="C644" s="91">
        <v>7035.1000979999999</v>
      </c>
      <c r="D644" s="91">
        <v>6956.4077150000003</v>
      </c>
      <c r="E644" s="91">
        <v>62065</v>
      </c>
      <c r="F644" s="91">
        <v>-1.0200000000000001E-2</v>
      </c>
      <c r="H644" s="90">
        <v>45600</v>
      </c>
      <c r="I644" s="91">
        <v>1337.849976</v>
      </c>
      <c r="J644" s="91">
        <v>1302.150024</v>
      </c>
      <c r="K644" s="91">
        <v>1296.9700929999999</v>
      </c>
      <c r="L644" s="91">
        <v>19796890</v>
      </c>
      <c r="M644" s="91">
        <v>-2.7300000000000001E-2</v>
      </c>
      <c r="O644" s="90">
        <v>45600</v>
      </c>
      <c r="P644" s="91">
        <v>872.5</v>
      </c>
      <c r="Q644" s="91">
        <v>857.04998780000005</v>
      </c>
      <c r="R644" s="91">
        <v>845.61975099999995</v>
      </c>
      <c r="S644" s="91">
        <v>28089248</v>
      </c>
      <c r="T644" s="91">
        <v>-1.34E-2</v>
      </c>
      <c r="V644" s="90">
        <v>45600</v>
      </c>
      <c r="W644" s="91">
        <v>1724.5</v>
      </c>
      <c r="X644" s="91">
        <v>1763.650024</v>
      </c>
      <c r="Y644" s="91">
        <v>1712.956177</v>
      </c>
      <c r="Z644" s="91">
        <v>7336722</v>
      </c>
      <c r="AA644" s="91">
        <v>1.6000000000000001E-3</v>
      </c>
      <c r="AB644" s="91"/>
      <c r="AC644" s="90">
        <v>45600</v>
      </c>
      <c r="AD644" s="91">
        <v>7109</v>
      </c>
      <c r="AE644" s="91">
        <v>7063.75</v>
      </c>
      <c r="AF644" s="91">
        <v>7057.6357420000004</v>
      </c>
      <c r="AG644" s="91">
        <v>681708</v>
      </c>
      <c r="AH644" s="91">
        <v>-1.1900000000000001E-2</v>
      </c>
      <c r="AI644" s="91"/>
      <c r="AJ644" s="91">
        <f>(F644*'Part 3 Portfolio Analysis'!$B$8+M644*'Part 3 Portfolio Analysis'!$C$8+T644*'Part 3 Portfolio Analysis'!$D$8+AA644*'Part 3 Portfolio Analysis'!$E$8+AH644*'Part 3 Portfolio Analysis'!$F$8)/100</f>
        <v>-1.5049809903268978E-2</v>
      </c>
      <c r="AK644" s="91">
        <f>'Part 3 Portfolio Analysis'!$B$107*F644+M644*'Part 3 Portfolio Analysis'!$C$107+T644*'Part 3 Portfolio Analysis'!$D$107+AA644*'Part 3 Portfolio Analysis'!$E$107+AH644*'Part 3 Portfolio Analysis'!$F$107</f>
        <v>-1.52967E-2</v>
      </c>
      <c r="AL644" s="91">
        <f>F644*'Part 3 Portfolio Analysis'!$B$121+M644*'Part 3 Portfolio Analysis'!$C$121+'Part 3 Portfolio Analysis'!$D$121*T644+AA644*'Part 3 Portfolio Analysis'!$E$121+'Part 3 Portfolio Analysis'!$F$121*AH644</f>
        <v>-1.5930099999999999E-2</v>
      </c>
      <c r="AM644" s="91"/>
      <c r="AN644" s="90">
        <v>45600</v>
      </c>
      <c r="AO644" s="91">
        <v>24315.75</v>
      </c>
      <c r="AP644" s="91">
        <v>23995.349610000001</v>
      </c>
      <c r="AQ644" s="91">
        <v>23995.349610000001</v>
      </c>
      <c r="AR644" s="91">
        <v>285500</v>
      </c>
      <c r="AS644" s="91">
        <v>-1.2699999999999999E-2</v>
      </c>
    </row>
    <row r="645" spans="1:45" x14ac:dyDescent="0.55000000000000004">
      <c r="A645" s="90">
        <v>45601</v>
      </c>
      <c r="B645" s="91">
        <v>7040</v>
      </c>
      <c r="C645" s="91">
        <v>7031.6000979999999</v>
      </c>
      <c r="D645" s="91">
        <v>6952.9467770000001</v>
      </c>
      <c r="E645" s="91">
        <v>48917</v>
      </c>
      <c r="F645" s="91">
        <v>-5.0000000000000001E-4</v>
      </c>
      <c r="H645" s="90">
        <v>45601</v>
      </c>
      <c r="I645" s="91">
        <v>1293</v>
      </c>
      <c r="J645" s="91">
        <v>1305.3000489999999</v>
      </c>
      <c r="K645" s="91">
        <v>1300.107544</v>
      </c>
      <c r="L645" s="91">
        <v>16267479</v>
      </c>
      <c r="M645" s="91">
        <v>2.3999999999999998E-3</v>
      </c>
      <c r="O645" s="90">
        <v>45601</v>
      </c>
      <c r="P645" s="91">
        <v>851.5</v>
      </c>
      <c r="Q645" s="91">
        <v>878.92498780000005</v>
      </c>
      <c r="R645" s="91">
        <v>867.2030029</v>
      </c>
      <c r="S645" s="91">
        <v>44232406</v>
      </c>
      <c r="T645" s="91">
        <v>2.5499999999999998E-2</v>
      </c>
      <c r="V645" s="90">
        <v>45601</v>
      </c>
      <c r="W645" s="91">
        <v>1760</v>
      </c>
      <c r="X645" s="91">
        <v>1754.1999510000001</v>
      </c>
      <c r="Y645" s="91">
        <v>1703.7777100000001</v>
      </c>
      <c r="Z645" s="91">
        <v>3160880</v>
      </c>
      <c r="AA645" s="91">
        <v>-5.4000000000000003E-3</v>
      </c>
      <c r="AB645" s="91"/>
      <c r="AC645" s="90">
        <v>45601</v>
      </c>
      <c r="AD645" s="91">
        <v>7006</v>
      </c>
      <c r="AE645" s="91">
        <v>6968.3500979999999</v>
      </c>
      <c r="AF645" s="91">
        <v>6962.3183589999999</v>
      </c>
      <c r="AG645" s="91">
        <v>1026360</v>
      </c>
      <c r="AH645" s="91">
        <v>-1.35E-2</v>
      </c>
      <c r="AI645" s="91"/>
      <c r="AJ645" s="91">
        <f>(F645*'Part 3 Portfolio Analysis'!$B$8+M645*'Part 3 Portfolio Analysis'!$C$8+T645*'Part 3 Portfolio Analysis'!$D$8+AA645*'Part 3 Portfolio Analysis'!$E$8+AH645*'Part 3 Portfolio Analysis'!$F$8)/100</f>
        <v>3.972691345646668E-3</v>
      </c>
      <c r="AK645" s="91">
        <f>'Part 3 Portfolio Analysis'!$B$107*F645+M645*'Part 3 Portfolio Analysis'!$C$107+T645*'Part 3 Portfolio Analysis'!$D$107+AA645*'Part 3 Portfolio Analysis'!$E$107+AH645*'Part 3 Portfolio Analysis'!$F$107</f>
        <v>6.7169999999999947E-4</v>
      </c>
      <c r="AL645" s="91">
        <f>F645*'Part 3 Portfolio Analysis'!$B$121+M645*'Part 3 Portfolio Analysis'!$C$121+'Part 3 Portfolio Analysis'!$D$121*T645+AA645*'Part 3 Portfolio Analysis'!$E$121+'Part 3 Portfolio Analysis'!$F$121*AH645</f>
        <v>6.4682399999999992E-3</v>
      </c>
      <c r="AM645" s="91"/>
      <c r="AN645" s="90">
        <v>45601</v>
      </c>
      <c r="AO645" s="91">
        <v>23916.5</v>
      </c>
      <c r="AP645" s="91">
        <v>24213.300780000001</v>
      </c>
      <c r="AQ645" s="91">
        <v>24213.300780000001</v>
      </c>
      <c r="AR645" s="91">
        <v>289500</v>
      </c>
      <c r="AS645" s="91">
        <v>9.1000000000000004E-3</v>
      </c>
    </row>
    <row r="646" spans="1:45" x14ac:dyDescent="0.55000000000000004">
      <c r="A646" s="90">
        <v>45602</v>
      </c>
      <c r="B646" s="91">
        <v>7030</v>
      </c>
      <c r="C646" s="91">
        <v>7232.3500979999999</v>
      </c>
      <c r="D646" s="91">
        <v>7151.451172</v>
      </c>
      <c r="E646" s="91">
        <v>106190</v>
      </c>
      <c r="F646" s="91">
        <v>2.8500000000000001E-2</v>
      </c>
      <c r="H646" s="90">
        <v>45602</v>
      </c>
      <c r="I646" s="91">
        <v>1310</v>
      </c>
      <c r="J646" s="91">
        <v>1325.349976</v>
      </c>
      <c r="K646" s="91">
        <v>1320.077759</v>
      </c>
      <c r="L646" s="91">
        <v>21625209</v>
      </c>
      <c r="M646" s="91">
        <v>1.54E-2</v>
      </c>
      <c r="O646" s="90">
        <v>45602</v>
      </c>
      <c r="P646" s="91">
        <v>885.75</v>
      </c>
      <c r="Q646" s="91">
        <v>877.625</v>
      </c>
      <c r="R646" s="91">
        <v>865.92041019999999</v>
      </c>
      <c r="S646" s="91">
        <v>27787910</v>
      </c>
      <c r="T646" s="91">
        <v>-1.5E-3</v>
      </c>
      <c r="V646" s="90">
        <v>45602</v>
      </c>
      <c r="W646" s="91">
        <v>1764</v>
      </c>
      <c r="X646" s="91">
        <v>1823.6999510000001</v>
      </c>
      <c r="Y646" s="91">
        <v>1771.2801509999999</v>
      </c>
      <c r="Z646" s="91">
        <v>10421494</v>
      </c>
      <c r="AA646" s="91">
        <v>3.9600000000000003E-2</v>
      </c>
      <c r="AB646" s="91"/>
      <c r="AC646" s="90">
        <v>45602</v>
      </c>
      <c r="AD646" s="91">
        <v>7024</v>
      </c>
      <c r="AE646" s="91">
        <v>6955.4501950000003</v>
      </c>
      <c r="AF646" s="91">
        <v>6949.4296880000002</v>
      </c>
      <c r="AG646" s="91">
        <v>1142746</v>
      </c>
      <c r="AH646" s="91">
        <v>-1.9E-3</v>
      </c>
      <c r="AI646" s="91"/>
      <c r="AJ646" s="91">
        <f>(F646*'Part 3 Portfolio Analysis'!$B$8+M646*'Part 3 Portfolio Analysis'!$C$8+T646*'Part 3 Portfolio Analysis'!$D$8+AA646*'Part 3 Portfolio Analysis'!$E$8+AH646*'Part 3 Portfolio Analysis'!$F$8)/100</f>
        <v>2.0236374529386206E-2</v>
      </c>
      <c r="AK646" s="91">
        <f>'Part 3 Portfolio Analysis'!$B$107*F646+M646*'Part 3 Portfolio Analysis'!$C$107+T646*'Part 3 Portfolio Analysis'!$D$107+AA646*'Part 3 Portfolio Analysis'!$E$107+AH646*'Part 3 Portfolio Analysis'!$F$107</f>
        <v>1.3198900000000001E-2</v>
      </c>
      <c r="AL646" s="91">
        <f>F646*'Part 3 Portfolio Analysis'!$B$121+M646*'Part 3 Portfolio Analysis'!$C$121+'Part 3 Portfolio Analysis'!$D$121*T646+AA646*'Part 3 Portfolio Analysis'!$E$121+'Part 3 Portfolio Analysis'!$F$121*AH646</f>
        <v>1.6266760000000002E-2</v>
      </c>
      <c r="AM646" s="91"/>
      <c r="AN646" s="90">
        <v>45602</v>
      </c>
      <c r="AO646" s="91">
        <v>24308.75</v>
      </c>
      <c r="AP646" s="91">
        <v>24484.050780000001</v>
      </c>
      <c r="AQ646" s="91">
        <v>24484.050780000001</v>
      </c>
      <c r="AR646" s="91">
        <v>351100</v>
      </c>
      <c r="AS646" s="91">
        <v>1.12E-2</v>
      </c>
    </row>
    <row r="647" spans="1:45" x14ac:dyDescent="0.55000000000000004">
      <c r="A647" s="90">
        <v>45603</v>
      </c>
      <c r="B647" s="91">
        <v>7349.25</v>
      </c>
      <c r="C647" s="91">
        <v>7164.9501950000003</v>
      </c>
      <c r="D647" s="91">
        <v>7084.8051759999998</v>
      </c>
      <c r="E647" s="91">
        <v>121246</v>
      </c>
      <c r="F647" s="91">
        <v>-9.2999999999999992E-3</v>
      </c>
      <c r="H647" s="90">
        <v>45603</v>
      </c>
      <c r="I647" s="91">
        <v>1324</v>
      </c>
      <c r="J647" s="91">
        <v>1305.650024</v>
      </c>
      <c r="K647" s="91">
        <v>1300.456177</v>
      </c>
      <c r="L647" s="91">
        <v>9611974</v>
      </c>
      <c r="M647" s="91">
        <v>-1.49E-2</v>
      </c>
      <c r="O647" s="90">
        <v>45603</v>
      </c>
      <c r="P647" s="91">
        <v>872.15002440000001</v>
      </c>
      <c r="Q647" s="91">
        <v>873.27502440000001</v>
      </c>
      <c r="R647" s="91">
        <v>861.62841800000001</v>
      </c>
      <c r="S647" s="91">
        <v>18895456</v>
      </c>
      <c r="T647" s="91">
        <v>-5.0000000000000001E-3</v>
      </c>
      <c r="V647" s="90">
        <v>45603</v>
      </c>
      <c r="W647" s="91">
        <v>1812.9499510000001</v>
      </c>
      <c r="X647" s="91">
        <v>1803.0500489999999</v>
      </c>
      <c r="Y647" s="91">
        <v>1751.223755</v>
      </c>
      <c r="Z647" s="91">
        <v>4550965</v>
      </c>
      <c r="AA647" s="91">
        <v>-1.1299999999999999E-2</v>
      </c>
      <c r="AB647" s="91"/>
      <c r="AC647" s="90">
        <v>45603</v>
      </c>
      <c r="AD647" s="91">
        <v>6999</v>
      </c>
      <c r="AE647" s="91">
        <v>6505.5</v>
      </c>
      <c r="AF647" s="91">
        <v>6499.8691410000001</v>
      </c>
      <c r="AG647" s="91">
        <v>4427899</v>
      </c>
      <c r="AH647" s="91">
        <v>-6.4699999999999994E-2</v>
      </c>
      <c r="AI647" s="91"/>
      <c r="AJ647" s="91">
        <f>(F647*'Part 3 Portfolio Analysis'!$B$8+M647*'Part 3 Portfolio Analysis'!$C$8+T647*'Part 3 Portfolio Analysis'!$D$8+AA647*'Part 3 Portfolio Analysis'!$E$8+AH647*'Part 3 Portfolio Analysis'!$F$8)/100</f>
        <v>-1.1475918534954379E-2</v>
      </c>
      <c r="AK647" s="91">
        <f>'Part 3 Portfolio Analysis'!$B$107*F647+M647*'Part 3 Portfolio Analysis'!$C$107+T647*'Part 3 Portfolio Analysis'!$D$107+AA647*'Part 3 Portfolio Analysis'!$E$107+AH647*'Part 3 Portfolio Analysis'!$F$107</f>
        <v>-2.4547099999999999E-2</v>
      </c>
      <c r="AL647" s="91">
        <f>F647*'Part 3 Portfolio Analysis'!$B$121+M647*'Part 3 Portfolio Analysis'!$C$121+'Part 3 Portfolio Analysis'!$D$121*T647+AA647*'Part 3 Portfolio Analysis'!$E$121+'Part 3 Portfolio Analysis'!$F$121*AH647</f>
        <v>-1.2331639999999998E-2</v>
      </c>
      <c r="AM647" s="91"/>
      <c r="AN647" s="90">
        <v>45603</v>
      </c>
      <c r="AO647" s="91">
        <v>24489.599610000001</v>
      </c>
      <c r="AP647" s="91">
        <v>24199.349610000001</v>
      </c>
      <c r="AQ647" s="91">
        <v>24199.349610000001</v>
      </c>
      <c r="AR647" s="91">
        <v>322200</v>
      </c>
      <c r="AS647" s="91">
        <v>-1.1599999999999999E-2</v>
      </c>
    </row>
    <row r="648" spans="1:45" x14ac:dyDescent="0.55000000000000004">
      <c r="A648" s="90">
        <v>45604</v>
      </c>
      <c r="B648" s="91">
        <v>7159.3500979999999</v>
      </c>
      <c r="C648" s="91">
        <v>6940.7998049999997</v>
      </c>
      <c r="D648" s="91">
        <v>6863.1621089999999</v>
      </c>
      <c r="E648" s="91">
        <v>126103</v>
      </c>
      <c r="F648" s="91">
        <v>-3.1300000000000001E-2</v>
      </c>
      <c r="H648" s="90">
        <v>45604</v>
      </c>
      <c r="I648" s="91">
        <v>1297.650024</v>
      </c>
      <c r="J648" s="91">
        <v>1283.75</v>
      </c>
      <c r="K648" s="91">
        <v>1278.643188</v>
      </c>
      <c r="L648" s="91">
        <v>19814406</v>
      </c>
      <c r="M648" s="91">
        <v>-1.6799999999999999E-2</v>
      </c>
      <c r="O648" s="90">
        <v>45604</v>
      </c>
      <c r="P648" s="91">
        <v>876</v>
      </c>
      <c r="Q648" s="91">
        <v>877.22497559999999</v>
      </c>
      <c r="R648" s="91">
        <v>865.52569579999999</v>
      </c>
      <c r="S648" s="91">
        <v>19902986</v>
      </c>
      <c r="T648" s="91">
        <v>4.4999999999999997E-3</v>
      </c>
      <c r="V648" s="90">
        <v>45604</v>
      </c>
      <c r="W648" s="91">
        <v>1818</v>
      </c>
      <c r="X648" s="91">
        <v>1829.9499510000001</v>
      </c>
      <c r="Y648" s="91">
        <v>1777.3504640000001</v>
      </c>
      <c r="Z648" s="91">
        <v>4210960</v>
      </c>
      <c r="AA648" s="91">
        <v>1.49E-2</v>
      </c>
      <c r="AB648" s="91"/>
      <c r="AC648" s="90">
        <v>45604</v>
      </c>
      <c r="AD648" s="91">
        <v>6550</v>
      </c>
      <c r="AE648" s="91">
        <v>6298.9501950000003</v>
      </c>
      <c r="AF648" s="91">
        <v>6293.498047</v>
      </c>
      <c r="AG648" s="91">
        <v>2523322</v>
      </c>
      <c r="AH648" s="91">
        <v>-3.1800000000000002E-2</v>
      </c>
      <c r="AI648" s="91"/>
      <c r="AJ648" s="91">
        <f>(F648*'Part 3 Portfolio Analysis'!$B$8+M648*'Part 3 Portfolio Analysis'!$C$8+T648*'Part 3 Portfolio Analysis'!$D$8+AA648*'Part 3 Portfolio Analysis'!$E$8+AH648*'Part 3 Portfolio Analysis'!$F$8)/100</f>
        <v>-1.2641899267215637E-2</v>
      </c>
      <c r="AK648" s="91">
        <f>'Part 3 Portfolio Analysis'!$B$107*F648+M648*'Part 3 Portfolio Analysis'!$C$107+T648*'Part 3 Portfolio Analysis'!$D$107+AA648*'Part 3 Portfolio Analysis'!$E$107+AH648*'Part 3 Portfolio Analysis'!$F$107</f>
        <v>-1.6718500000000001E-2</v>
      </c>
      <c r="AL648" s="91">
        <f>F648*'Part 3 Portfolio Analysis'!$B$121+M648*'Part 3 Portfolio Analysis'!$C$121+'Part 3 Portfolio Analysis'!$D$121*T648+AA648*'Part 3 Portfolio Analysis'!$E$121+'Part 3 Portfolio Analysis'!$F$121*AH648</f>
        <v>-6.2513000000000004E-3</v>
      </c>
      <c r="AM648" s="91"/>
      <c r="AN648" s="90">
        <v>45604</v>
      </c>
      <c r="AO648" s="91">
        <v>24207.699219999999</v>
      </c>
      <c r="AP648" s="91">
        <v>24148.199219999999</v>
      </c>
      <c r="AQ648" s="91">
        <v>24148.199219999999</v>
      </c>
      <c r="AR648" s="91">
        <v>298700</v>
      </c>
      <c r="AS648" s="91">
        <v>-2.0999999999999999E-3</v>
      </c>
    </row>
    <row r="649" spans="1:45" x14ac:dyDescent="0.55000000000000004">
      <c r="A649" s="90">
        <v>45607</v>
      </c>
      <c r="B649" s="91">
        <v>6940.7998049999997</v>
      </c>
      <c r="C649" s="91">
        <v>6524.8999020000001</v>
      </c>
      <c r="D649" s="91">
        <v>6451.9140630000002</v>
      </c>
      <c r="E649" s="91">
        <v>498013</v>
      </c>
      <c r="F649" s="91">
        <v>-5.9900000000000002E-2</v>
      </c>
      <c r="H649" s="90">
        <v>45607</v>
      </c>
      <c r="I649" s="91">
        <v>1278.9499510000001</v>
      </c>
      <c r="J649" s="91">
        <v>1272.6999510000001</v>
      </c>
      <c r="K649" s="91">
        <v>1267.6370850000001</v>
      </c>
      <c r="L649" s="91">
        <v>9056552</v>
      </c>
      <c r="M649" s="91">
        <v>-8.6E-3</v>
      </c>
      <c r="O649" s="90">
        <v>45607</v>
      </c>
      <c r="P649" s="91">
        <v>877.27502440000001</v>
      </c>
      <c r="Q649" s="91">
        <v>883.15002440000001</v>
      </c>
      <c r="R649" s="91">
        <v>871.37170409999999</v>
      </c>
      <c r="S649" s="91">
        <v>24565362</v>
      </c>
      <c r="T649" s="91">
        <v>6.7999999999999996E-3</v>
      </c>
      <c r="V649" s="90">
        <v>45607</v>
      </c>
      <c r="W649" s="91">
        <v>1829</v>
      </c>
      <c r="X649" s="91">
        <v>1860.099976</v>
      </c>
      <c r="Y649" s="91">
        <v>1806.633789</v>
      </c>
      <c r="Z649" s="91">
        <v>3804234</v>
      </c>
      <c r="AA649" s="91">
        <v>1.6500000000000001E-2</v>
      </c>
      <c r="AB649" s="91"/>
      <c r="AC649" s="90">
        <v>45607</v>
      </c>
      <c r="AD649" s="91">
        <v>6230.3500979999999</v>
      </c>
      <c r="AE649" s="91">
        <v>6480.7001950000003</v>
      </c>
      <c r="AF649" s="91">
        <v>6475.0908200000003</v>
      </c>
      <c r="AG649" s="91">
        <v>2339199</v>
      </c>
      <c r="AH649" s="91">
        <v>2.8899999999999999E-2</v>
      </c>
      <c r="AI649" s="91"/>
      <c r="AJ649" s="91">
        <f>(F649*'Part 3 Portfolio Analysis'!$B$8+M649*'Part 3 Portfolio Analysis'!$C$8+T649*'Part 3 Portfolio Analysis'!$D$8+AA649*'Part 3 Portfolio Analysis'!$E$8+AH649*'Part 3 Portfolio Analysis'!$F$8)/100</f>
        <v>-1.7015141928837237E-2</v>
      </c>
      <c r="AK649" s="91">
        <f>'Part 3 Portfolio Analysis'!$B$107*F649+M649*'Part 3 Portfolio Analysis'!$C$107+T649*'Part 3 Portfolio Analysis'!$D$107+AA649*'Part 3 Portfolio Analysis'!$E$107+AH649*'Part 3 Portfolio Analysis'!$F$107</f>
        <v>-3.4869999999999996E-3</v>
      </c>
      <c r="AL649" s="91">
        <f>F649*'Part 3 Portfolio Analysis'!$B$121+M649*'Part 3 Portfolio Analysis'!$C$121+'Part 3 Portfolio Analysis'!$D$121*T649+AA649*'Part 3 Portfolio Analysis'!$E$121+'Part 3 Portfolio Analysis'!$F$121*AH649</f>
        <v>-2.625559999999999E-3</v>
      </c>
      <c r="AM649" s="91"/>
      <c r="AN649" s="90">
        <v>45607</v>
      </c>
      <c r="AO649" s="91">
        <v>24087.25</v>
      </c>
      <c r="AP649" s="91">
        <v>24141.300780000001</v>
      </c>
      <c r="AQ649" s="91">
        <v>24141.300780000001</v>
      </c>
      <c r="AR649" s="91">
        <v>273400</v>
      </c>
      <c r="AS649" s="91">
        <v>-2.9999999999999997E-4</v>
      </c>
    </row>
    <row r="650" spans="1:45" x14ac:dyDescent="0.55000000000000004">
      <c r="A650" s="90">
        <v>45608</v>
      </c>
      <c r="B650" s="91">
        <v>6560</v>
      </c>
      <c r="C650" s="91">
        <v>6635.5</v>
      </c>
      <c r="D650" s="91">
        <v>6561.2773440000001</v>
      </c>
      <c r="E650" s="91">
        <v>387058</v>
      </c>
      <c r="F650" s="91">
        <v>1.7000000000000001E-2</v>
      </c>
      <c r="H650" s="90">
        <v>45608</v>
      </c>
      <c r="I650" s="91">
        <v>1275.5500489999999</v>
      </c>
      <c r="J650" s="91">
        <v>1274.25</v>
      </c>
      <c r="K650" s="91">
        <v>1269.18103</v>
      </c>
      <c r="L650" s="91">
        <v>10671091</v>
      </c>
      <c r="M650" s="91">
        <v>1.1999999999999999E-3</v>
      </c>
      <c r="O650" s="90">
        <v>45608</v>
      </c>
      <c r="P650" s="91">
        <v>886</v>
      </c>
      <c r="Q650" s="91">
        <v>859.09997559999999</v>
      </c>
      <c r="R650" s="91">
        <v>847.64239499999996</v>
      </c>
      <c r="S650" s="91">
        <v>31395406</v>
      </c>
      <c r="T650" s="91">
        <v>-2.7199999999999998E-2</v>
      </c>
      <c r="V650" s="90">
        <v>45608</v>
      </c>
      <c r="W650" s="91">
        <v>1871.099976</v>
      </c>
      <c r="X650" s="91">
        <v>1868.8000489999999</v>
      </c>
      <c r="Y650" s="91">
        <v>1815.08374</v>
      </c>
      <c r="Z650" s="91">
        <v>5012450</v>
      </c>
      <c r="AA650" s="91">
        <v>4.7000000000000002E-3</v>
      </c>
      <c r="AB650" s="91"/>
      <c r="AC650" s="90">
        <v>45608</v>
      </c>
      <c r="AD650" s="91">
        <v>6520</v>
      </c>
      <c r="AE650" s="91">
        <v>6528.5498049999997</v>
      </c>
      <c r="AF650" s="91">
        <v>6522.8989259999998</v>
      </c>
      <c r="AG650" s="91">
        <v>1258152</v>
      </c>
      <c r="AH650" s="91">
        <v>7.4000000000000003E-3</v>
      </c>
      <c r="AI650" s="91"/>
      <c r="AJ650" s="91">
        <f>(F650*'Part 3 Portfolio Analysis'!$B$8+M650*'Part 3 Portfolio Analysis'!$C$8+T650*'Part 3 Portfolio Analysis'!$D$8+AA650*'Part 3 Portfolio Analysis'!$E$8+AH650*'Part 3 Portfolio Analysis'!$F$8)/100</f>
        <v>1.8263831025127988E-3</v>
      </c>
      <c r="AK650" s="91">
        <f>'Part 3 Portfolio Analysis'!$B$107*F650+M650*'Part 3 Portfolio Analysis'!$C$107+T650*'Part 3 Portfolio Analysis'!$D$107+AA650*'Part 3 Portfolio Analysis'!$E$107+AH650*'Part 3 Portfolio Analysis'!$F$107</f>
        <v>1.5544000000000001E-3</v>
      </c>
      <c r="AL650" s="91">
        <f>F650*'Part 3 Portfolio Analysis'!$B$121+M650*'Part 3 Portfolio Analysis'!$C$121+'Part 3 Portfolio Analysis'!$D$121*T650+AA650*'Part 3 Portfolio Analysis'!$E$121+'Part 3 Portfolio Analysis'!$F$121*AH650</f>
        <v>-4.3636000000000005E-3</v>
      </c>
      <c r="AM650" s="91"/>
      <c r="AN650" s="90">
        <v>45608</v>
      </c>
      <c r="AO650" s="91">
        <v>24225.800780000001</v>
      </c>
      <c r="AP650" s="91">
        <v>23883.449219999999</v>
      </c>
      <c r="AQ650" s="91">
        <v>23883.449219999999</v>
      </c>
      <c r="AR650" s="91">
        <v>255800</v>
      </c>
      <c r="AS650" s="91">
        <v>-1.0699999999999999E-2</v>
      </c>
    </row>
    <row r="651" spans="1:45" x14ac:dyDescent="0.55000000000000004">
      <c r="A651" s="90">
        <v>45609</v>
      </c>
      <c r="B651" s="91">
        <v>6630</v>
      </c>
      <c r="C651" s="91">
        <v>6417.2998049999997</v>
      </c>
      <c r="D651" s="91">
        <v>6345.517578</v>
      </c>
      <c r="E651" s="91">
        <v>328149</v>
      </c>
      <c r="F651" s="91">
        <v>-3.2899999999999999E-2</v>
      </c>
      <c r="H651" s="90">
        <v>45609</v>
      </c>
      <c r="I651" s="91">
        <v>1270.25</v>
      </c>
      <c r="J651" s="91">
        <v>1252.0500489999999</v>
      </c>
      <c r="K651" s="91">
        <v>1247.069336</v>
      </c>
      <c r="L651" s="91">
        <v>14633633</v>
      </c>
      <c r="M651" s="91">
        <v>-1.7399999999999999E-2</v>
      </c>
      <c r="O651" s="90">
        <v>45609</v>
      </c>
      <c r="P651" s="91">
        <v>858.375</v>
      </c>
      <c r="Q651" s="91">
        <v>840.67498780000005</v>
      </c>
      <c r="R651" s="91">
        <v>829.46313480000003</v>
      </c>
      <c r="S651" s="91">
        <v>35728500</v>
      </c>
      <c r="T651" s="91">
        <v>-2.1399999999999999E-2</v>
      </c>
      <c r="V651" s="90">
        <v>45609</v>
      </c>
      <c r="W651" s="91">
        <v>1861.099976</v>
      </c>
      <c r="X651" s="91">
        <v>1868.400024</v>
      </c>
      <c r="Y651" s="91">
        <v>1814.6953129999999</v>
      </c>
      <c r="Z651" s="91">
        <v>4257495</v>
      </c>
      <c r="AA651" s="91">
        <v>-2.0000000000000001E-4</v>
      </c>
      <c r="AB651" s="91"/>
      <c r="AC651" s="90">
        <v>45609</v>
      </c>
      <c r="AD651" s="91">
        <v>6499</v>
      </c>
      <c r="AE651" s="91">
        <v>6498.25</v>
      </c>
      <c r="AF651" s="91">
        <v>6492.6254879999997</v>
      </c>
      <c r="AG651" s="91">
        <v>758642</v>
      </c>
      <c r="AH651" s="91">
        <v>-4.5999999999999999E-3</v>
      </c>
      <c r="AI651" s="91"/>
      <c r="AJ651" s="91">
        <f>(F651*'Part 3 Portfolio Analysis'!$B$8+M651*'Part 3 Portfolio Analysis'!$C$8+T651*'Part 3 Portfolio Analysis'!$D$8+AA651*'Part 3 Portfolio Analysis'!$E$8+AH651*'Part 3 Portfolio Analysis'!$F$8)/100</f>
        <v>-1.9824091360468005E-2</v>
      </c>
      <c r="AK651" s="91">
        <f>'Part 3 Portfolio Analysis'!$B$107*F651+M651*'Part 3 Portfolio Analysis'!$C$107+T651*'Part 3 Portfolio Analysis'!$D$107+AA651*'Part 3 Portfolio Analysis'!$E$107+AH651*'Part 3 Portfolio Analysis'!$F$107</f>
        <v>-1.5864399999999997E-2</v>
      </c>
      <c r="AL651" s="91">
        <f>F651*'Part 3 Portfolio Analysis'!$B$121+M651*'Part 3 Portfolio Analysis'!$C$121+'Part 3 Portfolio Analysis'!$D$121*T651+AA651*'Part 3 Portfolio Analysis'!$E$121+'Part 3 Portfolio Analysis'!$F$121*AH651</f>
        <v>-1.5986739999999996E-2</v>
      </c>
      <c r="AM651" s="91"/>
      <c r="AN651" s="90">
        <v>45609</v>
      </c>
      <c r="AO651" s="91">
        <v>23822.449219999999</v>
      </c>
      <c r="AP651" s="91">
        <v>23559.050780000001</v>
      </c>
      <c r="AQ651" s="91">
        <v>23559.050780000001</v>
      </c>
      <c r="AR651" s="91">
        <v>304600</v>
      </c>
      <c r="AS651" s="91">
        <v>-1.3599999999999999E-2</v>
      </c>
    </row>
    <row r="652" spans="1:45" x14ac:dyDescent="0.55000000000000004">
      <c r="A652" s="90">
        <v>45610</v>
      </c>
      <c r="B652" s="91">
        <v>6445.2998049999997</v>
      </c>
      <c r="C652" s="91">
        <v>6374.5498049999997</v>
      </c>
      <c r="D652" s="91">
        <v>6303.2460940000001</v>
      </c>
      <c r="E652" s="91">
        <v>241446</v>
      </c>
      <c r="F652" s="91">
        <v>-6.7000000000000002E-3</v>
      </c>
      <c r="H652" s="90">
        <v>45610</v>
      </c>
      <c r="I652" s="91">
        <v>1253.599976</v>
      </c>
      <c r="J652" s="91">
        <v>1267.599976</v>
      </c>
      <c r="K652" s="91">
        <v>1262.557495</v>
      </c>
      <c r="L652" s="91">
        <v>12612633</v>
      </c>
      <c r="M652" s="91">
        <v>1.24E-2</v>
      </c>
      <c r="O652" s="90">
        <v>45610</v>
      </c>
      <c r="P652" s="91">
        <v>836.54998780000005</v>
      </c>
      <c r="Q652" s="91">
        <v>846.375</v>
      </c>
      <c r="R652" s="91">
        <v>835.08715819999998</v>
      </c>
      <c r="S652" s="91">
        <v>27146470</v>
      </c>
      <c r="T652" s="91">
        <v>6.7999999999999996E-3</v>
      </c>
      <c r="V652" s="90">
        <v>45610</v>
      </c>
      <c r="W652" s="91">
        <v>1865.599976</v>
      </c>
      <c r="X652" s="91">
        <v>1864.5500489999999</v>
      </c>
      <c r="Y652" s="91">
        <v>1810.955933</v>
      </c>
      <c r="Z652" s="91">
        <v>4311431</v>
      </c>
      <c r="AA652" s="91">
        <v>-2.0999999999999999E-3</v>
      </c>
      <c r="AB652" s="91"/>
      <c r="AC652" s="90">
        <v>45610</v>
      </c>
      <c r="AD652" s="91">
        <v>6496</v>
      </c>
      <c r="AE652" s="91">
        <v>6463</v>
      </c>
      <c r="AF652" s="91">
        <v>6457.4057620000003</v>
      </c>
      <c r="AG652" s="91">
        <v>620489</v>
      </c>
      <c r="AH652" s="91">
        <v>-5.4000000000000003E-3</v>
      </c>
      <c r="AI652" s="91"/>
      <c r="AJ652" s="91">
        <f>(F652*'Part 3 Portfolio Analysis'!$B$8+M652*'Part 3 Portfolio Analysis'!$C$8+T652*'Part 3 Portfolio Analysis'!$D$8+AA652*'Part 3 Portfolio Analysis'!$E$8+AH652*'Part 3 Portfolio Analysis'!$F$8)/100</f>
        <v>3.2283420910001054E-3</v>
      </c>
      <c r="AK652" s="91">
        <f>'Part 3 Portfolio Analysis'!$B$107*F652+M652*'Part 3 Portfolio Analysis'!$C$107+T652*'Part 3 Portfolio Analysis'!$D$107+AA652*'Part 3 Portfolio Analysis'!$E$107+AH652*'Part 3 Portfolio Analysis'!$F$107</f>
        <v>2.1584E-3</v>
      </c>
      <c r="AL652" s="91">
        <f>F652*'Part 3 Portfolio Analysis'!$B$121+M652*'Part 3 Portfolio Analysis'!$C$121+'Part 3 Portfolio Analysis'!$D$121*T652+AA652*'Part 3 Portfolio Analysis'!$E$121+'Part 3 Portfolio Analysis'!$F$121*AH652</f>
        <v>5.9404199999999983E-3</v>
      </c>
      <c r="AM652" s="91"/>
      <c r="AN652" s="90">
        <v>45610</v>
      </c>
      <c r="AO652" s="91">
        <v>23542.150389999999</v>
      </c>
      <c r="AP652" s="91">
        <v>23532.699219999999</v>
      </c>
      <c r="AQ652" s="91">
        <v>23532.699219999999</v>
      </c>
      <c r="AR652" s="91">
        <v>257700</v>
      </c>
      <c r="AS652" s="91">
        <v>-1.1000000000000001E-3</v>
      </c>
    </row>
    <row r="653" spans="1:45" x14ac:dyDescent="0.55000000000000004">
      <c r="A653" s="90">
        <v>45614</v>
      </c>
      <c r="B653" s="91">
        <v>6405.0498049999997</v>
      </c>
      <c r="C653" s="91">
        <v>6456</v>
      </c>
      <c r="D653" s="91">
        <v>6383.7851559999999</v>
      </c>
      <c r="E653" s="91">
        <v>251620</v>
      </c>
      <c r="F653" s="91">
        <v>1.2800000000000001E-2</v>
      </c>
      <c r="H653" s="90">
        <v>45614</v>
      </c>
      <c r="I653" s="91">
        <v>1267.599976</v>
      </c>
      <c r="J653" s="91">
        <v>1260.75</v>
      </c>
      <c r="K653" s="91">
        <v>1255.734741</v>
      </c>
      <c r="L653" s="91">
        <v>13620611</v>
      </c>
      <c r="M653" s="91">
        <v>-5.4000000000000003E-3</v>
      </c>
      <c r="O653" s="90">
        <v>45614</v>
      </c>
      <c r="P653" s="91">
        <v>850</v>
      </c>
      <c r="Q653" s="91">
        <v>852.54998780000005</v>
      </c>
      <c r="R653" s="91">
        <v>841.17974849999996</v>
      </c>
      <c r="S653" s="91">
        <v>27081968</v>
      </c>
      <c r="T653" s="91">
        <v>7.3000000000000001E-3</v>
      </c>
      <c r="V653" s="90">
        <v>45614</v>
      </c>
      <c r="W653" s="91">
        <v>1849.1999510000001</v>
      </c>
      <c r="X653" s="91">
        <v>1811.4499510000001</v>
      </c>
      <c r="Y653" s="91">
        <v>1759.382202</v>
      </c>
      <c r="Z653" s="91">
        <v>4839244</v>
      </c>
      <c r="AA653" s="91">
        <v>-2.8500000000000001E-2</v>
      </c>
      <c r="AB653" s="91"/>
      <c r="AC653" s="90">
        <v>45614</v>
      </c>
      <c r="AD653" s="91">
        <v>6411.6000979999999</v>
      </c>
      <c r="AE653" s="91">
        <v>6301.6499020000001</v>
      </c>
      <c r="AF653" s="91">
        <v>6296.1953130000002</v>
      </c>
      <c r="AG653" s="91">
        <v>828906</v>
      </c>
      <c r="AH653" s="91">
        <v>-2.5000000000000001E-2</v>
      </c>
      <c r="AI653" s="91"/>
      <c r="AJ653" s="91">
        <f>(F653*'Part 3 Portfolio Analysis'!$B$8+M653*'Part 3 Portfolio Analysis'!$C$8+T653*'Part 3 Portfolio Analysis'!$D$8+AA653*'Part 3 Portfolio Analysis'!$E$8+AH653*'Part 3 Portfolio Analysis'!$F$8)/100</f>
        <v>-1.730606666405114E-3</v>
      </c>
      <c r="AK653" s="91">
        <f>'Part 3 Portfolio Analysis'!$B$107*F653+M653*'Part 3 Portfolio Analysis'!$C$107+T653*'Part 3 Portfolio Analysis'!$D$107+AA653*'Part 3 Portfolio Analysis'!$E$107+AH653*'Part 3 Portfolio Analysis'!$F$107</f>
        <v>-7.4047000000000002E-3</v>
      </c>
      <c r="AL653" s="91">
        <f>F653*'Part 3 Portfolio Analysis'!$B$121+M653*'Part 3 Portfolio Analysis'!$C$121+'Part 3 Portfolio Analysis'!$D$121*T653+AA653*'Part 3 Portfolio Analysis'!$E$121+'Part 3 Portfolio Analysis'!$F$121*AH653</f>
        <v>-5.5830799999999998E-3</v>
      </c>
      <c r="AM653" s="91"/>
      <c r="AN653" s="90">
        <v>45614</v>
      </c>
      <c r="AO653" s="91">
        <v>23605.300780000001</v>
      </c>
      <c r="AP653" s="91">
        <v>23453.800780000001</v>
      </c>
      <c r="AQ653" s="91">
        <v>23453.800780000001</v>
      </c>
      <c r="AR653" s="91">
        <v>263300</v>
      </c>
      <c r="AS653" s="91">
        <v>-3.3999999999999998E-3</v>
      </c>
    </row>
    <row r="654" spans="1:45" x14ac:dyDescent="0.55000000000000004">
      <c r="A654" s="90">
        <v>45615</v>
      </c>
      <c r="B654" s="91">
        <v>6492.2001950000003</v>
      </c>
      <c r="C654" s="91">
        <v>6549</v>
      </c>
      <c r="D654" s="91">
        <v>6475.7446289999998</v>
      </c>
      <c r="E654" s="91">
        <v>118483</v>
      </c>
      <c r="F654" s="91">
        <v>1.44E-2</v>
      </c>
      <c r="H654" s="90">
        <v>45615</v>
      </c>
      <c r="I654" s="91">
        <v>1260.75</v>
      </c>
      <c r="J654" s="91">
        <v>1241.650024</v>
      </c>
      <c r="K654" s="91">
        <v>1236.710693</v>
      </c>
      <c r="L654" s="91">
        <v>14183746</v>
      </c>
      <c r="M654" s="91">
        <v>-1.5100000000000001E-2</v>
      </c>
      <c r="O654" s="90">
        <v>45615</v>
      </c>
      <c r="P654" s="91">
        <v>857</v>
      </c>
      <c r="Q654" s="91">
        <v>871.125</v>
      </c>
      <c r="R654" s="91">
        <v>859.50708010000005</v>
      </c>
      <c r="S654" s="91">
        <v>50981272</v>
      </c>
      <c r="T654" s="91">
        <v>2.18E-2</v>
      </c>
      <c r="V654" s="90">
        <v>45615</v>
      </c>
      <c r="W654" s="91">
        <v>1825.5</v>
      </c>
      <c r="X654" s="91">
        <v>1824.75</v>
      </c>
      <c r="Y654" s="91">
        <v>1772.299927</v>
      </c>
      <c r="Z654" s="91">
        <v>4669769</v>
      </c>
      <c r="AA654" s="91">
        <v>7.3000000000000001E-3</v>
      </c>
      <c r="AB654" s="91"/>
      <c r="AC654" s="90">
        <v>45615</v>
      </c>
      <c r="AD654" s="91">
        <v>6359.8500979999999</v>
      </c>
      <c r="AE654" s="91">
        <v>6423.8500979999999</v>
      </c>
      <c r="AF654" s="91">
        <v>6418.2895509999998</v>
      </c>
      <c r="AG654" s="91">
        <v>674042</v>
      </c>
      <c r="AH654" s="91">
        <v>1.9400000000000001E-2</v>
      </c>
      <c r="AI654" s="91"/>
      <c r="AJ654" s="91">
        <f>(F654*'Part 3 Portfolio Analysis'!$B$8+M654*'Part 3 Portfolio Analysis'!$C$8+T654*'Part 3 Portfolio Analysis'!$D$8+AA654*'Part 3 Portfolio Analysis'!$E$8+AH654*'Part 3 Portfolio Analysis'!$F$8)/100</f>
        <v>3.8474897013500492E-3</v>
      </c>
      <c r="AK654" s="91">
        <f>'Part 3 Portfolio Analysis'!$B$107*F654+M654*'Part 3 Portfolio Analysis'!$C$107+T654*'Part 3 Portfolio Analysis'!$D$107+AA654*'Part 3 Portfolio Analysis'!$E$107+AH654*'Part 3 Portfolio Analysis'!$F$107</f>
        <v>6.8634999999999998E-3</v>
      </c>
      <c r="AL654" s="91">
        <f>F654*'Part 3 Portfolio Analysis'!$B$121+M654*'Part 3 Portfolio Analysis'!$C$121+'Part 3 Portfolio Analysis'!$D$121*T654+AA654*'Part 3 Portfolio Analysis'!$E$121+'Part 3 Portfolio Analysis'!$F$121*AH654</f>
        <v>2.7456E-3</v>
      </c>
      <c r="AM654" s="91"/>
      <c r="AN654" s="90">
        <v>45615</v>
      </c>
      <c r="AO654" s="91">
        <v>23529.550780000001</v>
      </c>
      <c r="AP654" s="91">
        <v>23518.5</v>
      </c>
      <c r="AQ654" s="91">
        <v>23518.5</v>
      </c>
      <c r="AR654" s="91">
        <v>297500</v>
      </c>
      <c r="AS654" s="91">
        <v>2.8E-3</v>
      </c>
    </row>
    <row r="655" spans="1:45" x14ac:dyDescent="0.55000000000000004">
      <c r="A655" s="90">
        <v>45617</v>
      </c>
      <c r="B655" s="91">
        <v>6555</v>
      </c>
      <c r="C655" s="91">
        <v>6496.1000979999999</v>
      </c>
      <c r="D655" s="91">
        <v>6423.4365230000003</v>
      </c>
      <c r="E655" s="91">
        <v>112613</v>
      </c>
      <c r="F655" s="91">
        <v>-8.0999999999999996E-3</v>
      </c>
      <c r="H655" s="90">
        <v>45617</v>
      </c>
      <c r="I655" s="91">
        <v>1241.650024</v>
      </c>
      <c r="J655" s="91">
        <v>1223</v>
      </c>
      <c r="K655" s="91">
        <v>1218.134888</v>
      </c>
      <c r="L655" s="91">
        <v>19433843</v>
      </c>
      <c r="M655" s="91">
        <v>-1.4999999999999999E-2</v>
      </c>
      <c r="O655" s="90">
        <v>45617</v>
      </c>
      <c r="P655" s="91">
        <v>874.70001219999995</v>
      </c>
      <c r="Q655" s="91">
        <v>870.59997559999999</v>
      </c>
      <c r="R655" s="91">
        <v>858.98901369999999</v>
      </c>
      <c r="S655" s="91">
        <v>35716512</v>
      </c>
      <c r="T655" s="91">
        <v>-5.9999999999999995E-4</v>
      </c>
      <c r="V655" s="90">
        <v>45617</v>
      </c>
      <c r="W655" s="91">
        <v>1842</v>
      </c>
      <c r="X655" s="91">
        <v>1834.0500489999999</v>
      </c>
      <c r="Y655" s="91">
        <v>1781.3326420000001</v>
      </c>
      <c r="Z655" s="91">
        <v>5436504</v>
      </c>
      <c r="AA655" s="91">
        <v>5.1000000000000004E-3</v>
      </c>
      <c r="AB655" s="91"/>
      <c r="AC655" s="90">
        <v>45617</v>
      </c>
      <c r="AD655" s="91">
        <v>6400</v>
      </c>
      <c r="AE655" s="91">
        <v>6460.4501950000003</v>
      </c>
      <c r="AF655" s="91">
        <v>6454.8583980000003</v>
      </c>
      <c r="AG655" s="91">
        <v>1511541</v>
      </c>
      <c r="AH655" s="91">
        <v>5.7000000000000002E-3</v>
      </c>
      <c r="AI655" s="91"/>
      <c r="AJ655" s="91">
        <f>(F655*'Part 3 Portfolio Analysis'!$B$8+M655*'Part 3 Portfolio Analysis'!$C$8+T655*'Part 3 Portfolio Analysis'!$D$8+AA655*'Part 3 Portfolio Analysis'!$E$8+AH655*'Part 3 Portfolio Analysis'!$F$8)/100</f>
        <v>-7.0908189050518959E-3</v>
      </c>
      <c r="AK655" s="91">
        <f>'Part 3 Portfolio Analysis'!$B$107*F655+M655*'Part 3 Portfolio Analysis'!$C$107+T655*'Part 3 Portfolio Analysis'!$D$107+AA655*'Part 3 Portfolio Analysis'!$E$107+AH655*'Part 3 Portfolio Analysis'!$F$107</f>
        <v>-4.2995999999999998E-3</v>
      </c>
      <c r="AL655" s="91">
        <f>F655*'Part 3 Portfolio Analysis'!$B$121+M655*'Part 3 Portfolio Analysis'!$C$121+'Part 3 Portfolio Analysis'!$D$121*T655+AA655*'Part 3 Portfolio Analysis'!$E$121+'Part 3 Portfolio Analysis'!$F$121*AH655</f>
        <v>-5.9536799999999985E-3</v>
      </c>
      <c r="AM655" s="91"/>
      <c r="AN655" s="90">
        <v>45617</v>
      </c>
      <c r="AO655" s="91">
        <v>23488.449219999999</v>
      </c>
      <c r="AP655" s="91">
        <v>23349.900389999999</v>
      </c>
      <c r="AQ655" s="91">
        <v>23349.900389999999</v>
      </c>
      <c r="AR655" s="91">
        <v>420300</v>
      </c>
      <c r="AS655" s="91">
        <v>-7.1999999999999998E-3</v>
      </c>
    </row>
    <row r="656" spans="1:45" x14ac:dyDescent="0.55000000000000004">
      <c r="A656" s="90">
        <v>45618</v>
      </c>
      <c r="B656" s="91">
        <v>6500.0498049999997</v>
      </c>
      <c r="C656" s="91">
        <v>6586.4501950000003</v>
      </c>
      <c r="D656" s="91">
        <v>6512.7758789999998</v>
      </c>
      <c r="E656" s="91">
        <v>107055</v>
      </c>
      <c r="F656" s="91">
        <v>1.3899999999999999E-2</v>
      </c>
      <c r="H656" s="90">
        <v>45618</v>
      </c>
      <c r="I656" s="91">
        <v>1229.400024</v>
      </c>
      <c r="J656" s="91">
        <v>1265.400024</v>
      </c>
      <c r="K656" s="91">
        <v>1260.366211</v>
      </c>
      <c r="L656" s="91">
        <v>20471957</v>
      </c>
      <c r="M656" s="91">
        <v>3.4700000000000002E-2</v>
      </c>
      <c r="O656" s="90">
        <v>45618</v>
      </c>
      <c r="P656" s="91">
        <v>871.77502440000001</v>
      </c>
      <c r="Q656" s="91">
        <v>872.79998780000005</v>
      </c>
      <c r="R656" s="91">
        <v>861.15972899999997</v>
      </c>
      <c r="S656" s="91">
        <v>24773612</v>
      </c>
      <c r="T656" s="91">
        <v>2.5000000000000001E-3</v>
      </c>
      <c r="V656" s="90">
        <v>45618</v>
      </c>
      <c r="W656" s="91">
        <v>1854.099976</v>
      </c>
      <c r="X656" s="91">
        <v>1902.25</v>
      </c>
      <c r="Y656" s="91">
        <v>1847.5722659999999</v>
      </c>
      <c r="Z656" s="91">
        <v>6301486</v>
      </c>
      <c r="AA656" s="91">
        <v>3.7199999999999997E-2</v>
      </c>
      <c r="AB656" s="91"/>
      <c r="AC656" s="90">
        <v>45618</v>
      </c>
      <c r="AD656" s="91">
        <v>6459.8999020000001</v>
      </c>
      <c r="AE656" s="91">
        <v>6652.7998049999997</v>
      </c>
      <c r="AF656" s="91">
        <v>6647.0415039999998</v>
      </c>
      <c r="AG656" s="91">
        <v>833104</v>
      </c>
      <c r="AH656" s="91">
        <v>2.98E-2</v>
      </c>
      <c r="AI656" s="91"/>
      <c r="AJ656" s="91">
        <f>(F656*'Part 3 Portfolio Analysis'!$B$8+M656*'Part 3 Portfolio Analysis'!$C$8+T656*'Part 3 Portfolio Analysis'!$D$8+AA656*'Part 3 Portfolio Analysis'!$E$8+AH656*'Part 3 Portfolio Analysis'!$F$8)/100</f>
        <v>2.3443074346444402E-2</v>
      </c>
      <c r="AK656" s="91">
        <f>'Part 3 Portfolio Analysis'!$B$107*F656+M656*'Part 3 Portfolio Analysis'!$C$107+T656*'Part 3 Portfolio Analysis'!$D$107+AA656*'Part 3 Portfolio Analysis'!$E$107+AH656*'Part 3 Portfolio Analysis'!$F$107</f>
        <v>2.4980200000000001E-2</v>
      </c>
      <c r="AL656" s="91">
        <f>F656*'Part 3 Portfolio Analysis'!$B$121+M656*'Part 3 Portfolio Analysis'!$C$121+'Part 3 Portfolio Analysis'!$D$121*T656+AA656*'Part 3 Portfolio Analysis'!$E$121+'Part 3 Portfolio Analysis'!$F$121*AH656</f>
        <v>2.4603459999999997E-2</v>
      </c>
      <c r="AM656" s="91"/>
      <c r="AN656" s="90">
        <v>45618</v>
      </c>
      <c r="AO656" s="91">
        <v>23411.800780000001</v>
      </c>
      <c r="AP656" s="91">
        <v>23907.25</v>
      </c>
      <c r="AQ656" s="91">
        <v>23907.25</v>
      </c>
      <c r="AR656" s="91">
        <v>367600</v>
      </c>
      <c r="AS656" s="91">
        <v>2.3900000000000001E-2</v>
      </c>
    </row>
    <row r="657" spans="1:45" x14ac:dyDescent="0.55000000000000004">
      <c r="A657" s="90">
        <v>45621</v>
      </c>
      <c r="B657" s="91">
        <v>6690</v>
      </c>
      <c r="C657" s="91">
        <v>6791.3999020000001</v>
      </c>
      <c r="D657" s="91">
        <v>6715.4331050000001</v>
      </c>
      <c r="E657" s="91">
        <v>275298</v>
      </c>
      <c r="F657" s="91">
        <v>3.1099999999999999E-2</v>
      </c>
      <c r="H657" s="90">
        <v>45621</v>
      </c>
      <c r="I657" s="91">
        <v>1290</v>
      </c>
      <c r="J657" s="91">
        <v>1287</v>
      </c>
      <c r="K657" s="91">
        <v>1281.880249</v>
      </c>
      <c r="L657" s="91">
        <v>28923341</v>
      </c>
      <c r="M657" s="91">
        <v>1.7100000000000001E-2</v>
      </c>
      <c r="O657" s="90">
        <v>45621</v>
      </c>
      <c r="P657" s="91">
        <v>892.52502440000001</v>
      </c>
      <c r="Q657" s="91">
        <v>892.79998780000005</v>
      </c>
      <c r="R657" s="91">
        <v>880.89294429999995</v>
      </c>
      <c r="S657" s="91">
        <v>427737274</v>
      </c>
      <c r="T657" s="91">
        <v>2.29E-2</v>
      </c>
      <c r="V657" s="90">
        <v>45621</v>
      </c>
      <c r="W657" s="91">
        <v>1916</v>
      </c>
      <c r="X657" s="91">
        <v>1889.6999510000001</v>
      </c>
      <c r="Y657" s="91">
        <v>1835.383057</v>
      </c>
      <c r="Z657" s="91">
        <v>12764638</v>
      </c>
      <c r="AA657" s="91">
        <v>-6.6E-3</v>
      </c>
      <c r="AB657" s="91"/>
      <c r="AC657" s="90">
        <v>45621</v>
      </c>
      <c r="AD657" s="91">
        <v>6799</v>
      </c>
      <c r="AE657" s="91">
        <v>6774.9501950000003</v>
      </c>
      <c r="AF657" s="91">
        <v>6769.0859380000002</v>
      </c>
      <c r="AG657" s="91">
        <v>1490945</v>
      </c>
      <c r="AH657" s="91">
        <v>1.84E-2</v>
      </c>
      <c r="AI657" s="91"/>
      <c r="AJ657" s="91">
        <f>(F657*'Part 3 Portfolio Analysis'!$B$8+M657*'Part 3 Portfolio Analysis'!$C$8+T657*'Part 3 Portfolio Analysis'!$D$8+AA657*'Part 3 Portfolio Analysis'!$E$8+AH657*'Part 3 Portfolio Analysis'!$F$8)/100</f>
        <v>1.8466093731882002E-2</v>
      </c>
      <c r="AK657" s="91">
        <f>'Part 3 Portfolio Analysis'!$B$107*F657+M657*'Part 3 Portfolio Analysis'!$C$107+T657*'Part 3 Portfolio Analysis'!$D$107+AA657*'Part 3 Portfolio Analysis'!$E$107+AH657*'Part 3 Portfolio Analysis'!$F$107</f>
        <v>1.8476599999999999E-2</v>
      </c>
      <c r="AL657" s="91">
        <f>F657*'Part 3 Portfolio Analysis'!$B$121+M657*'Part 3 Portfolio Analysis'!$C$121+'Part 3 Portfolio Analysis'!$D$121*T657+AA657*'Part 3 Portfolio Analysis'!$E$121+'Part 3 Portfolio Analysis'!$F$121*AH657</f>
        <v>1.5122459999999999E-2</v>
      </c>
      <c r="AM657" s="91"/>
      <c r="AN657" s="90">
        <v>45621</v>
      </c>
      <c r="AO657" s="91">
        <v>24253.550780000001</v>
      </c>
      <c r="AP657" s="91">
        <v>24221.900389999999</v>
      </c>
      <c r="AQ657" s="91">
        <v>24221.900389999999</v>
      </c>
      <c r="AR657" s="91">
        <v>687200</v>
      </c>
      <c r="AS657" s="91">
        <v>1.32E-2</v>
      </c>
    </row>
    <row r="658" spans="1:45" x14ac:dyDescent="0.55000000000000004">
      <c r="A658" s="90">
        <v>45622</v>
      </c>
      <c r="B658" s="91">
        <v>6848</v>
      </c>
      <c r="C658" s="91">
        <v>6713.75</v>
      </c>
      <c r="D658" s="91">
        <v>6638.6518550000001</v>
      </c>
      <c r="E658" s="91">
        <v>93554</v>
      </c>
      <c r="F658" s="91">
        <v>-1.14E-2</v>
      </c>
      <c r="H658" s="90">
        <v>45622</v>
      </c>
      <c r="I658" s="91">
        <v>1294.9499510000001</v>
      </c>
      <c r="J658" s="91">
        <v>1295.6999510000001</v>
      </c>
      <c r="K658" s="91">
        <v>1290.545654</v>
      </c>
      <c r="L658" s="91">
        <v>9247557</v>
      </c>
      <c r="M658" s="91">
        <v>6.7999999999999996E-3</v>
      </c>
      <c r="O658" s="90">
        <v>45622</v>
      </c>
      <c r="P658" s="91">
        <v>905</v>
      </c>
      <c r="Q658" s="91">
        <v>892.77502440000001</v>
      </c>
      <c r="R658" s="91">
        <v>880.86834720000002</v>
      </c>
      <c r="S658" s="91">
        <v>30935566</v>
      </c>
      <c r="T658" s="91">
        <v>0</v>
      </c>
      <c r="V658" s="90">
        <v>45622</v>
      </c>
      <c r="W658" s="91">
        <v>1904.9499510000001</v>
      </c>
      <c r="X658" s="91">
        <v>1924.150024</v>
      </c>
      <c r="Y658" s="91">
        <v>1868.8427730000001</v>
      </c>
      <c r="Z658" s="91">
        <v>6850495</v>
      </c>
      <c r="AA658" s="91">
        <v>1.8200000000000001E-2</v>
      </c>
      <c r="AB658" s="91"/>
      <c r="AC658" s="90">
        <v>45622</v>
      </c>
      <c r="AD658" s="91">
        <v>6775</v>
      </c>
      <c r="AE658" s="91">
        <v>6669.3500979999999</v>
      </c>
      <c r="AF658" s="91">
        <v>6663.5771480000003</v>
      </c>
      <c r="AG658" s="91">
        <v>476650</v>
      </c>
      <c r="AH658" s="91">
        <v>-1.5599999999999999E-2</v>
      </c>
      <c r="AI658" s="91"/>
      <c r="AJ658" s="91">
        <f>(F658*'Part 3 Portfolio Analysis'!$B$8+M658*'Part 3 Portfolio Analysis'!$C$8+T658*'Part 3 Portfolio Analysis'!$D$8+AA658*'Part 3 Portfolio Analysis'!$E$8+AH658*'Part 3 Portfolio Analysis'!$F$8)/100</f>
        <v>1.8213877654218191E-3</v>
      </c>
      <c r="AK658" s="91">
        <f>'Part 3 Portfolio Analysis'!$B$107*F658+M658*'Part 3 Portfolio Analysis'!$C$107+T658*'Part 3 Portfolio Analysis'!$D$107+AA658*'Part 3 Portfolio Analysis'!$E$107+AH658*'Part 3 Portfolio Analysis'!$F$107</f>
        <v>-2.0347999999999998E-3</v>
      </c>
      <c r="AL658" s="91">
        <f>F658*'Part 3 Portfolio Analysis'!$B$121+M658*'Part 3 Portfolio Analysis'!$C$121+'Part 3 Portfolio Analysis'!$D$121*T658+AA658*'Part 3 Portfolio Analysis'!$E$121+'Part 3 Portfolio Analysis'!$F$121*AH658</f>
        <v>5.1474800000000012E-3</v>
      </c>
      <c r="AM658" s="91"/>
      <c r="AN658" s="90">
        <v>45622</v>
      </c>
      <c r="AO658" s="91">
        <v>24343.300780000001</v>
      </c>
      <c r="AP658" s="91">
        <v>24194.5</v>
      </c>
      <c r="AQ658" s="91">
        <v>24194.5</v>
      </c>
      <c r="AR658" s="91">
        <v>230700</v>
      </c>
      <c r="AS658" s="91">
        <v>-1.1000000000000001E-3</v>
      </c>
    </row>
    <row r="659" spans="1:45" x14ac:dyDescent="0.55000000000000004">
      <c r="A659" s="90">
        <v>45623</v>
      </c>
      <c r="B659" s="91">
        <v>6736</v>
      </c>
      <c r="C659" s="91">
        <v>6755</v>
      </c>
      <c r="D659" s="91">
        <v>6679.4404299999997</v>
      </c>
      <c r="E659" s="91">
        <v>112698</v>
      </c>
      <c r="F659" s="91">
        <v>6.1000000000000004E-3</v>
      </c>
      <c r="H659" s="90">
        <v>45623</v>
      </c>
      <c r="I659" s="91">
        <v>1293.5</v>
      </c>
      <c r="J659" s="91">
        <v>1293.1999510000001</v>
      </c>
      <c r="K659" s="91">
        <v>1288.0555420000001</v>
      </c>
      <c r="L659" s="91">
        <v>9572746</v>
      </c>
      <c r="M659" s="91">
        <v>-1.9E-3</v>
      </c>
      <c r="O659" s="90">
        <v>45623</v>
      </c>
      <c r="P659" s="91">
        <v>894.95001219999995</v>
      </c>
      <c r="Q659" s="91">
        <v>906.15002440000001</v>
      </c>
      <c r="R659" s="91">
        <v>894.06494139999995</v>
      </c>
      <c r="S659" s="91">
        <v>32714976</v>
      </c>
      <c r="T659" s="91">
        <v>1.4999999999999999E-2</v>
      </c>
      <c r="V659" s="90">
        <v>45623</v>
      </c>
      <c r="W659" s="91">
        <v>1930.099976</v>
      </c>
      <c r="X659" s="91">
        <v>1924.5</v>
      </c>
      <c r="Y659" s="91">
        <v>1869.1827390000001</v>
      </c>
      <c r="Z659" s="91">
        <v>4447143</v>
      </c>
      <c r="AA659" s="91">
        <v>2.0000000000000001E-4</v>
      </c>
      <c r="AB659" s="91"/>
      <c r="AC659" s="90">
        <v>45623</v>
      </c>
      <c r="AD659" s="91">
        <v>6692</v>
      </c>
      <c r="AE659" s="91">
        <v>6845.1000979999999</v>
      </c>
      <c r="AF659" s="91">
        <v>6839.1752930000002</v>
      </c>
      <c r="AG659" s="91">
        <v>784373</v>
      </c>
      <c r="AH659" s="91">
        <v>2.64E-2</v>
      </c>
      <c r="AI659" s="91"/>
      <c r="AJ659" s="91">
        <f>(F659*'Part 3 Portfolio Analysis'!$B$8+M659*'Part 3 Portfolio Analysis'!$C$8+T659*'Part 3 Portfolio Analysis'!$D$8+AA659*'Part 3 Portfolio Analysis'!$E$8+AH659*'Part 3 Portfolio Analysis'!$F$8)/100</f>
        <v>3.9336879236613938E-3</v>
      </c>
      <c r="AK659" s="91">
        <f>'Part 3 Portfolio Analysis'!$B$107*F659+M659*'Part 3 Portfolio Analysis'!$C$107+T659*'Part 3 Portfolio Analysis'!$D$107+AA659*'Part 3 Portfolio Analysis'!$E$107+AH659*'Part 3 Portfolio Analysis'!$F$107</f>
        <v>9.5011000000000002E-3</v>
      </c>
      <c r="AL659" s="91">
        <f>F659*'Part 3 Portfolio Analysis'!$B$121+M659*'Part 3 Portfolio Analysis'!$C$121+'Part 3 Portfolio Analysis'!$D$121*T659+AA659*'Part 3 Portfolio Analysis'!$E$121+'Part 3 Portfolio Analysis'!$F$121*AH659</f>
        <v>4.51586E-3</v>
      </c>
      <c r="AM659" s="91"/>
      <c r="AN659" s="90">
        <v>45623</v>
      </c>
      <c r="AO659" s="91">
        <v>24204.800780000001</v>
      </c>
      <c r="AP659" s="91">
        <v>24274.900389999999</v>
      </c>
      <c r="AQ659" s="91">
        <v>24274.900389999999</v>
      </c>
      <c r="AR659" s="91">
        <v>295000</v>
      </c>
      <c r="AS659" s="91">
        <v>3.3E-3</v>
      </c>
    </row>
    <row r="660" spans="1:45" x14ac:dyDescent="0.55000000000000004">
      <c r="A660" s="90">
        <v>45624</v>
      </c>
      <c r="B660" s="91">
        <v>6748</v>
      </c>
      <c r="C660" s="91">
        <v>6757</v>
      </c>
      <c r="D660" s="91">
        <v>6681.4179690000001</v>
      </c>
      <c r="E660" s="91">
        <v>81096</v>
      </c>
      <c r="F660" s="91">
        <v>2.9999999999999997E-4</v>
      </c>
      <c r="H660" s="90">
        <v>45624</v>
      </c>
      <c r="I660" s="91">
        <v>1289.9499510000001</v>
      </c>
      <c r="J660" s="91">
        <v>1270.8000489999999</v>
      </c>
      <c r="K660" s="91">
        <v>1265.744751</v>
      </c>
      <c r="L660" s="91">
        <v>15027412</v>
      </c>
      <c r="M660" s="91">
        <v>-1.7299999999999999E-2</v>
      </c>
      <c r="O660" s="90">
        <v>45624</v>
      </c>
      <c r="P660" s="91">
        <v>909.5</v>
      </c>
      <c r="Q660" s="91">
        <v>896.57501219999995</v>
      </c>
      <c r="R660" s="91">
        <v>884.61761469999999</v>
      </c>
      <c r="S660" s="91">
        <v>35722392</v>
      </c>
      <c r="T660" s="91">
        <v>-1.06E-2</v>
      </c>
      <c r="V660" s="90">
        <v>45624</v>
      </c>
      <c r="W660" s="91">
        <v>1914.900024</v>
      </c>
      <c r="X660" s="91">
        <v>1856.650024</v>
      </c>
      <c r="Y660" s="91">
        <v>1803.2829589999999</v>
      </c>
      <c r="Z660" s="91">
        <v>8468790</v>
      </c>
      <c r="AA660" s="91">
        <v>-3.5299999999999998E-2</v>
      </c>
      <c r="AB660" s="91"/>
      <c r="AC660" s="90">
        <v>45624</v>
      </c>
      <c r="AD660" s="91">
        <v>6850</v>
      </c>
      <c r="AE660" s="91">
        <v>6743.2001950000003</v>
      </c>
      <c r="AF660" s="91">
        <v>6737.3632809999999</v>
      </c>
      <c r="AG660" s="91">
        <v>813013</v>
      </c>
      <c r="AH660" s="91">
        <v>-1.49E-2</v>
      </c>
      <c r="AI660" s="91"/>
      <c r="AJ660" s="91">
        <f>(F660*'Part 3 Portfolio Analysis'!$B$8+M660*'Part 3 Portfolio Analysis'!$C$8+T660*'Part 3 Portfolio Analysis'!$D$8+AA660*'Part 3 Portfolio Analysis'!$E$8+AH660*'Part 3 Portfolio Analysis'!$F$8)/100</f>
        <v>-1.3775702532850331E-2</v>
      </c>
      <c r="AK660" s="91">
        <f>'Part 3 Portfolio Analysis'!$B$107*F660+M660*'Part 3 Portfolio Analysis'!$C$107+T660*'Part 3 Portfolio Analysis'!$D$107+AA660*'Part 3 Portfolio Analysis'!$E$107+AH660*'Part 3 Portfolio Analysis'!$F$107</f>
        <v>-1.4288699999999998E-2</v>
      </c>
      <c r="AL660" s="91">
        <f>F660*'Part 3 Portfolio Analysis'!$B$121+M660*'Part 3 Portfolio Analysis'!$C$121+'Part 3 Portfolio Analysis'!$D$121*T660+AA660*'Part 3 Portfolio Analysis'!$E$121+'Part 3 Portfolio Analysis'!$F$121*AH660</f>
        <v>-1.7567999999999997E-2</v>
      </c>
      <c r="AM660" s="91"/>
      <c r="AN660" s="90">
        <v>45624</v>
      </c>
      <c r="AO660" s="91">
        <v>24274.150389999999</v>
      </c>
      <c r="AP660" s="91">
        <v>23914.150389999999</v>
      </c>
      <c r="AQ660" s="91">
        <v>23914.150389999999</v>
      </c>
      <c r="AR660" s="91">
        <v>366700</v>
      </c>
      <c r="AS660" s="91">
        <v>-1.49E-2</v>
      </c>
    </row>
    <row r="661" spans="1:45" x14ac:dyDescent="0.55000000000000004">
      <c r="A661" s="90">
        <v>45625</v>
      </c>
      <c r="B661" s="91">
        <v>6769.8999020000001</v>
      </c>
      <c r="C661" s="91">
        <v>6670.75</v>
      </c>
      <c r="D661" s="91">
        <v>6596.1328130000002</v>
      </c>
      <c r="E661" s="91">
        <v>144216</v>
      </c>
      <c r="F661" s="91">
        <v>-1.2800000000000001E-2</v>
      </c>
      <c r="H661" s="90">
        <v>45625</v>
      </c>
      <c r="I661" s="91">
        <v>1280</v>
      </c>
      <c r="J661" s="91">
        <v>1292.1999510000001</v>
      </c>
      <c r="K661" s="91">
        <v>1287.0595699999999</v>
      </c>
      <c r="L661" s="91">
        <v>13202307</v>
      </c>
      <c r="M661" s="91">
        <v>1.6799999999999999E-2</v>
      </c>
      <c r="O661" s="90">
        <v>45625</v>
      </c>
      <c r="P661" s="91">
        <v>900.65002440000001</v>
      </c>
      <c r="Q661" s="91">
        <v>898.02502440000001</v>
      </c>
      <c r="R661" s="91">
        <v>886.04833980000001</v>
      </c>
      <c r="S661" s="91">
        <v>27669536</v>
      </c>
      <c r="T661" s="91">
        <v>1.6000000000000001E-3</v>
      </c>
      <c r="V661" s="90">
        <v>45625</v>
      </c>
      <c r="W661" s="91">
        <v>1851.099976</v>
      </c>
      <c r="X661" s="91">
        <v>1857.849976</v>
      </c>
      <c r="Y661" s="91">
        <v>1804.448486</v>
      </c>
      <c r="Z661" s="91">
        <v>5244346</v>
      </c>
      <c r="AA661" s="91">
        <v>5.9999999999999995E-4</v>
      </c>
      <c r="AB661" s="91"/>
      <c r="AC661" s="90">
        <v>45625</v>
      </c>
      <c r="AD661" s="91">
        <v>6750</v>
      </c>
      <c r="AE661" s="91">
        <v>6795.3999020000001</v>
      </c>
      <c r="AF661" s="91">
        <v>6789.5180659999996</v>
      </c>
      <c r="AG661" s="91">
        <v>720647</v>
      </c>
      <c r="AH661" s="91">
        <v>7.7000000000000002E-3</v>
      </c>
      <c r="AI661" s="91"/>
      <c r="AJ661" s="91">
        <f>(F661*'Part 3 Portfolio Analysis'!$B$8+M661*'Part 3 Portfolio Analysis'!$C$8+T661*'Part 3 Portfolio Analysis'!$D$8+AA661*'Part 3 Portfolio Analysis'!$E$8+AH661*'Part 3 Portfolio Analysis'!$F$8)/100</f>
        <v>2.688383390221114E-3</v>
      </c>
      <c r="AK661" s="91">
        <f>'Part 3 Portfolio Analysis'!$B$107*F661+M661*'Part 3 Portfolio Analysis'!$C$107+T661*'Part 3 Portfolio Analysis'!$D$107+AA661*'Part 3 Portfolio Analysis'!$E$107+AH661*'Part 3 Portfolio Analysis'!$F$107</f>
        <v>5.2028000000000005E-3</v>
      </c>
      <c r="AL661" s="91">
        <f>F661*'Part 3 Portfolio Analysis'!$B$121+M661*'Part 3 Portfolio Analysis'!$C$121+'Part 3 Portfolio Analysis'!$D$121*T661+AA661*'Part 3 Portfolio Analysis'!$E$121+'Part 3 Portfolio Analysis'!$F$121*AH661</f>
        <v>6.7540599999999992E-3</v>
      </c>
      <c r="AM661" s="91"/>
      <c r="AN661" s="90">
        <v>45625</v>
      </c>
      <c r="AO661" s="91">
        <v>23927.150389999999</v>
      </c>
      <c r="AP661" s="91">
        <v>24131.099610000001</v>
      </c>
      <c r="AQ661" s="91">
        <v>24131.099610000001</v>
      </c>
      <c r="AR661" s="91">
        <v>282100</v>
      </c>
      <c r="AS661" s="91">
        <v>9.1000000000000004E-3</v>
      </c>
    </row>
    <row r="662" spans="1:45" x14ac:dyDescent="0.55000000000000004">
      <c r="A662" s="90">
        <v>45628</v>
      </c>
      <c r="B662" s="91">
        <v>6670.75</v>
      </c>
      <c r="C662" s="91">
        <v>6712.9501950000003</v>
      </c>
      <c r="D662" s="91">
        <v>6637.861328</v>
      </c>
      <c r="E662" s="91">
        <v>101706</v>
      </c>
      <c r="F662" s="91">
        <v>6.3E-3</v>
      </c>
      <c r="H662" s="90">
        <v>45628</v>
      </c>
      <c r="I662" s="91">
        <v>1288</v>
      </c>
      <c r="J662" s="91">
        <v>1309.150024</v>
      </c>
      <c r="K662" s="91">
        <v>1303.9422609999999</v>
      </c>
      <c r="L662" s="91">
        <v>11024152</v>
      </c>
      <c r="M662" s="91">
        <v>1.3100000000000001E-2</v>
      </c>
      <c r="O662" s="90">
        <v>45628</v>
      </c>
      <c r="P662" s="91">
        <v>901.75</v>
      </c>
      <c r="Q662" s="91">
        <v>902.34997559999999</v>
      </c>
      <c r="R662" s="91">
        <v>890.31561280000005</v>
      </c>
      <c r="S662" s="91">
        <v>15110876</v>
      </c>
      <c r="T662" s="91">
        <v>4.7999999999999996E-3</v>
      </c>
      <c r="V662" s="90">
        <v>45628</v>
      </c>
      <c r="W662" s="91">
        <v>1859</v>
      </c>
      <c r="X662" s="91">
        <v>1879.8000489999999</v>
      </c>
      <c r="Y662" s="91">
        <v>1825.7677000000001</v>
      </c>
      <c r="Z662" s="91">
        <v>2868263</v>
      </c>
      <c r="AA662" s="91">
        <v>1.18E-2</v>
      </c>
      <c r="AB662" s="91"/>
      <c r="AC662" s="90">
        <v>45628</v>
      </c>
      <c r="AD662" s="91">
        <v>6777.0498049999997</v>
      </c>
      <c r="AE662" s="91">
        <v>6805.2998049999997</v>
      </c>
      <c r="AF662" s="91">
        <v>6799.4091799999997</v>
      </c>
      <c r="AG662" s="91">
        <v>446537</v>
      </c>
      <c r="AH662" s="91">
        <v>1.5E-3</v>
      </c>
      <c r="AI662" s="91"/>
      <c r="AJ662" s="91">
        <f>(F662*'Part 3 Portfolio Analysis'!$B$8+M662*'Part 3 Portfolio Analysis'!$C$8+T662*'Part 3 Portfolio Analysis'!$D$8+AA662*'Part 3 Portfolio Analysis'!$E$8+AH662*'Part 3 Portfolio Analysis'!$F$8)/100</f>
        <v>9.3528672226121309E-3</v>
      </c>
      <c r="AK662" s="91">
        <f>'Part 3 Portfolio Analysis'!$B$107*F662+M662*'Part 3 Portfolio Analysis'!$C$107+T662*'Part 3 Portfolio Analysis'!$D$107+AA662*'Part 3 Portfolio Analysis'!$E$107+AH662*'Part 3 Portfolio Analysis'!$F$107</f>
        <v>7.536300000000001E-3</v>
      </c>
      <c r="AL662" s="91">
        <f>F662*'Part 3 Portfolio Analysis'!$B$121+M662*'Part 3 Portfolio Analysis'!$C$121+'Part 3 Portfolio Analysis'!$D$121*T662+AA662*'Part 3 Portfolio Analysis'!$E$121+'Part 3 Portfolio Analysis'!$F$121*AH662</f>
        <v>9.7195200000000006E-3</v>
      </c>
      <c r="AM662" s="91"/>
      <c r="AN662" s="90">
        <v>45628</v>
      </c>
      <c r="AO662" s="91">
        <v>24140.849610000001</v>
      </c>
      <c r="AP662" s="91">
        <v>24276.050780000001</v>
      </c>
      <c r="AQ662" s="91">
        <v>24276.050780000001</v>
      </c>
      <c r="AR662" s="91">
        <v>220400</v>
      </c>
      <c r="AS662" s="91">
        <v>6.0000000000000001E-3</v>
      </c>
    </row>
    <row r="663" spans="1:45" x14ac:dyDescent="0.55000000000000004">
      <c r="A663" s="90">
        <v>45629</v>
      </c>
      <c r="B663" s="91">
        <v>6750.0498049999997</v>
      </c>
      <c r="C663" s="91">
        <v>7098.5498049999997</v>
      </c>
      <c r="D663" s="91">
        <v>7019.1474609999996</v>
      </c>
      <c r="E663" s="91">
        <v>1080035</v>
      </c>
      <c r="F663" s="91">
        <v>5.74E-2</v>
      </c>
      <c r="H663" s="90">
        <v>45629</v>
      </c>
      <c r="I663" s="91">
        <v>1317</v>
      </c>
      <c r="J663" s="91">
        <v>1323.3000489999999</v>
      </c>
      <c r="K663" s="91">
        <v>1318.035889</v>
      </c>
      <c r="L663" s="91">
        <v>16869482</v>
      </c>
      <c r="M663" s="91">
        <v>1.0800000000000001E-2</v>
      </c>
      <c r="O663" s="90">
        <v>45629</v>
      </c>
      <c r="P663" s="91">
        <v>911.34997559999999</v>
      </c>
      <c r="Q663" s="91">
        <v>913.15002440000001</v>
      </c>
      <c r="R663" s="91">
        <v>900.97155759999998</v>
      </c>
      <c r="S663" s="91">
        <v>43410242</v>
      </c>
      <c r="T663" s="91">
        <v>1.2E-2</v>
      </c>
      <c r="V663" s="90">
        <v>45629</v>
      </c>
      <c r="W663" s="91">
        <v>1887</v>
      </c>
      <c r="X663" s="91">
        <v>1892.099976</v>
      </c>
      <c r="Y663" s="91">
        <v>1837.7139890000001</v>
      </c>
      <c r="Z663" s="91">
        <v>4715792</v>
      </c>
      <c r="AA663" s="91">
        <v>6.4999999999999997E-3</v>
      </c>
      <c r="AB663" s="91"/>
      <c r="AC663" s="90">
        <v>45629</v>
      </c>
      <c r="AD663" s="91">
        <v>6805.2998049999997</v>
      </c>
      <c r="AE663" s="91">
        <v>6841.3500979999999</v>
      </c>
      <c r="AF663" s="91">
        <v>6835.4282229999999</v>
      </c>
      <c r="AG663" s="91">
        <v>842566</v>
      </c>
      <c r="AH663" s="91">
        <v>5.3E-3</v>
      </c>
      <c r="AI663" s="91"/>
      <c r="AJ663" s="91">
        <f>(F663*'Part 3 Portfolio Analysis'!$B$8+M663*'Part 3 Portfolio Analysis'!$C$8+T663*'Part 3 Portfolio Analysis'!$D$8+AA663*'Part 3 Portfolio Analysis'!$E$8+AH663*'Part 3 Portfolio Analysis'!$F$8)/100</f>
        <v>2.4234406107553511E-2</v>
      </c>
      <c r="AK663" s="91">
        <f>'Part 3 Portfolio Analysis'!$B$107*F663+M663*'Part 3 Portfolio Analysis'!$C$107+T663*'Part 3 Portfolio Analysis'!$D$107+AA663*'Part 3 Portfolio Analysis'!$E$107+AH663*'Part 3 Portfolio Analysis'!$F$107</f>
        <v>1.7558000000000001E-2</v>
      </c>
      <c r="AL663" s="91">
        <f>F663*'Part 3 Portfolio Analysis'!$B$121+M663*'Part 3 Portfolio Analysis'!$C$121+'Part 3 Portfolio Analysis'!$D$121*T663+AA663*'Part 3 Portfolio Analysis'!$E$121+'Part 3 Portfolio Analysis'!$F$121*AH663</f>
        <v>1.3952819999999999E-2</v>
      </c>
      <c r="AM663" s="91"/>
      <c r="AN663" s="90">
        <v>45629</v>
      </c>
      <c r="AO663" s="91">
        <v>24367.5</v>
      </c>
      <c r="AP663" s="91">
        <v>24457.150389999999</v>
      </c>
      <c r="AQ663" s="91">
        <v>24457.150389999999</v>
      </c>
      <c r="AR663" s="91">
        <v>339500</v>
      </c>
      <c r="AS663" s="91">
        <v>7.4999999999999997E-3</v>
      </c>
    </row>
    <row r="664" spans="1:45" x14ac:dyDescent="0.55000000000000004">
      <c r="A664" s="90">
        <v>45630</v>
      </c>
      <c r="B664" s="91">
        <v>7124.25</v>
      </c>
      <c r="C664" s="91">
        <v>7138.9501950000003</v>
      </c>
      <c r="D664" s="91">
        <v>7059.0961909999996</v>
      </c>
      <c r="E664" s="91">
        <v>248591</v>
      </c>
      <c r="F664" s="91">
        <v>5.7000000000000002E-3</v>
      </c>
      <c r="H664" s="90">
        <v>45630</v>
      </c>
      <c r="I664" s="91">
        <v>1326</v>
      </c>
      <c r="J664" s="91">
        <v>1308.9499510000001</v>
      </c>
      <c r="K664" s="91">
        <v>1303.7429199999999</v>
      </c>
      <c r="L664" s="91">
        <v>19608540</v>
      </c>
      <c r="M664" s="91">
        <v>-1.0800000000000001E-2</v>
      </c>
      <c r="O664" s="90">
        <v>45630</v>
      </c>
      <c r="P664" s="91">
        <v>919</v>
      </c>
      <c r="Q664" s="91">
        <v>930.04998780000005</v>
      </c>
      <c r="R664" s="91">
        <v>917.64617920000001</v>
      </c>
      <c r="S664" s="91">
        <v>44669084</v>
      </c>
      <c r="T664" s="91">
        <v>1.8499999999999999E-2</v>
      </c>
      <c r="V664" s="90">
        <v>45630</v>
      </c>
      <c r="W664" s="91">
        <v>1884</v>
      </c>
      <c r="X664" s="91">
        <v>1889.25</v>
      </c>
      <c r="Y664" s="91">
        <v>1834.945923</v>
      </c>
      <c r="Z664" s="91">
        <v>4705573</v>
      </c>
      <c r="AA664" s="91">
        <v>-1.5E-3</v>
      </c>
      <c r="AB664" s="91"/>
      <c r="AC664" s="90">
        <v>45630</v>
      </c>
      <c r="AD664" s="91">
        <v>6890</v>
      </c>
      <c r="AE664" s="91">
        <v>6823.7998049999997</v>
      </c>
      <c r="AF664" s="91">
        <v>6817.8930659999996</v>
      </c>
      <c r="AG664" s="91">
        <v>899250</v>
      </c>
      <c r="AH664" s="91">
        <v>-2.5999999999999999E-3</v>
      </c>
      <c r="AI664" s="91"/>
      <c r="AJ664" s="91">
        <f>(F664*'Part 3 Portfolio Analysis'!$B$8+M664*'Part 3 Portfolio Analysis'!$C$8+T664*'Part 3 Portfolio Analysis'!$D$8+AA664*'Part 3 Portfolio Analysis'!$E$8+AH664*'Part 3 Portfolio Analysis'!$F$8)/100</f>
        <v>6.1443781649731118E-4</v>
      </c>
      <c r="AK664" s="91">
        <f>'Part 3 Portfolio Analysis'!$B$107*F664+M664*'Part 3 Portfolio Analysis'!$C$107+T664*'Part 3 Portfolio Analysis'!$D$107+AA664*'Part 3 Portfolio Analysis'!$E$107+AH664*'Part 3 Portfolio Analysis'!$F$107</f>
        <v>-2.9210000000000016E-4</v>
      </c>
      <c r="AL664" s="91">
        <f>F664*'Part 3 Portfolio Analysis'!$B$121+M664*'Part 3 Portfolio Analysis'!$C$121+'Part 3 Portfolio Analysis'!$D$121*T664+AA664*'Part 3 Portfolio Analysis'!$E$121+'Part 3 Portfolio Analysis'!$F$121*AH664</f>
        <v>6.0074000000000021E-4</v>
      </c>
      <c r="AM664" s="91"/>
      <c r="AN664" s="90">
        <v>45630</v>
      </c>
      <c r="AO664" s="91">
        <v>24488.75</v>
      </c>
      <c r="AP664" s="91">
        <v>24467.449219999999</v>
      </c>
      <c r="AQ664" s="91">
        <v>24467.449219999999</v>
      </c>
      <c r="AR664" s="91">
        <v>348000</v>
      </c>
      <c r="AS664" s="91">
        <v>4.0000000000000002E-4</v>
      </c>
    </row>
    <row r="665" spans="1:45" x14ac:dyDescent="0.55000000000000004">
      <c r="A665" s="90">
        <v>45631</v>
      </c>
      <c r="B665" s="91">
        <v>7200</v>
      </c>
      <c r="C665" s="91">
        <v>7367.75</v>
      </c>
      <c r="D665" s="91">
        <v>7285.3364259999998</v>
      </c>
      <c r="E665" s="91">
        <v>548868</v>
      </c>
      <c r="F665" s="91">
        <v>3.2000000000000001E-2</v>
      </c>
      <c r="H665" s="90">
        <v>45631</v>
      </c>
      <c r="I665" s="91">
        <v>1314.349976</v>
      </c>
      <c r="J665" s="91">
        <v>1322.0500489999999</v>
      </c>
      <c r="K665" s="91">
        <v>1316.790894</v>
      </c>
      <c r="L665" s="91">
        <v>16858723</v>
      </c>
      <c r="M665" s="91">
        <v>0.01</v>
      </c>
      <c r="O665" s="90">
        <v>45631</v>
      </c>
      <c r="P665" s="91">
        <v>930</v>
      </c>
      <c r="Q665" s="91">
        <v>932.875</v>
      </c>
      <c r="R665" s="91">
        <v>920.4335327</v>
      </c>
      <c r="S665" s="91">
        <v>39682714</v>
      </c>
      <c r="T665" s="91">
        <v>3.0000000000000001E-3</v>
      </c>
      <c r="V665" s="90">
        <v>45631</v>
      </c>
      <c r="W665" s="91">
        <v>1900</v>
      </c>
      <c r="X665" s="91">
        <v>1934.849976</v>
      </c>
      <c r="Y665" s="91">
        <v>1879.2352289999999</v>
      </c>
      <c r="Z665" s="91">
        <v>9050038</v>
      </c>
      <c r="AA665" s="91">
        <v>2.41E-2</v>
      </c>
      <c r="AB665" s="91"/>
      <c r="AC665" s="90">
        <v>45631</v>
      </c>
      <c r="AD665" s="91">
        <v>6869.9501950000003</v>
      </c>
      <c r="AE665" s="91">
        <v>6970.1000979999999</v>
      </c>
      <c r="AF665" s="91">
        <v>6964.0668949999999</v>
      </c>
      <c r="AG665" s="91">
        <v>1140361</v>
      </c>
      <c r="AH665" s="91">
        <v>2.1399999999999999E-2</v>
      </c>
      <c r="AI665" s="91"/>
      <c r="AJ665" s="91">
        <f>(F665*'Part 3 Portfolio Analysis'!$B$8+M665*'Part 3 Portfolio Analysis'!$C$8+T665*'Part 3 Portfolio Analysis'!$D$8+AA665*'Part 3 Portfolio Analysis'!$E$8+AH665*'Part 3 Portfolio Analysis'!$F$8)/100</f>
        <v>1.7812893436036484E-2</v>
      </c>
      <c r="AK665" s="91">
        <f>'Part 3 Portfolio Analysis'!$B$107*F665+M665*'Part 3 Portfolio Analysis'!$C$107+T665*'Part 3 Portfolio Analysis'!$D$107+AA665*'Part 3 Portfolio Analysis'!$E$107+AH665*'Part 3 Portfolio Analysis'!$F$107</f>
        <v>1.7157800000000001E-2</v>
      </c>
      <c r="AL665" s="91">
        <f>F665*'Part 3 Portfolio Analysis'!$B$121+M665*'Part 3 Portfolio Analysis'!$C$121+'Part 3 Portfolio Analysis'!$D$121*T665+AA665*'Part 3 Portfolio Analysis'!$E$121+'Part 3 Portfolio Analysis'!$F$121*AH665</f>
        <v>1.3023079999999999E-2</v>
      </c>
      <c r="AM665" s="91"/>
      <c r="AN665" s="90">
        <v>45631</v>
      </c>
      <c r="AO665" s="91">
        <v>24539.150389999999</v>
      </c>
      <c r="AP665" s="91">
        <v>24708.400389999999</v>
      </c>
      <c r="AQ665" s="91">
        <v>24708.400389999999</v>
      </c>
      <c r="AR665" s="91">
        <v>361500</v>
      </c>
      <c r="AS665" s="91">
        <v>9.7999999999999997E-3</v>
      </c>
    </row>
    <row r="666" spans="1:45" x14ac:dyDescent="0.55000000000000004">
      <c r="A666" s="90">
        <v>45632</v>
      </c>
      <c r="B666" s="91">
        <v>7385.5498049999997</v>
      </c>
      <c r="C666" s="91">
        <v>7396.4501950000003</v>
      </c>
      <c r="D666" s="91">
        <v>7313.7158200000003</v>
      </c>
      <c r="E666" s="91">
        <v>169740</v>
      </c>
      <c r="F666" s="91">
        <v>3.8999999999999998E-3</v>
      </c>
      <c r="H666" s="90">
        <v>45632</v>
      </c>
      <c r="I666" s="91">
        <v>1323.900024</v>
      </c>
      <c r="J666" s="91">
        <v>1311.5500489999999</v>
      </c>
      <c r="K666" s="91">
        <v>1306.3326420000001</v>
      </c>
      <c r="L666" s="91">
        <v>9037514</v>
      </c>
      <c r="M666" s="91">
        <v>-7.9000000000000008E-3</v>
      </c>
      <c r="O666" s="90">
        <v>45632</v>
      </c>
      <c r="P666" s="91">
        <v>928.5</v>
      </c>
      <c r="Q666" s="91">
        <v>927.92498780000005</v>
      </c>
      <c r="R666" s="91">
        <v>915.54949950000002</v>
      </c>
      <c r="S666" s="91">
        <v>17783156</v>
      </c>
      <c r="T666" s="91">
        <v>-5.3E-3</v>
      </c>
      <c r="V666" s="90">
        <v>45632</v>
      </c>
      <c r="W666" s="91">
        <v>1932.8000489999999</v>
      </c>
      <c r="X666" s="91">
        <v>1922.400024</v>
      </c>
      <c r="Y666" s="91">
        <v>1867.143188</v>
      </c>
      <c r="Z666" s="91">
        <v>3573331</v>
      </c>
      <c r="AA666" s="91">
        <v>-6.4000000000000003E-3</v>
      </c>
      <c r="AB666" s="91"/>
      <c r="AC666" s="90">
        <v>45632</v>
      </c>
      <c r="AD666" s="91">
        <v>7050</v>
      </c>
      <c r="AE666" s="91">
        <v>6999.9501950000003</v>
      </c>
      <c r="AF666" s="91">
        <v>6993.8911129999997</v>
      </c>
      <c r="AG666" s="91">
        <v>1088961</v>
      </c>
      <c r="AH666" s="91">
        <v>4.3E-3</v>
      </c>
      <c r="AI666" s="91"/>
      <c r="AJ666" s="91">
        <f>(F666*'Part 3 Portfolio Analysis'!$B$8+M666*'Part 3 Portfolio Analysis'!$C$8+T666*'Part 3 Portfolio Analysis'!$D$8+AA666*'Part 3 Portfolio Analysis'!$E$8+AH666*'Part 3 Portfolio Analysis'!$F$8)/100</f>
        <v>-3.5656487430198044E-3</v>
      </c>
      <c r="AK666" s="91">
        <f>'Part 3 Portfolio Analysis'!$B$107*F666+M666*'Part 3 Portfolio Analysis'!$C$107+T666*'Part 3 Portfolio Analysis'!$D$107+AA666*'Part 3 Portfolio Analysis'!$E$107+AH666*'Part 3 Portfolio Analysis'!$F$107</f>
        <v>-2.1486000000000001E-3</v>
      </c>
      <c r="AL666" s="91">
        <f>F666*'Part 3 Portfolio Analysis'!$B$121+M666*'Part 3 Portfolio Analysis'!$C$121+'Part 3 Portfolio Analysis'!$D$121*T666+AA666*'Part 3 Portfolio Analysis'!$E$121+'Part 3 Portfolio Analysis'!$F$121*AH666</f>
        <v>-5.6032000000000009E-3</v>
      </c>
      <c r="AM666" s="91"/>
      <c r="AN666" s="90">
        <v>45632</v>
      </c>
      <c r="AO666" s="91">
        <v>24729.449219999999</v>
      </c>
      <c r="AP666" s="91">
        <v>24677.800780000001</v>
      </c>
      <c r="AQ666" s="91">
        <v>24677.800780000001</v>
      </c>
      <c r="AR666" s="91">
        <v>226700</v>
      </c>
      <c r="AS666" s="91">
        <v>-1.1999999999999999E-3</v>
      </c>
    </row>
    <row r="667" spans="1:45" x14ac:dyDescent="0.55000000000000004">
      <c r="A667" s="90">
        <v>45635</v>
      </c>
      <c r="B667" s="91">
        <v>7400</v>
      </c>
      <c r="C667" s="91">
        <v>7356</v>
      </c>
      <c r="D667" s="91">
        <v>7273.7177730000003</v>
      </c>
      <c r="E667" s="91">
        <v>130211</v>
      </c>
      <c r="F667" s="91">
        <v>-5.4999999999999997E-3</v>
      </c>
      <c r="H667" s="90">
        <v>45635</v>
      </c>
      <c r="I667" s="91">
        <v>1303</v>
      </c>
      <c r="J667" s="91">
        <v>1295.150024</v>
      </c>
      <c r="K667" s="91">
        <v>1289.9979249999999</v>
      </c>
      <c r="L667" s="91">
        <v>14650002</v>
      </c>
      <c r="M667" s="91">
        <v>-1.2500000000000001E-2</v>
      </c>
      <c r="O667" s="90">
        <v>45635</v>
      </c>
      <c r="P667" s="91">
        <v>926.82501219999995</v>
      </c>
      <c r="Q667" s="91">
        <v>935</v>
      </c>
      <c r="R667" s="91">
        <v>922.53015140000002</v>
      </c>
      <c r="S667" s="91">
        <v>26947912</v>
      </c>
      <c r="T667" s="91">
        <v>7.6E-3</v>
      </c>
      <c r="V667" s="90">
        <v>45635</v>
      </c>
      <c r="W667" s="91">
        <v>1924.1999510000001</v>
      </c>
      <c r="X667" s="91">
        <v>1923.650024</v>
      </c>
      <c r="Y667" s="91">
        <v>1868.357178</v>
      </c>
      <c r="Z667" s="91">
        <v>4274645</v>
      </c>
      <c r="AA667" s="91">
        <v>6.9999999999999999E-4</v>
      </c>
      <c r="AB667" s="91"/>
      <c r="AC667" s="90">
        <v>45635</v>
      </c>
      <c r="AD667" s="91">
        <v>6985</v>
      </c>
      <c r="AE667" s="91">
        <v>6949.7001950000003</v>
      </c>
      <c r="AF667" s="91">
        <v>6943.6845700000003</v>
      </c>
      <c r="AG667" s="91">
        <v>825347</v>
      </c>
      <c r="AH667" s="91">
        <v>-7.1999999999999998E-3</v>
      </c>
      <c r="AI667" s="91"/>
      <c r="AJ667" s="91">
        <f>(F667*'Part 3 Portfolio Analysis'!$B$8+M667*'Part 3 Portfolio Analysis'!$C$8+T667*'Part 3 Portfolio Analysis'!$D$8+AA667*'Part 3 Portfolio Analysis'!$E$8+AH667*'Part 3 Portfolio Analysis'!$F$8)/100</f>
        <v>-4.8709415356358718E-3</v>
      </c>
      <c r="AK667" s="91">
        <f>'Part 3 Portfolio Analysis'!$B$107*F667+M667*'Part 3 Portfolio Analysis'!$C$107+T667*'Part 3 Portfolio Analysis'!$D$107+AA667*'Part 3 Portfolio Analysis'!$E$107+AH667*'Part 3 Portfolio Analysis'!$F$107</f>
        <v>-5.4689000000000005E-3</v>
      </c>
      <c r="AL667" s="91">
        <f>F667*'Part 3 Portfolio Analysis'!$B$121+M667*'Part 3 Portfolio Analysis'!$C$121+'Part 3 Portfolio Analysis'!$D$121*T667+AA667*'Part 3 Portfolio Analysis'!$E$121+'Part 3 Portfolio Analysis'!$F$121*AH667</f>
        <v>-3.6785399999999992E-3</v>
      </c>
      <c r="AM667" s="91"/>
      <c r="AN667" s="90">
        <v>45635</v>
      </c>
      <c r="AO667" s="91">
        <v>24633.900389999999</v>
      </c>
      <c r="AP667" s="91">
        <v>24619</v>
      </c>
      <c r="AQ667" s="91">
        <v>24619</v>
      </c>
      <c r="AR667" s="91">
        <v>248100</v>
      </c>
      <c r="AS667" s="91">
        <v>-2.3999999999999998E-3</v>
      </c>
    </row>
    <row r="668" spans="1:45" x14ac:dyDescent="0.55000000000000004">
      <c r="A668" s="90">
        <v>45636</v>
      </c>
      <c r="B668" s="91">
        <v>7325</v>
      </c>
      <c r="C668" s="91">
        <v>7403.1499020000001</v>
      </c>
      <c r="D668" s="91">
        <v>7320.3403319999998</v>
      </c>
      <c r="E668" s="91">
        <v>164865</v>
      </c>
      <c r="F668" s="91">
        <v>6.4000000000000003E-3</v>
      </c>
      <c r="H668" s="90">
        <v>45636</v>
      </c>
      <c r="I668" s="91">
        <v>1289.25</v>
      </c>
      <c r="J668" s="91">
        <v>1284.849976</v>
      </c>
      <c r="K668" s="91">
        <v>1279.7387699999999</v>
      </c>
      <c r="L668" s="91">
        <v>16043729</v>
      </c>
      <c r="M668" s="91">
        <v>-8.0000000000000002E-3</v>
      </c>
      <c r="O668" s="90">
        <v>45636</v>
      </c>
      <c r="P668" s="91">
        <v>938.84997559999999</v>
      </c>
      <c r="Q668" s="91">
        <v>934.04998780000005</v>
      </c>
      <c r="R668" s="91">
        <v>921.59283449999998</v>
      </c>
      <c r="S668" s="91">
        <v>13325480</v>
      </c>
      <c r="T668" s="91">
        <v>-1E-3</v>
      </c>
      <c r="V668" s="90">
        <v>45636</v>
      </c>
      <c r="W668" s="91">
        <v>1939</v>
      </c>
      <c r="X668" s="91">
        <v>1948.5500489999999</v>
      </c>
      <c r="Y668" s="91">
        <v>1892.541504</v>
      </c>
      <c r="Z668" s="91">
        <v>6174921</v>
      </c>
      <c r="AA668" s="91">
        <v>1.29E-2</v>
      </c>
      <c r="AB668" s="91"/>
      <c r="AC668" s="90">
        <v>45636</v>
      </c>
      <c r="AD668" s="91">
        <v>6950</v>
      </c>
      <c r="AE668" s="91">
        <v>6878.0498049999997</v>
      </c>
      <c r="AF668" s="91">
        <v>6872.0961909999996</v>
      </c>
      <c r="AG668" s="91">
        <v>579733</v>
      </c>
      <c r="AH668" s="91">
        <v>-1.03E-2</v>
      </c>
      <c r="AI668" s="91"/>
      <c r="AJ668" s="91">
        <f>(F668*'Part 3 Portfolio Analysis'!$B$8+M668*'Part 3 Portfolio Analysis'!$C$8+T668*'Part 3 Portfolio Analysis'!$D$8+AA668*'Part 3 Portfolio Analysis'!$E$8+AH668*'Part 3 Portfolio Analysis'!$F$8)/100</f>
        <v>8.2872124115623846E-4</v>
      </c>
      <c r="AK668" s="91">
        <f>'Part 3 Portfolio Analysis'!$B$107*F668+M668*'Part 3 Portfolio Analysis'!$C$107+T668*'Part 3 Portfolio Analysis'!$D$107+AA668*'Part 3 Portfolio Analysis'!$E$107+AH668*'Part 3 Portfolio Analysis'!$F$107</f>
        <v>-2.8126000000000002E-3</v>
      </c>
      <c r="AL668" s="91">
        <f>F668*'Part 3 Portfolio Analysis'!$B$121+M668*'Part 3 Portfolio Analysis'!$C$121+'Part 3 Portfolio Analysis'!$D$121*T668+AA668*'Part 3 Portfolio Analysis'!$E$121+'Part 3 Portfolio Analysis'!$F$121*AH668</f>
        <v>-7.9257999999999998E-4</v>
      </c>
      <c r="AM668" s="91"/>
      <c r="AN668" s="90">
        <v>45636</v>
      </c>
      <c r="AO668" s="91">
        <v>24652.650389999999</v>
      </c>
      <c r="AP668" s="91">
        <v>24610.050780000001</v>
      </c>
      <c r="AQ668" s="91">
        <v>24610.050780000001</v>
      </c>
      <c r="AR668" s="91">
        <v>261000</v>
      </c>
      <c r="AS668" s="91">
        <v>-4.0000000000000002E-4</v>
      </c>
    </row>
    <row r="669" spans="1:45" x14ac:dyDescent="0.55000000000000004">
      <c r="A669" s="90">
        <v>45637</v>
      </c>
      <c r="B669" s="91">
        <v>7410</v>
      </c>
      <c r="C669" s="91">
        <v>7350.25</v>
      </c>
      <c r="D669" s="91">
        <v>7268.0322269999997</v>
      </c>
      <c r="E669" s="91">
        <v>117885</v>
      </c>
      <c r="F669" s="91">
        <v>-7.1000000000000004E-3</v>
      </c>
      <c r="H669" s="90">
        <v>45637</v>
      </c>
      <c r="I669" s="91">
        <v>1285</v>
      </c>
      <c r="J669" s="91">
        <v>1278.1999510000001</v>
      </c>
      <c r="K669" s="91">
        <v>1273.1152340000001</v>
      </c>
      <c r="L669" s="91">
        <v>11724373</v>
      </c>
      <c r="M669" s="91">
        <v>-5.1999999999999998E-3</v>
      </c>
      <c r="O669" s="90">
        <v>45637</v>
      </c>
      <c r="P669" s="91">
        <v>930.84997559999999</v>
      </c>
      <c r="Q669" s="91">
        <v>931.54998780000005</v>
      </c>
      <c r="R669" s="91">
        <v>919.12615970000002</v>
      </c>
      <c r="S669" s="91">
        <v>14045426</v>
      </c>
      <c r="T669" s="91">
        <v>-2.7000000000000001E-3</v>
      </c>
      <c r="V669" s="90">
        <v>45637</v>
      </c>
      <c r="W669" s="91">
        <v>1955</v>
      </c>
      <c r="X669" s="91">
        <v>1974.150024</v>
      </c>
      <c r="Y669" s="91">
        <v>1917.4056399999999</v>
      </c>
      <c r="Z669" s="91">
        <v>5025612</v>
      </c>
      <c r="AA669" s="91">
        <v>1.3100000000000001E-2</v>
      </c>
      <c r="AB669" s="91"/>
      <c r="AC669" s="90">
        <v>45637</v>
      </c>
      <c r="AD669" s="91">
        <v>6893.8999020000001</v>
      </c>
      <c r="AE669" s="91">
        <v>7063.2998049999997</v>
      </c>
      <c r="AF669" s="91">
        <v>7057.1860349999997</v>
      </c>
      <c r="AG669" s="91">
        <v>1037764</v>
      </c>
      <c r="AH669" s="91">
        <v>2.69E-2</v>
      </c>
      <c r="AI669" s="91"/>
      <c r="AJ669" s="91">
        <f>(F669*'Part 3 Portfolio Analysis'!$B$8+M669*'Part 3 Portfolio Analysis'!$C$8+T669*'Part 3 Portfolio Analysis'!$D$8+AA669*'Part 3 Portfolio Analysis'!$E$8+AH669*'Part 3 Portfolio Analysis'!$F$8)/100</f>
        <v>-2.0941514624446202E-3</v>
      </c>
      <c r="AK669" s="91">
        <f>'Part 3 Portfolio Analysis'!$B$107*F669+M669*'Part 3 Portfolio Analysis'!$C$107+T669*'Part 3 Portfolio Analysis'!$D$107+AA669*'Part 3 Portfolio Analysis'!$E$107+AH669*'Part 3 Portfolio Analysis'!$F$107</f>
        <v>4.7647000000000002E-3</v>
      </c>
      <c r="AL669" s="91">
        <f>F669*'Part 3 Portfolio Analysis'!$B$121+M669*'Part 3 Portfolio Analysis'!$C$121+'Part 3 Portfolio Analysis'!$D$121*T669+AA669*'Part 3 Portfolio Analysis'!$E$121+'Part 3 Portfolio Analysis'!$F$121*AH669</f>
        <v>-1.7515999999999962E-4</v>
      </c>
      <c r="AM669" s="91"/>
      <c r="AN669" s="90">
        <v>45637</v>
      </c>
      <c r="AO669" s="91">
        <v>24620.5</v>
      </c>
      <c r="AP669" s="91">
        <v>24641.800780000001</v>
      </c>
      <c r="AQ669" s="91">
        <v>24641.800780000001</v>
      </c>
      <c r="AR669" s="91">
        <v>187300</v>
      </c>
      <c r="AS669" s="91">
        <v>1.2999999999999999E-3</v>
      </c>
    </row>
    <row r="670" spans="1:45" x14ac:dyDescent="0.55000000000000004">
      <c r="A670" s="90">
        <v>45638</v>
      </c>
      <c r="B670" s="91">
        <v>7360.0498049999997</v>
      </c>
      <c r="C670" s="91">
        <v>7319.7001950000003</v>
      </c>
      <c r="D670" s="91">
        <v>7237.8242190000001</v>
      </c>
      <c r="E670" s="91">
        <v>236072</v>
      </c>
      <c r="F670" s="91">
        <v>-4.1999999999999997E-3</v>
      </c>
      <c r="H670" s="90">
        <v>45638</v>
      </c>
      <c r="I670" s="91">
        <v>1270</v>
      </c>
      <c r="J670" s="91">
        <v>1262.900024</v>
      </c>
      <c r="K670" s="91">
        <v>1257.876221</v>
      </c>
      <c r="L670" s="91">
        <v>20906813</v>
      </c>
      <c r="M670" s="91">
        <v>-1.2E-2</v>
      </c>
      <c r="O670" s="90">
        <v>45638</v>
      </c>
      <c r="P670" s="91">
        <v>925.5</v>
      </c>
      <c r="Q670" s="91">
        <v>929.625</v>
      </c>
      <c r="R670" s="91">
        <v>917.22686769999996</v>
      </c>
      <c r="S670" s="91">
        <v>17293790</v>
      </c>
      <c r="T670" s="91">
        <v>-2.0999999999999999E-3</v>
      </c>
      <c r="V670" s="90">
        <v>45638</v>
      </c>
      <c r="W670" s="91">
        <v>1975.1999510000001</v>
      </c>
      <c r="X670" s="91">
        <v>1987</v>
      </c>
      <c r="Y670" s="91">
        <v>1929.8862300000001</v>
      </c>
      <c r="Z670" s="91">
        <v>6462130</v>
      </c>
      <c r="AA670" s="91">
        <v>6.4999999999999997E-3</v>
      </c>
      <c r="AB670" s="91"/>
      <c r="AC670" s="90">
        <v>45638</v>
      </c>
      <c r="AD670" s="91">
        <v>7046.2001950000003</v>
      </c>
      <c r="AE670" s="91">
        <v>7012.5</v>
      </c>
      <c r="AF670" s="91">
        <v>7006.4301759999998</v>
      </c>
      <c r="AG670" s="91">
        <v>776145</v>
      </c>
      <c r="AH670" s="91">
        <v>-7.1999999999999998E-3</v>
      </c>
      <c r="AI670" s="91"/>
      <c r="AJ670" s="91">
        <f>(F670*'Part 3 Portfolio Analysis'!$B$8+M670*'Part 3 Portfolio Analysis'!$C$8+T670*'Part 3 Portfolio Analysis'!$D$8+AA670*'Part 3 Portfolio Analysis'!$E$8+AH670*'Part 3 Portfolio Analysis'!$F$8)/100</f>
        <v>-4.9843699580207406E-3</v>
      </c>
      <c r="AK670" s="91">
        <f>'Part 3 Portfolio Analysis'!$B$107*F670+M670*'Part 3 Portfolio Analysis'!$C$107+T670*'Part 3 Portfolio Analysis'!$D$107+AA670*'Part 3 Portfolio Analysis'!$E$107+AH670*'Part 3 Portfolio Analysis'!$F$107</f>
        <v>-6.0019000000000001E-3</v>
      </c>
      <c r="AL670" s="91">
        <f>F670*'Part 3 Portfolio Analysis'!$B$121+M670*'Part 3 Portfolio Analysis'!$C$121+'Part 3 Portfolio Analysis'!$D$121*T670+AA670*'Part 3 Portfolio Analysis'!$E$121+'Part 3 Portfolio Analysis'!$F$121*AH670</f>
        <v>-4.8402800000000006E-3</v>
      </c>
      <c r="AM670" s="91"/>
      <c r="AN670" s="90">
        <v>45638</v>
      </c>
      <c r="AO670" s="91">
        <v>24604.449219999999</v>
      </c>
      <c r="AP670" s="91">
        <v>24548.699219999999</v>
      </c>
      <c r="AQ670" s="91">
        <v>24548.699219999999</v>
      </c>
      <c r="AR670" s="91">
        <v>266100</v>
      </c>
      <c r="AS670" s="91">
        <v>-3.8E-3</v>
      </c>
    </row>
    <row r="671" spans="1:45" x14ac:dyDescent="0.55000000000000004">
      <c r="A671" s="90">
        <v>45639</v>
      </c>
      <c r="B671" s="91">
        <v>7314</v>
      </c>
      <c r="C671" s="91">
        <v>7364.3999020000001</v>
      </c>
      <c r="D671" s="91">
        <v>7282.0239259999998</v>
      </c>
      <c r="E671" s="91">
        <v>170937</v>
      </c>
      <c r="F671" s="91">
        <v>6.1000000000000004E-3</v>
      </c>
      <c r="H671" s="90">
        <v>45639</v>
      </c>
      <c r="I671" s="91">
        <v>1260</v>
      </c>
      <c r="J671" s="91">
        <v>1272.849976</v>
      </c>
      <c r="K671" s="91">
        <v>1267.786621</v>
      </c>
      <c r="L671" s="91">
        <v>28630222</v>
      </c>
      <c r="M671" s="91">
        <v>7.9000000000000008E-3</v>
      </c>
      <c r="O671" s="90">
        <v>45639</v>
      </c>
      <c r="P671" s="91">
        <v>931.25</v>
      </c>
      <c r="Q671" s="91">
        <v>935.875</v>
      </c>
      <c r="R671" s="91">
        <v>923.39349370000002</v>
      </c>
      <c r="S671" s="91">
        <v>19009002</v>
      </c>
      <c r="T671" s="91">
        <v>6.7000000000000002E-3</v>
      </c>
      <c r="V671" s="90">
        <v>45639</v>
      </c>
      <c r="W671" s="91">
        <v>1969.75</v>
      </c>
      <c r="X671" s="91">
        <v>1999.6999510000001</v>
      </c>
      <c r="Y671" s="91">
        <v>1942.2211910000001</v>
      </c>
      <c r="Z671" s="91">
        <v>5362693</v>
      </c>
      <c r="AA671" s="91">
        <v>6.4000000000000003E-3</v>
      </c>
      <c r="AB671" s="91"/>
      <c r="AC671" s="90">
        <v>45639</v>
      </c>
      <c r="AD671" s="91">
        <v>7000</v>
      </c>
      <c r="AE671" s="91">
        <v>7000.25</v>
      </c>
      <c r="AF671" s="91">
        <v>6994.1909180000002</v>
      </c>
      <c r="AG671" s="91">
        <v>526964</v>
      </c>
      <c r="AH671" s="91">
        <v>-1.6999999999999999E-3</v>
      </c>
      <c r="AI671" s="91"/>
      <c r="AJ671" s="91">
        <f>(F671*'Part 3 Portfolio Analysis'!$B$8+M671*'Part 3 Portfolio Analysis'!$C$8+T671*'Part 3 Portfolio Analysis'!$D$8+AA671*'Part 3 Portfolio Analysis'!$E$8+AH671*'Part 3 Portfolio Analysis'!$F$8)/100</f>
        <v>6.8245978753176785E-3</v>
      </c>
      <c r="AK671" s="91">
        <f>'Part 3 Portfolio Analysis'!$B$107*F671+M671*'Part 3 Portfolio Analysis'!$C$107+T671*'Part 3 Portfolio Analysis'!$D$107+AA671*'Part 3 Portfolio Analysis'!$E$107+AH671*'Part 3 Portfolio Analysis'!$F$107</f>
        <v>4.820800000000001E-3</v>
      </c>
      <c r="AL671" s="91">
        <f>F671*'Part 3 Portfolio Analysis'!$B$121+M671*'Part 3 Portfolio Analysis'!$C$121+'Part 3 Portfolio Analysis'!$D$121*T671+AA671*'Part 3 Portfolio Analysis'!$E$121+'Part 3 Portfolio Analysis'!$F$121*AH671</f>
        <v>6.8741200000000001E-3</v>
      </c>
      <c r="AM671" s="91"/>
      <c r="AN671" s="90">
        <v>45639</v>
      </c>
      <c r="AO671" s="91">
        <v>24498.349610000001</v>
      </c>
      <c r="AP671" s="91">
        <v>24768.300780000001</v>
      </c>
      <c r="AQ671" s="91">
        <v>24768.300780000001</v>
      </c>
      <c r="AR671" s="91">
        <v>310100</v>
      </c>
      <c r="AS671" s="91">
        <v>8.8999999999999999E-3</v>
      </c>
    </row>
    <row r="672" spans="1:45" x14ac:dyDescent="0.55000000000000004">
      <c r="A672" s="90">
        <v>45642</v>
      </c>
      <c r="B672" s="91">
        <v>7372.5</v>
      </c>
      <c r="C672" s="91">
        <v>7357</v>
      </c>
      <c r="D672" s="91">
        <v>7274.7065430000002</v>
      </c>
      <c r="E672" s="91">
        <v>76612</v>
      </c>
      <c r="F672" s="91">
        <v>-1E-3</v>
      </c>
      <c r="H672" s="90">
        <v>45642</v>
      </c>
      <c r="I672" s="91">
        <v>1275</v>
      </c>
      <c r="J672" s="91">
        <v>1268.3000489999999</v>
      </c>
      <c r="K672" s="91">
        <v>1263.2547609999999</v>
      </c>
      <c r="L672" s="91">
        <v>9486781</v>
      </c>
      <c r="M672" s="91">
        <v>-3.5999999999999999E-3</v>
      </c>
      <c r="O672" s="90">
        <v>45642</v>
      </c>
      <c r="P672" s="91">
        <v>932.54998780000005</v>
      </c>
      <c r="Q672" s="91">
        <v>932.59997559999999</v>
      </c>
      <c r="R672" s="91">
        <v>920.16217040000004</v>
      </c>
      <c r="S672" s="91">
        <v>13107082</v>
      </c>
      <c r="T672" s="91">
        <v>-3.5000000000000001E-3</v>
      </c>
      <c r="V672" s="90">
        <v>45642</v>
      </c>
      <c r="W672" s="91">
        <v>1995.4499510000001</v>
      </c>
      <c r="X672" s="91">
        <v>1980.0500489999999</v>
      </c>
      <c r="Y672" s="91">
        <v>1923.1361079999999</v>
      </c>
      <c r="Z672" s="91">
        <v>3119221</v>
      </c>
      <c r="AA672" s="91">
        <v>-9.7999999999999997E-3</v>
      </c>
      <c r="AB672" s="91"/>
      <c r="AC672" s="90">
        <v>45642</v>
      </c>
      <c r="AD672" s="91">
        <v>7000</v>
      </c>
      <c r="AE672" s="91">
        <v>7000.3500979999999</v>
      </c>
      <c r="AF672" s="91">
        <v>6994.2905270000001</v>
      </c>
      <c r="AG672" s="91">
        <v>497823</v>
      </c>
      <c r="AH672" s="91">
        <v>0</v>
      </c>
      <c r="AI672" s="91"/>
      <c r="AJ672" s="91">
        <f>(F672*'Part 3 Portfolio Analysis'!$B$8+M672*'Part 3 Portfolio Analysis'!$C$8+T672*'Part 3 Portfolio Analysis'!$D$8+AA672*'Part 3 Portfolio Analysis'!$E$8+AH672*'Part 3 Portfolio Analysis'!$F$8)/100</f>
        <v>-3.7659219148005584E-3</v>
      </c>
      <c r="AK672" s="91">
        <f>'Part 3 Portfolio Analysis'!$B$107*F672+M672*'Part 3 Portfolio Analysis'!$C$107+T672*'Part 3 Portfolio Analysis'!$D$107+AA672*'Part 3 Portfolio Analysis'!$E$107+AH672*'Part 3 Portfolio Analysis'!$F$107</f>
        <v>-2.8292999999999999E-3</v>
      </c>
      <c r="AL672" s="91">
        <f>F672*'Part 3 Portfolio Analysis'!$B$121+M672*'Part 3 Portfolio Analysis'!$C$121+'Part 3 Portfolio Analysis'!$D$121*T672+AA672*'Part 3 Portfolio Analysis'!$E$121+'Part 3 Portfolio Analysis'!$F$121*AH672</f>
        <v>-4.50476E-3</v>
      </c>
      <c r="AM672" s="91"/>
      <c r="AN672" s="90">
        <v>45642</v>
      </c>
      <c r="AO672" s="91">
        <v>24753.400389999999</v>
      </c>
      <c r="AP672" s="91">
        <v>24668.25</v>
      </c>
      <c r="AQ672" s="91">
        <v>24668.25</v>
      </c>
      <c r="AR672" s="91">
        <v>187600</v>
      </c>
      <c r="AS672" s="91">
        <v>-4.0000000000000001E-3</v>
      </c>
    </row>
    <row r="673" spans="1:45" x14ac:dyDescent="0.55000000000000004">
      <c r="A673" s="90">
        <v>45643</v>
      </c>
      <c r="B673" s="91">
        <v>7352</v>
      </c>
      <c r="C673" s="91">
        <v>7273.6499020000001</v>
      </c>
      <c r="D673" s="91">
        <v>7192.2890630000002</v>
      </c>
      <c r="E673" s="91">
        <v>135615</v>
      </c>
      <c r="F673" s="91">
        <v>-1.1299999999999999E-2</v>
      </c>
      <c r="H673" s="90">
        <v>45643</v>
      </c>
      <c r="I673" s="91">
        <v>1261.0500489999999</v>
      </c>
      <c r="J673" s="91">
        <v>1245.3000489999999</v>
      </c>
      <c r="K673" s="91">
        <v>1240.3461910000001</v>
      </c>
      <c r="L673" s="91">
        <v>17462791</v>
      </c>
      <c r="M673" s="91">
        <v>-1.8100000000000002E-2</v>
      </c>
      <c r="O673" s="90">
        <v>45643</v>
      </c>
      <c r="P673" s="91">
        <v>928.17498780000005</v>
      </c>
      <c r="Q673" s="91">
        <v>916.625</v>
      </c>
      <c r="R673" s="91">
        <v>904.4002686</v>
      </c>
      <c r="S673" s="91">
        <v>21079532</v>
      </c>
      <c r="T673" s="91">
        <v>-1.7100000000000001E-2</v>
      </c>
      <c r="V673" s="90">
        <v>45643</v>
      </c>
      <c r="W673" s="91">
        <v>1968</v>
      </c>
      <c r="X673" s="91">
        <v>1976.599976</v>
      </c>
      <c r="Y673" s="91">
        <v>1919.7852780000001</v>
      </c>
      <c r="Z673" s="91">
        <v>5811050</v>
      </c>
      <c r="AA673" s="91">
        <v>-1.6999999999999999E-3</v>
      </c>
      <c r="AB673" s="91"/>
      <c r="AC673" s="90">
        <v>45643</v>
      </c>
      <c r="AD673" s="91">
        <v>7000</v>
      </c>
      <c r="AE673" s="91">
        <v>6941.6499020000001</v>
      </c>
      <c r="AF673" s="91">
        <v>6935.6416019999997</v>
      </c>
      <c r="AG673" s="91">
        <v>545205</v>
      </c>
      <c r="AH673" s="91">
        <v>-8.3999999999999995E-3</v>
      </c>
      <c r="AI673" s="91"/>
      <c r="AJ673" s="91">
        <f>(F673*'Part 3 Portfolio Analysis'!$B$8+M673*'Part 3 Portfolio Analysis'!$C$8+T673*'Part 3 Portfolio Analysis'!$D$8+AA673*'Part 3 Portfolio Analysis'!$E$8+AH673*'Part 3 Portfolio Analysis'!$F$8)/100</f>
        <v>-1.3159072864310657E-2</v>
      </c>
      <c r="AK673" s="91">
        <f>'Part 3 Portfolio Analysis'!$B$107*F673+M673*'Part 3 Portfolio Analysis'!$C$107+T673*'Part 3 Portfolio Analysis'!$D$107+AA673*'Part 3 Portfolio Analysis'!$E$107+AH673*'Part 3 Portfolio Analysis'!$F$107</f>
        <v>-1.2636600000000001E-2</v>
      </c>
      <c r="AL673" s="91">
        <f>F673*'Part 3 Portfolio Analysis'!$B$121+M673*'Part 3 Portfolio Analysis'!$C$121+'Part 3 Portfolio Analysis'!$D$121*T673+AA673*'Part 3 Portfolio Analysis'!$E$121+'Part 3 Portfolio Analysis'!$F$121*AH673</f>
        <v>-1.37349E-2</v>
      </c>
      <c r="AM673" s="91"/>
      <c r="AN673" s="90">
        <v>45643</v>
      </c>
      <c r="AO673" s="91">
        <v>24584.800780000001</v>
      </c>
      <c r="AP673" s="91">
        <v>24336</v>
      </c>
      <c r="AQ673" s="91">
        <v>24336</v>
      </c>
      <c r="AR673" s="91">
        <v>264900</v>
      </c>
      <c r="AS673" s="91">
        <v>-1.35E-2</v>
      </c>
    </row>
    <row r="674" spans="1:45" x14ac:dyDescent="0.55000000000000004">
      <c r="A674" s="90">
        <v>45644</v>
      </c>
      <c r="B674" s="91">
        <v>7265</v>
      </c>
      <c r="C674" s="91">
        <v>7230.5498049999997</v>
      </c>
      <c r="D674" s="91">
        <v>7149.6708980000003</v>
      </c>
      <c r="E674" s="91">
        <v>159943</v>
      </c>
      <c r="F674" s="91">
        <v>-5.8999999999999999E-3</v>
      </c>
      <c r="H674" s="90">
        <v>45644</v>
      </c>
      <c r="I674" s="91">
        <v>1240.650024</v>
      </c>
      <c r="J674" s="91">
        <v>1253.25</v>
      </c>
      <c r="K674" s="91">
        <v>1248.2645259999999</v>
      </c>
      <c r="L674" s="91">
        <v>12670179</v>
      </c>
      <c r="M674" s="91">
        <v>6.4000000000000003E-3</v>
      </c>
      <c r="O674" s="90">
        <v>45644</v>
      </c>
      <c r="P674" s="91">
        <v>914.92498780000005</v>
      </c>
      <c r="Q674" s="91">
        <v>905.34997559999999</v>
      </c>
      <c r="R674" s="91">
        <v>893.2755737</v>
      </c>
      <c r="S674" s="91">
        <v>23422312</v>
      </c>
      <c r="T674" s="91">
        <v>-1.23E-2</v>
      </c>
      <c r="V674" s="90">
        <v>45644</v>
      </c>
      <c r="W674" s="91">
        <v>1966.8000489999999</v>
      </c>
      <c r="X674" s="91">
        <v>1979.150024</v>
      </c>
      <c r="Y674" s="91">
        <v>1922.2619629999999</v>
      </c>
      <c r="Z674" s="91">
        <v>3064095</v>
      </c>
      <c r="AA674" s="91">
        <v>1.2999999999999999E-3</v>
      </c>
      <c r="AB674" s="91"/>
      <c r="AC674" s="90">
        <v>45644</v>
      </c>
      <c r="AD674" s="91">
        <v>6935.75</v>
      </c>
      <c r="AE674" s="91">
        <v>7113.75</v>
      </c>
      <c r="AF674" s="91">
        <v>7107.5922849999997</v>
      </c>
      <c r="AG674" s="91">
        <v>1201264</v>
      </c>
      <c r="AH674" s="91">
        <v>2.4799999999999999E-2</v>
      </c>
      <c r="AI674" s="91"/>
      <c r="AJ674" s="91">
        <f>(F674*'Part 3 Portfolio Analysis'!$B$8+M674*'Part 3 Portfolio Analysis'!$C$8+T674*'Part 3 Portfolio Analysis'!$D$8+AA674*'Part 3 Portfolio Analysis'!$E$8+AH674*'Part 3 Portfolio Analysis'!$F$8)/100</f>
        <v>-1.0503245233559582E-3</v>
      </c>
      <c r="AK674" s="91">
        <f>'Part 3 Portfolio Analysis'!$B$107*F674+M674*'Part 3 Portfolio Analysis'!$C$107+T674*'Part 3 Portfolio Analysis'!$D$107+AA674*'Part 3 Portfolio Analysis'!$E$107+AH674*'Part 3 Portfolio Analysis'!$F$107</f>
        <v>5.4143000000000004E-3</v>
      </c>
      <c r="AL674" s="91">
        <f>F674*'Part 3 Portfolio Analysis'!$B$121+M674*'Part 3 Portfolio Analysis'!$C$121+'Part 3 Portfolio Analysis'!$D$121*T674+AA674*'Part 3 Portfolio Analysis'!$E$121+'Part 3 Portfolio Analysis'!$F$121*AH674</f>
        <v>-2.353800000000002E-4</v>
      </c>
      <c r="AM674" s="91"/>
      <c r="AN674" s="90">
        <v>45644</v>
      </c>
      <c r="AO674" s="91">
        <v>24297.949219999999</v>
      </c>
      <c r="AP674" s="91">
        <v>24198.849610000001</v>
      </c>
      <c r="AQ674" s="91">
        <v>24198.849610000001</v>
      </c>
      <c r="AR674" s="91">
        <v>235300</v>
      </c>
      <c r="AS674" s="91">
        <v>-5.5999999999999999E-3</v>
      </c>
    </row>
    <row r="675" spans="1:45" x14ac:dyDescent="0.55000000000000004">
      <c r="A675" s="90">
        <v>45645</v>
      </c>
      <c r="B675" s="91">
        <v>7150</v>
      </c>
      <c r="C675" s="91">
        <v>7235.2998049999997</v>
      </c>
      <c r="D675" s="91">
        <v>7154.3676759999998</v>
      </c>
      <c r="E675" s="91">
        <v>134846</v>
      </c>
      <c r="F675" s="91">
        <v>6.9999999999999999E-4</v>
      </c>
      <c r="H675" s="90">
        <v>45645</v>
      </c>
      <c r="I675" s="91">
        <v>1239</v>
      </c>
      <c r="J675" s="91">
        <v>1230.4499510000001</v>
      </c>
      <c r="K675" s="91">
        <v>1225.5551760000001</v>
      </c>
      <c r="L675" s="91">
        <v>14244653</v>
      </c>
      <c r="M675" s="91">
        <v>-1.8200000000000001E-2</v>
      </c>
      <c r="O675" s="90">
        <v>45645</v>
      </c>
      <c r="P675" s="91">
        <v>899.79998780000005</v>
      </c>
      <c r="Q675" s="91">
        <v>896.75</v>
      </c>
      <c r="R675" s="91">
        <v>884.79028319999998</v>
      </c>
      <c r="S675" s="91">
        <v>25380770</v>
      </c>
      <c r="T675" s="91">
        <v>-9.4999999999999998E-3</v>
      </c>
      <c r="V675" s="90">
        <v>45645</v>
      </c>
      <c r="W675" s="91">
        <v>1934</v>
      </c>
      <c r="X675" s="91">
        <v>1946.1999510000001</v>
      </c>
      <c r="Y675" s="91">
        <v>1890.259033</v>
      </c>
      <c r="Z675" s="91">
        <v>5323592</v>
      </c>
      <c r="AA675" s="91">
        <v>-1.66E-2</v>
      </c>
      <c r="AB675" s="91"/>
      <c r="AC675" s="90">
        <v>45645</v>
      </c>
      <c r="AD675" s="91">
        <v>6995</v>
      </c>
      <c r="AE675" s="91">
        <v>7092</v>
      </c>
      <c r="AF675" s="91">
        <v>7085.861328</v>
      </c>
      <c r="AG675" s="91">
        <v>660251</v>
      </c>
      <c r="AH675" s="91">
        <v>-3.0999999999999999E-3</v>
      </c>
      <c r="AI675" s="91"/>
      <c r="AJ675" s="91">
        <f>(F675*'Part 3 Portfolio Analysis'!$B$8+M675*'Part 3 Portfolio Analysis'!$C$8+T675*'Part 3 Portfolio Analysis'!$D$8+AA675*'Part 3 Portfolio Analysis'!$E$8+AH675*'Part 3 Portfolio Analysis'!$F$8)/100</f>
        <v>-1.0673654482655403E-2</v>
      </c>
      <c r="AK675" s="91">
        <f>'Part 3 Portfolio Analysis'!$B$107*F675+M675*'Part 3 Portfolio Analysis'!$C$107+T675*'Part 3 Portfolio Analysis'!$D$107+AA675*'Part 3 Portfolio Analysis'!$E$107+AH675*'Part 3 Portfolio Analysis'!$F$107</f>
        <v>-9.4842999999999993E-3</v>
      </c>
      <c r="AL675" s="91">
        <f>F675*'Part 3 Portfolio Analysis'!$B$121+M675*'Part 3 Portfolio Analysis'!$C$121+'Part 3 Portfolio Analysis'!$D$121*T675+AA675*'Part 3 Portfolio Analysis'!$E$121+'Part 3 Portfolio Analysis'!$F$121*AH675</f>
        <v>-1.3564399999999999E-2</v>
      </c>
      <c r="AM675" s="91"/>
      <c r="AN675" s="90">
        <v>45645</v>
      </c>
      <c r="AO675" s="91">
        <v>23877.150389999999</v>
      </c>
      <c r="AP675" s="91">
        <v>23951.699219999999</v>
      </c>
      <c r="AQ675" s="91">
        <v>23951.699219999999</v>
      </c>
      <c r="AR675" s="91">
        <v>271100</v>
      </c>
      <c r="AS675" s="91">
        <v>-1.0200000000000001E-2</v>
      </c>
    </row>
    <row r="676" spans="1:45" x14ac:dyDescent="0.55000000000000004">
      <c r="A676" s="90">
        <v>45646</v>
      </c>
      <c r="B676" s="91">
        <v>7301.0498049999997</v>
      </c>
      <c r="C676" s="91">
        <v>6921.6000979999999</v>
      </c>
      <c r="D676" s="91">
        <v>6844.1772460000002</v>
      </c>
      <c r="E676" s="91">
        <v>258016</v>
      </c>
      <c r="F676" s="91">
        <v>-4.3400000000000001E-2</v>
      </c>
      <c r="H676" s="90">
        <v>45646</v>
      </c>
      <c r="I676" s="91">
        <v>1224</v>
      </c>
      <c r="J676" s="91">
        <v>1205.3000489999999</v>
      </c>
      <c r="K676" s="91">
        <v>1200.505371</v>
      </c>
      <c r="L676" s="91">
        <v>20312896</v>
      </c>
      <c r="M676" s="91">
        <v>-2.0400000000000001E-2</v>
      </c>
      <c r="O676" s="90">
        <v>45646</v>
      </c>
      <c r="P676" s="91">
        <v>891.09997559999999</v>
      </c>
      <c r="Q676" s="91">
        <v>885.75</v>
      </c>
      <c r="R676" s="91">
        <v>873.93701169999997</v>
      </c>
      <c r="S676" s="91">
        <v>25692348</v>
      </c>
      <c r="T676" s="91">
        <v>-1.23E-2</v>
      </c>
      <c r="V676" s="90">
        <v>45646</v>
      </c>
      <c r="W676" s="91">
        <v>1975.150024</v>
      </c>
      <c r="X676" s="91">
        <v>1922.150024</v>
      </c>
      <c r="Y676" s="91">
        <v>1866.900269</v>
      </c>
      <c r="Z676" s="91">
        <v>11056720</v>
      </c>
      <c r="AA676" s="91">
        <v>-1.24E-2</v>
      </c>
      <c r="AB676" s="91"/>
      <c r="AC676" s="90">
        <v>45646</v>
      </c>
      <c r="AD676" s="91">
        <v>7125</v>
      </c>
      <c r="AE676" s="91">
        <v>6831.5498049999997</v>
      </c>
      <c r="AF676" s="91">
        <v>6825.6367190000001</v>
      </c>
      <c r="AG676" s="91">
        <v>768861</v>
      </c>
      <c r="AH676" s="91">
        <v>-3.6700000000000003E-2</v>
      </c>
      <c r="AI676" s="91"/>
      <c r="AJ676" s="91">
        <f>(F676*'Part 3 Portfolio Analysis'!$B$8+M676*'Part 3 Portfolio Analysis'!$C$8+T676*'Part 3 Portfolio Analysis'!$D$8+AA676*'Part 3 Portfolio Analysis'!$E$8+AH676*'Part 3 Portfolio Analysis'!$F$8)/100</f>
        <v>-2.4820658195255137E-2</v>
      </c>
      <c r="AK676" s="91">
        <f>'Part 3 Portfolio Analysis'!$B$107*F676+M676*'Part 3 Portfolio Analysis'!$C$107+T676*'Part 3 Portfolio Analysis'!$D$107+AA676*'Part 3 Portfolio Analysis'!$E$107+AH676*'Part 3 Portfolio Analysis'!$F$107</f>
        <v>-2.65921E-2</v>
      </c>
      <c r="AL676" s="91">
        <f>F676*'Part 3 Portfolio Analysis'!$B$121+M676*'Part 3 Portfolio Analysis'!$C$121+'Part 3 Portfolio Analysis'!$D$121*T676+AA676*'Part 3 Portfolio Analysis'!$E$121+'Part 3 Portfolio Analysis'!$F$121*AH676</f>
        <v>-1.8914460000000001E-2</v>
      </c>
      <c r="AM676" s="91"/>
      <c r="AN676" s="90">
        <v>45646</v>
      </c>
      <c r="AO676" s="91">
        <v>23960.699219999999</v>
      </c>
      <c r="AP676" s="91">
        <v>23587.5</v>
      </c>
      <c r="AQ676" s="91">
        <v>23587.5</v>
      </c>
      <c r="AR676" s="91">
        <v>442700</v>
      </c>
      <c r="AS676" s="91">
        <v>-1.52E-2</v>
      </c>
    </row>
    <row r="677" spans="1:45" x14ac:dyDescent="0.55000000000000004">
      <c r="A677" s="90">
        <v>45649</v>
      </c>
      <c r="B677" s="91">
        <v>7037.7001950000003</v>
      </c>
      <c r="C677" s="91">
        <v>6900.75</v>
      </c>
      <c r="D677" s="91">
        <v>6823.5600590000004</v>
      </c>
      <c r="E677" s="91">
        <v>113431</v>
      </c>
      <c r="F677" s="91">
        <v>-3.0000000000000001E-3</v>
      </c>
      <c r="H677" s="90">
        <v>45649</v>
      </c>
      <c r="I677" s="91">
        <v>1215</v>
      </c>
      <c r="J677" s="91">
        <v>1222.3000489999999</v>
      </c>
      <c r="K677" s="91">
        <v>1217.4377440000001</v>
      </c>
      <c r="L677" s="91">
        <v>10052824</v>
      </c>
      <c r="M677" s="91">
        <v>1.41E-2</v>
      </c>
      <c r="O677" s="90">
        <v>45649</v>
      </c>
      <c r="P677" s="91">
        <v>891</v>
      </c>
      <c r="Q677" s="91">
        <v>900.5</v>
      </c>
      <c r="R677" s="91">
        <v>888.49029540000004</v>
      </c>
      <c r="S677" s="91">
        <v>11044592</v>
      </c>
      <c r="T677" s="91">
        <v>1.67E-2</v>
      </c>
      <c r="V677" s="90">
        <v>45649</v>
      </c>
      <c r="W677" s="91">
        <v>1930.0500489999999</v>
      </c>
      <c r="X677" s="91">
        <v>1924.3000489999999</v>
      </c>
      <c r="Y677" s="91">
        <v>1868.988525</v>
      </c>
      <c r="Z677" s="91">
        <v>2781793</v>
      </c>
      <c r="AA677" s="91">
        <v>1.1000000000000001E-3</v>
      </c>
      <c r="AB677" s="91"/>
      <c r="AC677" s="90">
        <v>45649</v>
      </c>
      <c r="AD677" s="91">
        <v>6870</v>
      </c>
      <c r="AE677" s="91">
        <v>6946</v>
      </c>
      <c r="AF677" s="91">
        <v>6939.9877930000002</v>
      </c>
      <c r="AG677" s="91">
        <v>783189</v>
      </c>
      <c r="AH677" s="91">
        <v>1.6799999999999999E-2</v>
      </c>
      <c r="AI677" s="91"/>
      <c r="AJ677" s="91">
        <f>(F677*'Part 3 Portfolio Analysis'!$B$8+M677*'Part 3 Portfolio Analysis'!$C$8+T677*'Part 3 Portfolio Analysis'!$D$8+AA677*'Part 3 Portfolio Analysis'!$E$8+AH677*'Part 3 Portfolio Analysis'!$F$8)/100</f>
        <v>7.3379653238825511E-3</v>
      </c>
      <c r="AK677" s="91">
        <f>'Part 3 Portfolio Analysis'!$B$107*F677+M677*'Part 3 Portfolio Analysis'!$C$107+T677*'Part 3 Portfolio Analysis'!$D$107+AA677*'Part 3 Portfolio Analysis'!$E$107+AH677*'Part 3 Portfolio Analysis'!$F$107</f>
        <v>1.08054E-2</v>
      </c>
      <c r="AL677" s="91">
        <f>F677*'Part 3 Portfolio Analysis'!$B$121+M677*'Part 3 Portfolio Analysis'!$C$121+'Part 3 Portfolio Analysis'!$D$121*T677+AA677*'Part 3 Portfolio Analysis'!$E$121+'Part 3 Portfolio Analysis'!$F$121*AH677</f>
        <v>1.0872320000000001E-2</v>
      </c>
      <c r="AM677" s="91"/>
      <c r="AN677" s="90">
        <v>45649</v>
      </c>
      <c r="AO677" s="91">
        <v>23738.199219999999</v>
      </c>
      <c r="AP677" s="91">
        <v>23753.449219999999</v>
      </c>
      <c r="AQ677" s="91">
        <v>23753.449219999999</v>
      </c>
      <c r="AR677" s="91">
        <v>189800</v>
      </c>
      <c r="AS677" s="91">
        <v>7.0000000000000001E-3</v>
      </c>
    </row>
    <row r="678" spans="1:45" x14ac:dyDescent="0.55000000000000004">
      <c r="A678" s="90">
        <v>45650</v>
      </c>
      <c r="B678" s="91">
        <v>6930</v>
      </c>
      <c r="C678" s="91">
        <v>6857.75</v>
      </c>
      <c r="D678" s="91">
        <v>6781.0410160000001</v>
      </c>
      <c r="E678" s="91">
        <v>150784</v>
      </c>
      <c r="F678" s="91">
        <v>-6.1999999999999998E-3</v>
      </c>
      <c r="H678" s="90">
        <v>45650</v>
      </c>
      <c r="I678" s="91">
        <v>1222.3000489999999</v>
      </c>
      <c r="J678" s="91">
        <v>1222.75</v>
      </c>
      <c r="K678" s="91">
        <v>1217.8858640000001</v>
      </c>
      <c r="L678" s="91">
        <v>6734917</v>
      </c>
      <c r="M678" s="91">
        <v>4.0000000000000002E-4</v>
      </c>
      <c r="O678" s="90">
        <v>45650</v>
      </c>
      <c r="P678" s="91">
        <v>901.02502440000001</v>
      </c>
      <c r="Q678" s="91">
        <v>899.04998780000005</v>
      </c>
      <c r="R678" s="91">
        <v>887.05963129999998</v>
      </c>
      <c r="S678" s="91">
        <v>14485834</v>
      </c>
      <c r="T678" s="91">
        <v>-1.6000000000000001E-3</v>
      </c>
      <c r="V678" s="90">
        <v>45650</v>
      </c>
      <c r="W678" s="91">
        <v>1927.0500489999999</v>
      </c>
      <c r="X678" s="91">
        <v>1909.0500489999999</v>
      </c>
      <c r="Y678" s="91">
        <v>1854.17688</v>
      </c>
      <c r="Z678" s="91">
        <v>2360544</v>
      </c>
      <c r="AA678" s="91">
        <v>-7.9000000000000008E-3</v>
      </c>
      <c r="AB678" s="91"/>
      <c r="AC678" s="90">
        <v>45650</v>
      </c>
      <c r="AD678" s="91">
        <v>6976</v>
      </c>
      <c r="AE678" s="91">
        <v>7007.1499020000001</v>
      </c>
      <c r="AF678" s="91">
        <v>7001.0844729999999</v>
      </c>
      <c r="AG678" s="91">
        <v>486797</v>
      </c>
      <c r="AH678" s="91">
        <v>8.8000000000000005E-3</v>
      </c>
      <c r="AI678" s="91"/>
      <c r="AJ678" s="91">
        <f>(F678*'Part 3 Portfolio Analysis'!$B$8+M678*'Part 3 Portfolio Analysis'!$C$8+T678*'Part 3 Portfolio Analysis'!$D$8+AA678*'Part 3 Portfolio Analysis'!$E$8+AH678*'Part 3 Portfolio Analysis'!$F$8)/100</f>
        <v>-3.1672758178254191E-3</v>
      </c>
      <c r="AK678" s="91">
        <f>'Part 3 Portfolio Analysis'!$B$107*F678+M678*'Part 3 Portfolio Analysis'!$C$107+T678*'Part 3 Portfolio Analysis'!$D$107+AA678*'Part 3 Portfolio Analysis'!$E$107+AH678*'Part 3 Portfolio Analysis'!$F$107</f>
        <v>1.8880000000000025E-4</v>
      </c>
      <c r="AL678" s="91">
        <f>F678*'Part 3 Portfolio Analysis'!$B$121+M678*'Part 3 Portfolio Analysis'!$C$121+'Part 3 Portfolio Analysis'!$D$121*T678+AA678*'Part 3 Portfolio Analysis'!$E$121+'Part 3 Portfolio Analysis'!$F$121*AH678</f>
        <v>-2.1264400000000007E-3</v>
      </c>
      <c r="AM678" s="91"/>
      <c r="AN678" s="90">
        <v>45650</v>
      </c>
      <c r="AO678" s="91">
        <v>23769.099610000001</v>
      </c>
      <c r="AP678" s="91">
        <v>23727.650389999999</v>
      </c>
      <c r="AQ678" s="91">
        <v>23727.650389999999</v>
      </c>
      <c r="AR678" s="91">
        <v>177700</v>
      </c>
      <c r="AS678" s="91">
        <v>-1.1000000000000001E-3</v>
      </c>
    </row>
    <row r="679" spans="1:45" x14ac:dyDescent="0.55000000000000004">
      <c r="A679" s="90">
        <v>45652</v>
      </c>
      <c r="B679" s="91">
        <v>6865</v>
      </c>
      <c r="C679" s="91">
        <v>6896.2001950000003</v>
      </c>
      <c r="D679" s="91">
        <v>6819.0615230000003</v>
      </c>
      <c r="E679" s="91">
        <v>122161</v>
      </c>
      <c r="F679" s="91">
        <v>5.5999999999999999E-3</v>
      </c>
      <c r="H679" s="90">
        <v>45652</v>
      </c>
      <c r="I679" s="91">
        <v>1224.25</v>
      </c>
      <c r="J679" s="91">
        <v>1216.5500489999999</v>
      </c>
      <c r="K679" s="91">
        <v>1211.7105710000001</v>
      </c>
      <c r="L679" s="91">
        <v>10016178</v>
      </c>
      <c r="M679" s="91">
        <v>-5.1000000000000004E-3</v>
      </c>
      <c r="O679" s="90">
        <v>45652</v>
      </c>
      <c r="P679" s="91">
        <v>899.27502440000001</v>
      </c>
      <c r="Q679" s="91">
        <v>895.375</v>
      </c>
      <c r="R679" s="91">
        <v>883.4336548</v>
      </c>
      <c r="S679" s="91">
        <v>10481678</v>
      </c>
      <c r="T679" s="91">
        <v>-4.1000000000000003E-3</v>
      </c>
      <c r="V679" s="90">
        <v>45652</v>
      </c>
      <c r="W679" s="91">
        <v>1909.0500489999999</v>
      </c>
      <c r="X679" s="91">
        <v>1907.400024</v>
      </c>
      <c r="Y679" s="91">
        <v>1852.574341</v>
      </c>
      <c r="Z679" s="91">
        <v>3623321</v>
      </c>
      <c r="AA679" s="91">
        <v>-8.9999999999999998E-4</v>
      </c>
      <c r="AB679" s="91"/>
      <c r="AC679" s="90">
        <v>45652</v>
      </c>
      <c r="AD679" s="91">
        <v>7047.9501950000003</v>
      </c>
      <c r="AE679" s="91">
        <v>7063.7001950000003</v>
      </c>
      <c r="AF679" s="91">
        <v>7057.5859380000002</v>
      </c>
      <c r="AG679" s="91">
        <v>440974</v>
      </c>
      <c r="AH679" s="91">
        <v>8.0999999999999996E-3</v>
      </c>
      <c r="AI679" s="91"/>
      <c r="AJ679" s="91">
        <f>(F679*'Part 3 Portfolio Analysis'!$B$8+M679*'Part 3 Portfolio Analysis'!$C$8+T679*'Part 3 Portfolio Analysis'!$D$8+AA679*'Part 3 Portfolio Analysis'!$E$8+AH679*'Part 3 Portfolio Analysis'!$F$8)/100</f>
        <v>-9.1825482819599623E-4</v>
      </c>
      <c r="AK679" s="91">
        <f>'Part 3 Portfolio Analysis'!$B$107*F679+M679*'Part 3 Portfolio Analysis'!$C$107+T679*'Part 3 Portfolio Analysis'!$D$107+AA679*'Part 3 Portfolio Analysis'!$E$107+AH679*'Part 3 Portfolio Analysis'!$F$107</f>
        <v>7.2739999999999979E-4</v>
      </c>
      <c r="AL679" s="91">
        <f>F679*'Part 3 Portfolio Analysis'!$B$121+M679*'Part 3 Portfolio Analysis'!$C$121+'Part 3 Portfolio Analysis'!$D$121*T679+AA679*'Part 3 Portfolio Analysis'!$E$121+'Part 3 Portfolio Analysis'!$F$121*AH679</f>
        <v>-2.7626200000000008E-3</v>
      </c>
      <c r="AM679" s="91"/>
      <c r="AN679" s="90">
        <v>45652</v>
      </c>
      <c r="AO679" s="91">
        <v>23775.800780000001</v>
      </c>
      <c r="AP679" s="91">
        <v>23750.199219999999</v>
      </c>
      <c r="AQ679" s="91">
        <v>23750.199219999999</v>
      </c>
      <c r="AR679" s="91">
        <v>177700</v>
      </c>
      <c r="AS679" s="91">
        <v>1E-3</v>
      </c>
    </row>
    <row r="680" spans="1:45" x14ac:dyDescent="0.55000000000000004">
      <c r="A680" s="90">
        <v>45653</v>
      </c>
      <c r="B680" s="91">
        <v>6920</v>
      </c>
      <c r="C680" s="91">
        <v>6886.3500979999999</v>
      </c>
      <c r="D680" s="91">
        <v>6809.3212890000004</v>
      </c>
      <c r="E680" s="91">
        <v>89937</v>
      </c>
      <c r="F680" s="91">
        <v>-1.4E-3</v>
      </c>
      <c r="H680" s="90">
        <v>45653</v>
      </c>
      <c r="I680" s="91">
        <v>1218.3000489999999</v>
      </c>
      <c r="J680" s="91">
        <v>1221.0500489999999</v>
      </c>
      <c r="K680" s="91">
        <v>1216.192749</v>
      </c>
      <c r="L680" s="91">
        <v>7000397</v>
      </c>
      <c r="M680" s="91">
        <v>3.7000000000000002E-3</v>
      </c>
      <c r="O680" s="90">
        <v>45653</v>
      </c>
      <c r="P680" s="91">
        <v>897.40002440000001</v>
      </c>
      <c r="Q680" s="91">
        <v>899.125</v>
      </c>
      <c r="R680" s="91">
        <v>887.13366699999995</v>
      </c>
      <c r="S680" s="91">
        <v>7259330</v>
      </c>
      <c r="T680" s="91">
        <v>4.1999999999999997E-3</v>
      </c>
      <c r="V680" s="90">
        <v>45653</v>
      </c>
      <c r="W680" s="91">
        <v>1909.400024</v>
      </c>
      <c r="X680" s="91">
        <v>1916.75</v>
      </c>
      <c r="Y680" s="91">
        <v>1861.655518</v>
      </c>
      <c r="Z680" s="91">
        <v>3937500</v>
      </c>
      <c r="AA680" s="91">
        <v>4.8999999999999998E-3</v>
      </c>
      <c r="AB680" s="91"/>
      <c r="AC680" s="90">
        <v>45653</v>
      </c>
      <c r="AD680" s="91">
        <v>7101</v>
      </c>
      <c r="AE680" s="91">
        <v>7118.2998049999997</v>
      </c>
      <c r="AF680" s="91">
        <v>7112.1381840000004</v>
      </c>
      <c r="AG680" s="91">
        <v>530288</v>
      </c>
      <c r="AH680" s="91">
        <v>7.7000000000000002E-3</v>
      </c>
      <c r="AI680" s="91"/>
      <c r="AJ680" s="91">
        <f>(F680*'Part 3 Portfolio Analysis'!$B$8+M680*'Part 3 Portfolio Analysis'!$C$8+T680*'Part 3 Portfolio Analysis'!$D$8+AA680*'Part 3 Portfolio Analysis'!$E$8+AH680*'Part 3 Portfolio Analysis'!$F$8)/100</f>
        <v>2.4856210213063988E-3</v>
      </c>
      <c r="AK680" s="91">
        <f>'Part 3 Portfolio Analysis'!$B$107*F680+M680*'Part 3 Portfolio Analysis'!$C$107+T680*'Part 3 Portfolio Analysis'!$D$107+AA680*'Part 3 Portfolio Analysis'!$E$107+AH680*'Part 3 Portfolio Analysis'!$F$107</f>
        <v>3.9874999999999997E-3</v>
      </c>
      <c r="AL680" s="91">
        <f>F680*'Part 3 Portfolio Analysis'!$B$121+M680*'Part 3 Portfolio Analysis'!$C$121+'Part 3 Portfolio Analysis'!$D$121*T680+AA680*'Part 3 Portfolio Analysis'!$E$121+'Part 3 Portfolio Analysis'!$F$121*AH680</f>
        <v>3.76158E-3</v>
      </c>
      <c r="AM680" s="91"/>
      <c r="AN680" s="90">
        <v>45653</v>
      </c>
      <c r="AO680" s="91">
        <v>23801.400389999999</v>
      </c>
      <c r="AP680" s="91">
        <v>23813.400389999999</v>
      </c>
      <c r="AQ680" s="91">
        <v>23813.400389999999</v>
      </c>
      <c r="AR680" s="91">
        <v>176800</v>
      </c>
      <c r="AS680" s="91">
        <v>2.7000000000000001E-3</v>
      </c>
    </row>
    <row r="681" spans="1:45" x14ac:dyDescent="0.55000000000000004">
      <c r="A681" s="90">
        <v>45656</v>
      </c>
      <c r="B681" s="91">
        <v>6881</v>
      </c>
      <c r="C681" s="91">
        <v>6925.5498049999997</v>
      </c>
      <c r="D681" s="91">
        <v>6848.0825199999999</v>
      </c>
      <c r="E681" s="91">
        <v>112066</v>
      </c>
      <c r="F681" s="91">
        <v>5.7000000000000002E-3</v>
      </c>
      <c r="H681" s="90">
        <v>45656</v>
      </c>
      <c r="I681" s="91">
        <v>1216.400024</v>
      </c>
      <c r="J681" s="91">
        <v>1210.6999510000001</v>
      </c>
      <c r="K681" s="91">
        <v>1205.883789</v>
      </c>
      <c r="L681" s="91">
        <v>8818766</v>
      </c>
      <c r="M681" s="91">
        <v>-8.5000000000000006E-3</v>
      </c>
      <c r="O681" s="90">
        <v>45656</v>
      </c>
      <c r="P681" s="91">
        <v>896.09997559999999</v>
      </c>
      <c r="Q681" s="91">
        <v>888.95001219999995</v>
      </c>
      <c r="R681" s="91">
        <v>877.09436040000003</v>
      </c>
      <c r="S681" s="91">
        <v>22222218</v>
      </c>
      <c r="T681" s="91">
        <v>-1.1299999999999999E-2</v>
      </c>
      <c r="V681" s="90">
        <v>45656</v>
      </c>
      <c r="W681" s="91">
        <v>1915.6999510000001</v>
      </c>
      <c r="X681" s="91">
        <v>1906</v>
      </c>
      <c r="Y681" s="91">
        <v>1851.2144780000001</v>
      </c>
      <c r="Z681" s="91">
        <v>7789055</v>
      </c>
      <c r="AA681" s="91">
        <v>-5.5999999999999999E-3</v>
      </c>
      <c r="AB681" s="91"/>
      <c r="AC681" s="90">
        <v>45656</v>
      </c>
      <c r="AD681" s="91">
        <v>7139.2998049999997</v>
      </c>
      <c r="AE681" s="91">
        <v>6954.3500979999999</v>
      </c>
      <c r="AF681" s="91">
        <v>6948.3305659999996</v>
      </c>
      <c r="AG681" s="91">
        <v>960856</v>
      </c>
      <c r="AH681" s="91">
        <v>-2.3E-2</v>
      </c>
      <c r="AI681" s="91"/>
      <c r="AJ681" s="91">
        <f>(F681*'Part 3 Portfolio Analysis'!$B$8+M681*'Part 3 Portfolio Analysis'!$C$8+T681*'Part 3 Portfolio Analysis'!$D$8+AA681*'Part 3 Portfolio Analysis'!$E$8+AH681*'Part 3 Portfolio Analysis'!$F$8)/100</f>
        <v>-4.3820853621855367E-3</v>
      </c>
      <c r="AK681" s="91">
        <f>'Part 3 Portfolio Analysis'!$B$107*F681+M681*'Part 3 Portfolio Analysis'!$C$107+T681*'Part 3 Portfolio Analysis'!$D$107+AA681*'Part 3 Portfolio Analysis'!$E$107+AH681*'Part 3 Portfolio Analysis'!$F$107</f>
        <v>-9.7420000000000007E-3</v>
      </c>
      <c r="AL681" s="91">
        <f>F681*'Part 3 Portfolio Analysis'!$B$121+M681*'Part 3 Portfolio Analysis'!$C$121+'Part 3 Portfolio Analysis'!$D$121*T681+AA681*'Part 3 Portfolio Analysis'!$E$121+'Part 3 Portfolio Analysis'!$F$121*AH681</f>
        <v>-7.8942600000000002E-3</v>
      </c>
      <c r="AM681" s="91"/>
      <c r="AN681" s="90">
        <v>45656</v>
      </c>
      <c r="AO681" s="91">
        <v>23796.900389999999</v>
      </c>
      <c r="AP681" s="91">
        <v>23644.900389999999</v>
      </c>
      <c r="AQ681" s="91">
        <v>23644.900389999999</v>
      </c>
      <c r="AR681" s="91">
        <v>364900</v>
      </c>
      <c r="AS681" s="91">
        <v>-7.1000000000000004E-3</v>
      </c>
    </row>
    <row r="682" spans="1:45" x14ac:dyDescent="0.55000000000000004">
      <c r="A682" s="90">
        <v>45657</v>
      </c>
      <c r="B682" s="91">
        <v>6906.2998049999997</v>
      </c>
      <c r="C682" s="91">
        <v>6796.5498049999997</v>
      </c>
      <c r="D682" s="91">
        <v>6720.5253910000001</v>
      </c>
      <c r="E682" s="91">
        <v>104133</v>
      </c>
      <c r="F682" s="91">
        <v>-1.8599999999999998E-2</v>
      </c>
      <c r="H682" s="90">
        <v>45657</v>
      </c>
      <c r="I682" s="91">
        <v>1208</v>
      </c>
      <c r="J682" s="91">
        <v>1215.4499510000001</v>
      </c>
      <c r="K682" s="91">
        <v>1210.6148679999999</v>
      </c>
      <c r="L682" s="91">
        <v>6405475</v>
      </c>
      <c r="M682" s="91">
        <v>3.8999999999999998E-3</v>
      </c>
      <c r="O682" s="90">
        <v>45657</v>
      </c>
      <c r="P682" s="91">
        <v>885.15002440000001</v>
      </c>
      <c r="Q682" s="91">
        <v>886.42498780000005</v>
      </c>
      <c r="R682" s="91">
        <v>874.60302730000001</v>
      </c>
      <c r="S682" s="91">
        <v>14117236</v>
      </c>
      <c r="T682" s="91">
        <v>-2.8E-3</v>
      </c>
      <c r="V682" s="90">
        <v>45657</v>
      </c>
      <c r="W682" s="91">
        <v>1892.3000489999999</v>
      </c>
      <c r="X682" s="91">
        <v>1880</v>
      </c>
      <c r="Y682" s="91">
        <v>1825.9617920000001</v>
      </c>
      <c r="Z682" s="91">
        <v>3613063</v>
      </c>
      <c r="AA682" s="91">
        <v>-1.3599999999999999E-2</v>
      </c>
      <c r="AB682" s="91"/>
      <c r="AC682" s="90">
        <v>45657</v>
      </c>
      <c r="AD682" s="91">
        <v>6954</v>
      </c>
      <c r="AE682" s="91">
        <v>7123.3500979999999</v>
      </c>
      <c r="AF682" s="91">
        <v>7117.1840819999998</v>
      </c>
      <c r="AG682" s="91">
        <v>915919</v>
      </c>
      <c r="AH682" s="91">
        <v>2.4299999999999999E-2</v>
      </c>
      <c r="AI682" s="91"/>
      <c r="AJ682" s="91">
        <f>(F682*'Part 3 Portfolio Analysis'!$B$8+M682*'Part 3 Portfolio Analysis'!$C$8+T682*'Part 3 Portfolio Analysis'!$D$8+AA682*'Part 3 Portfolio Analysis'!$E$8+AH682*'Part 3 Portfolio Analysis'!$F$8)/100</f>
        <v>-6.5846011912286742E-3</v>
      </c>
      <c r="AK682" s="91">
        <f>'Part 3 Portfolio Analysis'!$B$107*F682+M682*'Part 3 Portfolio Analysis'!$C$107+T682*'Part 3 Portfolio Analysis'!$D$107+AA682*'Part 3 Portfolio Analysis'!$E$107+AH682*'Part 3 Portfolio Analysis'!$F$107</f>
        <v>2.2023000000000008E-3</v>
      </c>
      <c r="AL682" s="91">
        <f>F682*'Part 3 Portfolio Analysis'!$B$121+M682*'Part 3 Portfolio Analysis'!$C$121+'Part 3 Portfolio Analysis'!$D$121*T682+AA682*'Part 3 Portfolio Analysis'!$E$121+'Part 3 Portfolio Analysis'!$F$121*AH682</f>
        <v>-2.7374200000000004E-3</v>
      </c>
      <c r="AM682" s="91"/>
      <c r="AN682" s="90">
        <v>45657</v>
      </c>
      <c r="AO682" s="91">
        <v>23560.599610000001</v>
      </c>
      <c r="AP682" s="91">
        <v>23644.800780000001</v>
      </c>
      <c r="AQ682" s="91">
        <v>23644.800780000001</v>
      </c>
      <c r="AR682" s="91">
        <v>193600</v>
      </c>
      <c r="AS682" s="91">
        <v>0</v>
      </c>
    </row>
    <row r="683" spans="1:45" x14ac:dyDescent="0.55000000000000004">
      <c r="A683" s="90">
        <v>45658</v>
      </c>
      <c r="B683" s="91">
        <v>6810.5</v>
      </c>
      <c r="C683" s="91">
        <v>6743.75</v>
      </c>
      <c r="D683" s="91">
        <v>6668.3164059999999</v>
      </c>
      <c r="E683" s="91">
        <v>91883</v>
      </c>
      <c r="F683" s="91">
        <v>-7.7999999999999996E-3</v>
      </c>
      <c r="H683" s="90">
        <v>45658</v>
      </c>
      <c r="I683" s="91">
        <v>1214.849976</v>
      </c>
      <c r="J683" s="91">
        <v>1221.25</v>
      </c>
      <c r="K683" s="91">
        <v>1216.391846</v>
      </c>
      <c r="L683" s="91">
        <v>5892590</v>
      </c>
      <c r="M683" s="91">
        <v>4.7999999999999996E-3</v>
      </c>
      <c r="O683" s="90">
        <v>45658</v>
      </c>
      <c r="P683" s="91">
        <v>886.72497559999999</v>
      </c>
      <c r="Q683" s="91">
        <v>891.375</v>
      </c>
      <c r="R683" s="91">
        <v>879.48693849999995</v>
      </c>
      <c r="S683" s="91">
        <v>7313806</v>
      </c>
      <c r="T683" s="91">
        <v>5.5999999999999999E-3</v>
      </c>
      <c r="V683" s="90">
        <v>45658</v>
      </c>
      <c r="W683" s="91">
        <v>1874</v>
      </c>
      <c r="X683" s="91">
        <v>1882.5</v>
      </c>
      <c r="Y683" s="91">
        <v>1828.3900149999999</v>
      </c>
      <c r="Z683" s="91">
        <v>1838368</v>
      </c>
      <c r="AA683" s="91">
        <v>1.2999999999999999E-3</v>
      </c>
      <c r="AB683" s="91"/>
      <c r="AC683" s="90">
        <v>45658</v>
      </c>
      <c r="AD683" s="91">
        <v>7121</v>
      </c>
      <c r="AE683" s="91">
        <v>7068.0498049999997</v>
      </c>
      <c r="AF683" s="91">
        <v>7061.9316410000001</v>
      </c>
      <c r="AG683" s="91">
        <v>412650</v>
      </c>
      <c r="AH683" s="91">
        <v>-7.7999999999999996E-3</v>
      </c>
      <c r="AI683" s="91"/>
      <c r="AJ683" s="91">
        <f>(F683*'Part 3 Portfolio Analysis'!$B$8+M683*'Part 3 Portfolio Analysis'!$C$8+T683*'Part 3 Portfolio Analysis'!$D$8+AA683*'Part 3 Portfolio Analysis'!$E$8+AH683*'Part 3 Portfolio Analysis'!$F$8)/100</f>
        <v>4.6703534598378093E-4</v>
      </c>
      <c r="AK683" s="91">
        <f>'Part 3 Portfolio Analysis'!$B$107*F683+M683*'Part 3 Portfolio Analysis'!$C$107+T683*'Part 3 Portfolio Analysis'!$D$107+AA683*'Part 3 Portfolio Analysis'!$E$107+AH683*'Part 3 Portfolio Analysis'!$F$107</f>
        <v>-8.6920000000000009E-4</v>
      </c>
      <c r="AL683" s="91">
        <f>F683*'Part 3 Portfolio Analysis'!$B$121+M683*'Part 3 Portfolio Analysis'!$C$121+'Part 3 Portfolio Analysis'!$D$121*T683+AA683*'Part 3 Portfolio Analysis'!$E$121+'Part 3 Portfolio Analysis'!$F$121*AH683</f>
        <v>2.9517599999999995E-3</v>
      </c>
      <c r="AM683" s="91"/>
      <c r="AN683" s="90">
        <v>45658</v>
      </c>
      <c r="AO683" s="91">
        <v>23637.650389999999</v>
      </c>
      <c r="AP683" s="91">
        <v>23742.900389999999</v>
      </c>
      <c r="AQ683" s="91">
        <v>23742.900389999999</v>
      </c>
      <c r="AR683" s="91">
        <v>154900</v>
      </c>
      <c r="AS683" s="91">
        <v>4.1000000000000003E-3</v>
      </c>
    </row>
    <row r="684" spans="1:45" x14ac:dyDescent="0.55000000000000004">
      <c r="A684" s="90">
        <v>45659</v>
      </c>
      <c r="B684" s="91">
        <v>6743.75</v>
      </c>
      <c r="C684" s="91">
        <v>6705.25</v>
      </c>
      <c r="D684" s="91">
        <v>6630.2470700000003</v>
      </c>
      <c r="E684" s="91">
        <v>381285</v>
      </c>
      <c r="F684" s="91">
        <v>-5.7000000000000002E-3</v>
      </c>
      <c r="H684" s="90">
        <v>45659</v>
      </c>
      <c r="I684" s="91">
        <v>1221.25</v>
      </c>
      <c r="J684" s="91">
        <v>1241.8000489999999</v>
      </c>
      <c r="K684" s="91">
        <v>1236.860107</v>
      </c>
      <c r="L684" s="91">
        <v>15486276</v>
      </c>
      <c r="M684" s="91">
        <v>1.6799999999999999E-2</v>
      </c>
      <c r="O684" s="90">
        <v>45659</v>
      </c>
      <c r="P684" s="91">
        <v>888.54998780000005</v>
      </c>
      <c r="Q684" s="91">
        <v>896.875</v>
      </c>
      <c r="R684" s="91">
        <v>884.91363530000001</v>
      </c>
      <c r="S684" s="91">
        <v>18558576</v>
      </c>
      <c r="T684" s="91">
        <v>6.1999999999999998E-3</v>
      </c>
      <c r="V684" s="90">
        <v>45659</v>
      </c>
      <c r="W684" s="91">
        <v>1887</v>
      </c>
      <c r="X684" s="91">
        <v>1957.849976</v>
      </c>
      <c r="Y684" s="91">
        <v>1901.5742190000001</v>
      </c>
      <c r="Z684" s="91">
        <v>7083645</v>
      </c>
      <c r="AA684" s="91">
        <v>0.04</v>
      </c>
      <c r="AB684" s="91"/>
      <c r="AC684" s="90">
        <v>45659</v>
      </c>
      <c r="AD684" s="91">
        <v>7100</v>
      </c>
      <c r="AE684" s="91">
        <v>7321</v>
      </c>
      <c r="AF684" s="91">
        <v>7314.6630859999996</v>
      </c>
      <c r="AG684" s="91">
        <v>706114</v>
      </c>
      <c r="AH684" s="91">
        <v>3.5799999999999998E-2</v>
      </c>
      <c r="AI684" s="91"/>
      <c r="AJ684" s="91">
        <f>(F684*'Part 3 Portfolio Analysis'!$B$8+M684*'Part 3 Portfolio Analysis'!$C$8+T684*'Part 3 Portfolio Analysis'!$D$8+AA684*'Part 3 Portfolio Analysis'!$E$8+AH684*'Part 3 Portfolio Analysis'!$F$8)/100</f>
        <v>1.2201142536221456E-2</v>
      </c>
      <c r="AK684" s="91">
        <f>'Part 3 Portfolio Analysis'!$B$107*F684+M684*'Part 3 Portfolio Analysis'!$C$107+T684*'Part 3 Portfolio Analysis'!$D$107+AA684*'Part 3 Portfolio Analysis'!$E$107+AH684*'Part 3 Portfolio Analysis'!$F$107</f>
        <v>1.8215000000000002E-2</v>
      </c>
      <c r="AL684" s="91">
        <f>F684*'Part 3 Portfolio Analysis'!$B$121+M684*'Part 3 Portfolio Analysis'!$C$121+'Part 3 Portfolio Analysis'!$D$121*T684+AA684*'Part 3 Portfolio Analysis'!$E$121+'Part 3 Portfolio Analysis'!$F$121*AH684</f>
        <v>1.7205100000000001E-2</v>
      </c>
      <c r="AM684" s="91"/>
      <c r="AN684" s="90">
        <v>45659</v>
      </c>
      <c r="AO684" s="91">
        <v>23783</v>
      </c>
      <c r="AP684" s="91">
        <v>24188.650389999999</v>
      </c>
      <c r="AQ684" s="91">
        <v>24188.650389999999</v>
      </c>
      <c r="AR684" s="91">
        <v>283200</v>
      </c>
      <c r="AS684" s="91">
        <v>1.8800000000000001E-2</v>
      </c>
    </row>
    <row r="685" spans="1:45" x14ac:dyDescent="0.55000000000000004">
      <c r="A685" s="90">
        <v>45660</v>
      </c>
      <c r="B685" s="91">
        <v>6710</v>
      </c>
      <c r="C685" s="91">
        <v>6647.5498049999997</v>
      </c>
      <c r="D685" s="91">
        <v>6573.1923829999996</v>
      </c>
      <c r="E685" s="91">
        <v>227250</v>
      </c>
      <c r="F685" s="91">
        <v>-8.6E-3</v>
      </c>
      <c r="H685" s="90">
        <v>45660</v>
      </c>
      <c r="I685" s="91">
        <v>1243.900024</v>
      </c>
      <c r="J685" s="91">
        <v>1251.150024</v>
      </c>
      <c r="K685" s="91">
        <v>1246.1729740000001</v>
      </c>
      <c r="L685" s="91">
        <v>15521102</v>
      </c>
      <c r="M685" s="91">
        <v>7.4999999999999997E-3</v>
      </c>
      <c r="O685" s="90">
        <v>45660</v>
      </c>
      <c r="P685" s="91">
        <v>895.5</v>
      </c>
      <c r="Q685" s="91">
        <v>874.59997559999999</v>
      </c>
      <c r="R685" s="91">
        <v>862.9356689</v>
      </c>
      <c r="S685" s="91">
        <v>24426194</v>
      </c>
      <c r="T685" s="91">
        <v>-2.4799999999999999E-2</v>
      </c>
      <c r="V685" s="90">
        <v>45660</v>
      </c>
      <c r="W685" s="91">
        <v>1952.9499510000001</v>
      </c>
      <c r="X685" s="91">
        <v>1938.75</v>
      </c>
      <c r="Y685" s="91">
        <v>1883.023193</v>
      </c>
      <c r="Z685" s="91">
        <v>6218003</v>
      </c>
      <c r="AA685" s="91">
        <v>-9.7999999999999997E-3</v>
      </c>
      <c r="AB685" s="91"/>
      <c r="AC685" s="90">
        <v>45660</v>
      </c>
      <c r="AD685" s="91">
        <v>7350</v>
      </c>
      <c r="AE685" s="91">
        <v>7307.7001950000003</v>
      </c>
      <c r="AF685" s="91">
        <v>7301.375</v>
      </c>
      <c r="AG685" s="91">
        <v>940233</v>
      </c>
      <c r="AH685" s="91">
        <v>-1.8E-3</v>
      </c>
      <c r="AI685" s="91"/>
      <c r="AJ685" s="91">
        <f>(F685*'Part 3 Portfolio Analysis'!$B$8+M685*'Part 3 Portfolio Analysis'!$C$8+T685*'Part 3 Portfolio Analysis'!$D$8+AA685*'Part 3 Portfolio Analysis'!$E$8+AH685*'Part 3 Portfolio Analysis'!$F$8)/100</f>
        <v>-5.5930954334296725E-3</v>
      </c>
      <c r="AK685" s="91">
        <f>'Part 3 Portfolio Analysis'!$B$107*F685+M685*'Part 3 Portfolio Analysis'!$C$107+T685*'Part 3 Portfolio Analysis'!$D$107+AA685*'Part 3 Portfolio Analysis'!$E$107+AH685*'Part 3 Portfolio Analysis'!$F$107</f>
        <v>-4.4781000000000005E-3</v>
      </c>
      <c r="AL685" s="91">
        <f>F685*'Part 3 Portfolio Analysis'!$B$121+M685*'Part 3 Portfolio Analysis'!$C$121+'Part 3 Portfolio Analysis'!$D$121*T685+AA685*'Part 3 Portfolio Analysis'!$E$121+'Part 3 Portfolio Analysis'!$F$121*AH685</f>
        <v>-6.3126800000000002E-3</v>
      </c>
      <c r="AM685" s="91"/>
      <c r="AN685" s="90">
        <v>45660</v>
      </c>
      <c r="AO685" s="91">
        <v>24196.400389999999</v>
      </c>
      <c r="AP685" s="91">
        <v>24004.75</v>
      </c>
      <c r="AQ685" s="91">
        <v>24004.75</v>
      </c>
      <c r="AR685" s="91">
        <v>312300</v>
      </c>
      <c r="AS685" s="91">
        <v>-7.6E-3</v>
      </c>
    </row>
    <row r="686" spans="1:45" x14ac:dyDescent="0.55000000000000004">
      <c r="A686" s="90">
        <v>45663</v>
      </c>
      <c r="B686" s="91">
        <v>6690</v>
      </c>
      <c r="C686" s="91">
        <v>6486.4501950000003</v>
      </c>
      <c r="D686" s="91">
        <v>6413.8945309999999</v>
      </c>
      <c r="E686" s="91">
        <v>175457</v>
      </c>
      <c r="F686" s="91">
        <v>-2.4199999999999999E-2</v>
      </c>
      <c r="H686" s="90">
        <v>45663</v>
      </c>
      <c r="I686" s="91">
        <v>1253.9499510000001</v>
      </c>
      <c r="J686" s="91">
        <v>1218</v>
      </c>
      <c r="K686" s="91">
        <v>1213.1547849999999</v>
      </c>
      <c r="L686" s="91">
        <v>14816766</v>
      </c>
      <c r="M686" s="91">
        <v>-2.6499999999999999E-2</v>
      </c>
      <c r="O686" s="90">
        <v>45663</v>
      </c>
      <c r="P686" s="91">
        <v>870.04998780000005</v>
      </c>
      <c r="Q686" s="91">
        <v>855.25</v>
      </c>
      <c r="R686" s="91">
        <v>843.84381099999996</v>
      </c>
      <c r="S686" s="91">
        <v>18816348</v>
      </c>
      <c r="T686" s="91">
        <v>-2.2100000000000002E-2</v>
      </c>
      <c r="V686" s="90">
        <v>45663</v>
      </c>
      <c r="W686" s="91">
        <v>1952</v>
      </c>
      <c r="X686" s="91">
        <v>1937.849976</v>
      </c>
      <c r="Y686" s="91">
        <v>1882.149048</v>
      </c>
      <c r="Z686" s="91">
        <v>7164403</v>
      </c>
      <c r="AA686" s="91">
        <v>-5.0000000000000001E-4</v>
      </c>
      <c r="AB686" s="91"/>
      <c r="AC686" s="90">
        <v>45663</v>
      </c>
      <c r="AD686" s="91">
        <v>7307.7001950000003</v>
      </c>
      <c r="AE686" s="91">
        <v>6998.3500979999999</v>
      </c>
      <c r="AF686" s="91">
        <v>6992.2924800000001</v>
      </c>
      <c r="AG686" s="91">
        <v>942724</v>
      </c>
      <c r="AH686" s="91">
        <v>-4.2299999999999997E-2</v>
      </c>
      <c r="AI686" s="91"/>
      <c r="AJ686" s="91">
        <f>(F686*'Part 3 Portfolio Analysis'!$B$8+M686*'Part 3 Portfolio Analysis'!$C$8+T686*'Part 3 Portfolio Analysis'!$D$8+AA686*'Part 3 Portfolio Analysis'!$E$8+AH686*'Part 3 Portfolio Analysis'!$F$8)/100</f>
        <v>-2.1046174130372557E-2</v>
      </c>
      <c r="AK686" s="91">
        <f>'Part 3 Portfolio Analysis'!$B$107*F686+M686*'Part 3 Portfolio Analysis'!$C$107+T686*'Part 3 Portfolio Analysis'!$D$107+AA686*'Part 3 Portfolio Analysis'!$E$107+AH686*'Part 3 Portfolio Analysis'!$F$107</f>
        <v>-2.67856E-2</v>
      </c>
      <c r="AL686" s="91">
        <f>F686*'Part 3 Portfolio Analysis'!$B$121+M686*'Part 3 Portfolio Analysis'!$C$121+'Part 3 Portfolio Analysis'!$D$121*T686+AA686*'Part 3 Portfolio Analysis'!$E$121+'Part 3 Portfolio Analysis'!$F$121*AH686</f>
        <v>-2.0328099999999998E-2</v>
      </c>
      <c r="AM686" s="91"/>
      <c r="AN686" s="90">
        <v>45663</v>
      </c>
      <c r="AO686" s="91">
        <v>24045.800780000001</v>
      </c>
      <c r="AP686" s="91">
        <v>23616.050780000001</v>
      </c>
      <c r="AQ686" s="91">
        <v>23616.050780000001</v>
      </c>
      <c r="AR686" s="91">
        <v>278100</v>
      </c>
      <c r="AS686" s="91">
        <v>-1.6199999999999999E-2</v>
      </c>
    </row>
    <row r="687" spans="1:45" x14ac:dyDescent="0.55000000000000004">
      <c r="A687" s="90">
        <v>45664</v>
      </c>
      <c r="B687" s="91">
        <v>6540</v>
      </c>
      <c r="C687" s="91">
        <v>6542.3500979999999</v>
      </c>
      <c r="D687" s="91">
        <v>6469.1694340000004</v>
      </c>
      <c r="E687" s="91">
        <v>208512</v>
      </c>
      <c r="F687" s="91">
        <v>8.6E-3</v>
      </c>
      <c r="H687" s="90">
        <v>45664</v>
      </c>
      <c r="I687" s="91">
        <v>1222</v>
      </c>
      <c r="J687" s="91">
        <v>1240.849976</v>
      </c>
      <c r="K687" s="91">
        <v>1235.913818</v>
      </c>
      <c r="L687" s="91">
        <v>10070505</v>
      </c>
      <c r="M687" s="91">
        <v>1.8800000000000001E-2</v>
      </c>
      <c r="O687" s="90">
        <v>45664</v>
      </c>
      <c r="P687" s="91">
        <v>857.5</v>
      </c>
      <c r="Q687" s="91">
        <v>856.70001219999995</v>
      </c>
      <c r="R687" s="91">
        <v>845.27441409999994</v>
      </c>
      <c r="S687" s="91">
        <v>13527906</v>
      </c>
      <c r="T687" s="91">
        <v>1.6999999999999999E-3</v>
      </c>
      <c r="V687" s="90">
        <v>45664</v>
      </c>
      <c r="W687" s="91">
        <v>1945</v>
      </c>
      <c r="X687" s="91">
        <v>1930.849976</v>
      </c>
      <c r="Y687" s="91">
        <v>1875.35022</v>
      </c>
      <c r="Z687" s="91">
        <v>4294832</v>
      </c>
      <c r="AA687" s="91">
        <v>-3.5999999999999999E-3</v>
      </c>
      <c r="AB687" s="91"/>
      <c r="AC687" s="90">
        <v>45664</v>
      </c>
      <c r="AD687" s="91">
        <v>7010.2001950000003</v>
      </c>
      <c r="AE687" s="91">
        <v>6874.2998049999997</v>
      </c>
      <c r="AF687" s="91">
        <v>6868.3496089999999</v>
      </c>
      <c r="AG687" s="91">
        <v>601356</v>
      </c>
      <c r="AH687" s="91">
        <v>-1.77E-2</v>
      </c>
      <c r="AI687" s="91"/>
      <c r="AJ687" s="91">
        <f>(F687*'Part 3 Portfolio Analysis'!$B$8+M687*'Part 3 Portfolio Analysis'!$C$8+T687*'Part 3 Portfolio Analysis'!$D$8+AA687*'Part 3 Portfolio Analysis'!$E$8+AH687*'Part 3 Portfolio Analysis'!$F$8)/100</f>
        <v>8.9258545736177284E-3</v>
      </c>
      <c r="AK687" s="91">
        <f>'Part 3 Portfolio Analysis'!$B$107*F687+M687*'Part 3 Portfolio Analysis'!$C$107+T687*'Part 3 Portfolio Analysis'!$D$107+AA687*'Part 3 Portfolio Analysis'!$E$107+AH687*'Part 3 Portfolio Analysis'!$F$107</f>
        <v>2.8755000000000005E-3</v>
      </c>
      <c r="AL687" s="91">
        <f>F687*'Part 3 Portfolio Analysis'!$B$121+M687*'Part 3 Portfolio Analysis'!$C$121+'Part 3 Portfolio Analysis'!$D$121*T687+AA687*'Part 3 Portfolio Analysis'!$E$121+'Part 3 Portfolio Analysis'!$F$121*AH687</f>
        <v>7.8740599999999987E-3</v>
      </c>
      <c r="AM687" s="91"/>
      <c r="AN687" s="90">
        <v>45664</v>
      </c>
      <c r="AO687" s="91">
        <v>23679.900389999999</v>
      </c>
      <c r="AP687" s="91">
        <v>23707.900389999999</v>
      </c>
      <c r="AQ687" s="91">
        <v>23707.900389999999</v>
      </c>
      <c r="AR687" s="91">
        <v>262300</v>
      </c>
      <c r="AS687" s="91">
        <v>3.8999999999999998E-3</v>
      </c>
    </row>
    <row r="688" spans="1:45" x14ac:dyDescent="0.55000000000000004">
      <c r="A688" s="90">
        <v>45665</v>
      </c>
      <c r="B688" s="91">
        <v>6575</v>
      </c>
      <c r="C688" s="91">
        <v>6473.5</v>
      </c>
      <c r="D688" s="91">
        <v>6401.0893550000001</v>
      </c>
      <c r="E688" s="91">
        <v>380865</v>
      </c>
      <c r="F688" s="91">
        <v>-1.0500000000000001E-2</v>
      </c>
      <c r="H688" s="90">
        <v>45665</v>
      </c>
      <c r="I688" s="91">
        <v>1249</v>
      </c>
      <c r="J688" s="91">
        <v>1265.5</v>
      </c>
      <c r="K688" s="91">
        <v>1260.4658199999999</v>
      </c>
      <c r="L688" s="91">
        <v>19346579</v>
      </c>
      <c r="M688" s="91">
        <v>1.9900000000000001E-2</v>
      </c>
      <c r="O688" s="90">
        <v>45665</v>
      </c>
      <c r="P688" s="91">
        <v>854.125</v>
      </c>
      <c r="Q688" s="91">
        <v>847.15002440000001</v>
      </c>
      <c r="R688" s="91">
        <v>835.85186769999996</v>
      </c>
      <c r="S688" s="91">
        <v>19738190</v>
      </c>
      <c r="T688" s="91">
        <v>-1.11E-2</v>
      </c>
      <c r="V688" s="90">
        <v>45665</v>
      </c>
      <c r="W688" s="91">
        <v>1930</v>
      </c>
      <c r="X688" s="91">
        <v>1933.150024</v>
      </c>
      <c r="Y688" s="91">
        <v>1877.584106</v>
      </c>
      <c r="Z688" s="91">
        <v>5482050</v>
      </c>
      <c r="AA688" s="91">
        <v>1.1999999999999999E-3</v>
      </c>
      <c r="AB688" s="91"/>
      <c r="AC688" s="90">
        <v>45665</v>
      </c>
      <c r="AD688" s="91">
        <v>6869.5498049999997</v>
      </c>
      <c r="AE688" s="91">
        <v>6699.1000979999999</v>
      </c>
      <c r="AF688" s="91">
        <v>6693.3012699999999</v>
      </c>
      <c r="AG688" s="91">
        <v>1257939</v>
      </c>
      <c r="AH688" s="91">
        <v>-2.5499999999999998E-2</v>
      </c>
      <c r="AI688" s="91"/>
      <c r="AJ688" s="91">
        <f>(F688*'Part 3 Portfolio Analysis'!$B$8+M688*'Part 3 Portfolio Analysis'!$C$8+T688*'Part 3 Portfolio Analysis'!$D$8+AA688*'Part 3 Portfolio Analysis'!$E$8+AH688*'Part 3 Portfolio Analysis'!$F$8)/100</f>
        <v>2.1556272346435683E-3</v>
      </c>
      <c r="AK688" s="91">
        <f>'Part 3 Portfolio Analysis'!$B$107*F688+M688*'Part 3 Portfolio Analysis'!$C$107+T688*'Part 3 Portfolio Analysis'!$D$107+AA688*'Part 3 Portfolio Analysis'!$E$107+AH688*'Part 3 Portfolio Analysis'!$F$107</f>
        <v>-3.6877999999999993E-3</v>
      </c>
      <c r="AL688" s="91">
        <f>F688*'Part 3 Portfolio Analysis'!$B$121+M688*'Part 3 Portfolio Analysis'!$C$121+'Part 3 Portfolio Analysis'!$D$121*T688+AA688*'Part 3 Portfolio Analysis'!$E$121+'Part 3 Portfolio Analysis'!$F$121*AH688</f>
        <v>4.0396399999999989E-3</v>
      </c>
      <c r="AM688" s="91"/>
      <c r="AN688" s="90">
        <v>45665</v>
      </c>
      <c r="AO688" s="91">
        <v>23746.650389999999</v>
      </c>
      <c r="AP688" s="91">
        <v>23688.949219999999</v>
      </c>
      <c r="AQ688" s="91">
        <v>23688.949219999999</v>
      </c>
      <c r="AR688" s="91">
        <v>266400</v>
      </c>
      <c r="AS688" s="91">
        <v>-8.0000000000000004E-4</v>
      </c>
    </row>
    <row r="689" spans="1:45" x14ac:dyDescent="0.55000000000000004">
      <c r="A689" s="90">
        <v>45666</v>
      </c>
      <c r="B689" s="91">
        <v>6525</v>
      </c>
      <c r="C689" s="91">
        <v>6439.9501950000003</v>
      </c>
      <c r="D689" s="91">
        <v>6367.9150390000004</v>
      </c>
      <c r="E689" s="91">
        <v>346979</v>
      </c>
      <c r="F689" s="91">
        <v>-5.1999999999999998E-3</v>
      </c>
      <c r="H689" s="90">
        <v>45666</v>
      </c>
      <c r="I689" s="91">
        <v>1267</v>
      </c>
      <c r="J689" s="91">
        <v>1254.75</v>
      </c>
      <c r="K689" s="91">
        <v>1249.7585449999999</v>
      </c>
      <c r="L689" s="91">
        <v>12794704</v>
      </c>
      <c r="M689" s="91">
        <v>-8.5000000000000006E-3</v>
      </c>
      <c r="O689" s="90">
        <v>45666</v>
      </c>
      <c r="P689" s="91">
        <v>842.07501219999995</v>
      </c>
      <c r="Q689" s="91">
        <v>833.90002440000001</v>
      </c>
      <c r="R689" s="91">
        <v>822.77856450000002</v>
      </c>
      <c r="S689" s="91">
        <v>40420222</v>
      </c>
      <c r="T689" s="91">
        <v>-1.5599999999999999E-2</v>
      </c>
      <c r="V689" s="90">
        <v>45666</v>
      </c>
      <c r="W689" s="91">
        <v>1934.0500489999999</v>
      </c>
      <c r="X689" s="91">
        <v>1917.3000489999999</v>
      </c>
      <c r="Y689" s="91">
        <v>1862.1898189999999</v>
      </c>
      <c r="Z689" s="91">
        <v>6833503</v>
      </c>
      <c r="AA689" s="91">
        <v>-8.2000000000000007E-3</v>
      </c>
      <c r="AB689" s="91"/>
      <c r="AC689" s="90">
        <v>45666</v>
      </c>
      <c r="AD689" s="91">
        <v>6719</v>
      </c>
      <c r="AE689" s="91">
        <v>6621.7001950000003</v>
      </c>
      <c r="AF689" s="91">
        <v>6615.96875</v>
      </c>
      <c r="AG689" s="91">
        <v>592991</v>
      </c>
      <c r="AH689" s="91">
        <v>-1.1599999999999999E-2</v>
      </c>
      <c r="AI689" s="91"/>
      <c r="AJ689" s="91">
        <f>(F689*'Part 3 Portfolio Analysis'!$B$8+M689*'Part 3 Portfolio Analysis'!$C$8+T689*'Part 3 Portfolio Analysis'!$D$8+AA689*'Part 3 Portfolio Analysis'!$E$8+AH689*'Part 3 Portfolio Analysis'!$F$8)/100</f>
        <v>-8.6763882522010397E-3</v>
      </c>
      <c r="AK689" s="91">
        <f>'Part 3 Portfolio Analysis'!$B$107*F689+M689*'Part 3 Portfolio Analysis'!$C$107+T689*'Part 3 Portfolio Analysis'!$D$107+AA689*'Part 3 Portfolio Analysis'!$E$107+AH689*'Part 3 Portfolio Analysis'!$F$107</f>
        <v>-9.7577000000000011E-3</v>
      </c>
      <c r="AL689" s="91">
        <f>F689*'Part 3 Portfolio Analysis'!$B$121+M689*'Part 3 Portfolio Analysis'!$C$121+'Part 3 Portfolio Analysis'!$D$121*T689+AA689*'Part 3 Portfolio Analysis'!$E$121+'Part 3 Portfolio Analysis'!$F$121*AH689</f>
        <v>-1.018116E-2</v>
      </c>
      <c r="AM689" s="91"/>
      <c r="AN689" s="90">
        <v>45666</v>
      </c>
      <c r="AO689" s="91">
        <v>23674.75</v>
      </c>
      <c r="AP689" s="91">
        <v>23526.5</v>
      </c>
      <c r="AQ689" s="91">
        <v>23526.5</v>
      </c>
      <c r="AR689" s="91">
        <v>269200</v>
      </c>
      <c r="AS689" s="91">
        <v>-6.8999999999999999E-3</v>
      </c>
    </row>
    <row r="690" spans="1:45" x14ac:dyDescent="0.55000000000000004">
      <c r="A690" s="90">
        <v>45667</v>
      </c>
      <c r="B690" s="91">
        <v>5950</v>
      </c>
      <c r="C690" s="91">
        <v>6000.6000979999999</v>
      </c>
      <c r="D690" s="91">
        <v>5933.4790039999998</v>
      </c>
      <c r="E690" s="91">
        <v>1431569</v>
      </c>
      <c r="F690" s="91">
        <v>-6.8199999999999997E-2</v>
      </c>
      <c r="H690" s="90">
        <v>45667</v>
      </c>
      <c r="I690" s="91">
        <v>1253.849976</v>
      </c>
      <c r="J690" s="91">
        <v>1241.900024</v>
      </c>
      <c r="K690" s="91">
        <v>1236.959717</v>
      </c>
      <c r="L690" s="91">
        <v>8120332</v>
      </c>
      <c r="M690" s="91">
        <v>-1.0200000000000001E-2</v>
      </c>
      <c r="O690" s="90">
        <v>45667</v>
      </c>
      <c r="P690" s="91">
        <v>835.5</v>
      </c>
      <c r="Q690" s="91">
        <v>828.375</v>
      </c>
      <c r="R690" s="91">
        <v>817.32720949999998</v>
      </c>
      <c r="S690" s="91">
        <v>17453280</v>
      </c>
      <c r="T690" s="91">
        <v>-6.6E-3</v>
      </c>
      <c r="V690" s="90">
        <v>45667</v>
      </c>
      <c r="W690" s="91">
        <v>1937</v>
      </c>
      <c r="X690" s="91">
        <v>1966.9499510000001</v>
      </c>
      <c r="Y690" s="91">
        <v>1910.412476</v>
      </c>
      <c r="Z690" s="91">
        <v>8036913</v>
      </c>
      <c r="AA690" s="91">
        <v>2.5899999999999999E-2</v>
      </c>
      <c r="AB690" s="91"/>
      <c r="AC690" s="90">
        <v>45667</v>
      </c>
      <c r="AD690" s="91">
        <v>6601</v>
      </c>
      <c r="AE690" s="91">
        <v>6584.1000979999999</v>
      </c>
      <c r="AF690" s="91">
        <v>6578.4008789999998</v>
      </c>
      <c r="AG690" s="91">
        <v>768200</v>
      </c>
      <c r="AH690" s="91">
        <v>-5.7000000000000002E-3</v>
      </c>
      <c r="AI690" s="91"/>
      <c r="AJ690" s="91">
        <f>(F690*'Part 3 Portfolio Analysis'!$B$8+M690*'Part 3 Portfolio Analysis'!$C$8+T690*'Part 3 Portfolio Analysis'!$D$8+AA690*'Part 3 Portfolio Analysis'!$E$8+AH690*'Part 3 Portfolio Analysis'!$F$8)/100</f>
        <v>-2.1145791219665293E-2</v>
      </c>
      <c r="AK690" s="91">
        <f>'Part 3 Portfolio Analysis'!$B$107*F690+M690*'Part 3 Portfolio Analysis'!$C$107+T690*'Part 3 Portfolio Analysis'!$D$107+AA690*'Part 3 Portfolio Analysis'!$E$107+AH690*'Part 3 Portfolio Analysis'!$F$107</f>
        <v>-1.5337999999999997E-2</v>
      </c>
      <c r="AL690" s="91">
        <f>F690*'Part 3 Portfolio Analysis'!$B$121+M690*'Part 3 Portfolio Analysis'!$C$121+'Part 3 Portfolio Analysis'!$D$121*T690+AA690*'Part 3 Portfolio Analysis'!$E$121+'Part 3 Portfolio Analysis'!$F$121*AH690</f>
        <v>-6.6504999999999993E-3</v>
      </c>
      <c r="AM690" s="91"/>
      <c r="AN690" s="90">
        <v>45667</v>
      </c>
      <c r="AO690" s="91">
        <v>23551.900389999999</v>
      </c>
      <c r="AP690" s="91">
        <v>23431.5</v>
      </c>
      <c r="AQ690" s="91">
        <v>23431.5</v>
      </c>
      <c r="AR690" s="91">
        <v>261000</v>
      </c>
      <c r="AS690" s="91">
        <v>-4.0000000000000001E-3</v>
      </c>
    </row>
    <row r="691" spans="1:45" x14ac:dyDescent="0.55000000000000004">
      <c r="A691" s="90">
        <v>45670</v>
      </c>
      <c r="B691" s="91">
        <v>5975</v>
      </c>
      <c r="C691" s="91">
        <v>5941.6000979999999</v>
      </c>
      <c r="D691" s="91">
        <v>5875.1391599999997</v>
      </c>
      <c r="E691" s="91">
        <v>368080</v>
      </c>
      <c r="F691" s="91">
        <v>-9.7999999999999997E-3</v>
      </c>
      <c r="H691" s="90">
        <v>45670</v>
      </c>
      <c r="I691" s="91">
        <v>1230</v>
      </c>
      <c r="J691" s="91">
        <v>1239.849976</v>
      </c>
      <c r="K691" s="91">
        <v>1234.9178469999999</v>
      </c>
      <c r="L691" s="91">
        <v>13764861</v>
      </c>
      <c r="M691" s="91">
        <v>-1.6999999999999999E-3</v>
      </c>
      <c r="O691" s="90">
        <v>45670</v>
      </c>
      <c r="P691" s="91">
        <v>820</v>
      </c>
      <c r="Q691" s="91">
        <v>815.42498780000005</v>
      </c>
      <c r="R691" s="91">
        <v>804.54992679999998</v>
      </c>
      <c r="S691" s="91">
        <v>21669066</v>
      </c>
      <c r="T691" s="91">
        <v>-1.5599999999999999E-2</v>
      </c>
      <c r="V691" s="90">
        <v>45670</v>
      </c>
      <c r="W691" s="91">
        <v>1956</v>
      </c>
      <c r="X691" s="91">
        <v>1962.1999510000001</v>
      </c>
      <c r="Y691" s="91">
        <v>1905.799072</v>
      </c>
      <c r="Z691" s="91">
        <v>5804152</v>
      </c>
      <c r="AA691" s="91">
        <v>-2.3999999999999998E-3</v>
      </c>
      <c r="AB691" s="91"/>
      <c r="AC691" s="90">
        <v>45670</v>
      </c>
      <c r="AD691" s="91">
        <v>6462.6499020000001</v>
      </c>
      <c r="AE691" s="91">
        <v>6224.3999020000001</v>
      </c>
      <c r="AF691" s="91">
        <v>6219.0122069999998</v>
      </c>
      <c r="AG691" s="91">
        <v>1068954</v>
      </c>
      <c r="AH691" s="91">
        <v>-5.4600000000000003E-2</v>
      </c>
      <c r="AI691" s="91"/>
      <c r="AJ691" s="91">
        <f>(F691*'Part 3 Portfolio Analysis'!$B$8+M691*'Part 3 Portfolio Analysis'!$C$8+T691*'Part 3 Portfolio Analysis'!$D$8+AA691*'Part 3 Portfolio Analysis'!$E$8+AH691*'Part 3 Portfolio Analysis'!$F$8)/100</f>
        <v>-7.0783733058993282E-3</v>
      </c>
      <c r="AK691" s="91">
        <f>'Part 3 Portfolio Analysis'!$B$107*F691+M691*'Part 3 Portfolio Analysis'!$C$107+T691*'Part 3 Portfolio Analysis'!$D$107+AA691*'Part 3 Portfolio Analysis'!$E$107+AH691*'Part 3 Portfolio Analysis'!$F$107</f>
        <v>-1.8713300000000002E-2</v>
      </c>
      <c r="AL691" s="91">
        <f>F691*'Part 3 Portfolio Analysis'!$B$121+M691*'Part 3 Portfolio Analysis'!$C$121+'Part 3 Portfolio Analysis'!$D$121*T691+AA691*'Part 3 Portfolio Analysis'!$E$121+'Part 3 Portfolio Analysis'!$F$121*AH691</f>
        <v>-7.672599999999999E-3</v>
      </c>
      <c r="AM691" s="91"/>
      <c r="AN691" s="90">
        <v>45670</v>
      </c>
      <c r="AO691" s="91">
        <v>23195.400389999999</v>
      </c>
      <c r="AP691" s="91">
        <v>23085.949219999999</v>
      </c>
      <c r="AQ691" s="91">
        <v>23085.949219999999</v>
      </c>
      <c r="AR691" s="91">
        <v>316500</v>
      </c>
      <c r="AS691" s="91">
        <v>-1.47E-2</v>
      </c>
    </row>
    <row r="692" spans="1:45" x14ac:dyDescent="0.55000000000000004">
      <c r="A692" s="90">
        <v>45671</v>
      </c>
      <c r="B692" s="91">
        <v>5959.8999020000001</v>
      </c>
      <c r="C692" s="91">
        <v>6084.7998049999997</v>
      </c>
      <c r="D692" s="91">
        <v>6016.7368159999996</v>
      </c>
      <c r="E692" s="91">
        <v>230728</v>
      </c>
      <c r="F692" s="91">
        <v>2.41E-2</v>
      </c>
      <c r="H692" s="90">
        <v>45671</v>
      </c>
      <c r="I692" s="91">
        <v>1244.099976</v>
      </c>
      <c r="J692" s="91">
        <v>1238.75</v>
      </c>
      <c r="K692" s="91">
        <v>1233.8222659999999</v>
      </c>
      <c r="L692" s="91">
        <v>13095266</v>
      </c>
      <c r="M692" s="91">
        <v>-8.9999999999999998E-4</v>
      </c>
      <c r="O692" s="90">
        <v>45671</v>
      </c>
      <c r="P692" s="91">
        <v>819.95001219999995</v>
      </c>
      <c r="Q692" s="91">
        <v>823.29998780000005</v>
      </c>
      <c r="R692" s="91">
        <v>812.31988530000001</v>
      </c>
      <c r="S692" s="91">
        <v>26661432</v>
      </c>
      <c r="T692" s="91">
        <v>9.7000000000000003E-3</v>
      </c>
      <c r="V692" s="90">
        <v>45671</v>
      </c>
      <c r="W692" s="91">
        <v>1968.849976</v>
      </c>
      <c r="X692" s="91">
        <v>1940.0500489999999</v>
      </c>
      <c r="Y692" s="91">
        <v>1884.285889</v>
      </c>
      <c r="Z692" s="91">
        <v>5792162</v>
      </c>
      <c r="AA692" s="91">
        <v>-1.1299999999999999E-2</v>
      </c>
      <c r="AB692" s="91"/>
      <c r="AC692" s="90">
        <v>45671</v>
      </c>
      <c r="AD692" s="91">
        <v>6237.3999020000001</v>
      </c>
      <c r="AE692" s="91">
        <v>6161.1499020000001</v>
      </c>
      <c r="AF692" s="91">
        <v>6155.8168949999999</v>
      </c>
      <c r="AG692" s="91">
        <v>1130732</v>
      </c>
      <c r="AH692" s="91">
        <v>-1.0200000000000001E-2</v>
      </c>
      <c r="AI692" s="91"/>
      <c r="AJ692" s="91">
        <f>(F692*'Part 3 Portfolio Analysis'!$B$8+M692*'Part 3 Portfolio Analysis'!$C$8+T692*'Part 3 Portfolio Analysis'!$D$8+AA692*'Part 3 Portfolio Analysis'!$E$8+AH692*'Part 3 Portfolio Analysis'!$F$8)/100</f>
        <v>6.6036110474181091E-3</v>
      </c>
      <c r="AK692" s="91">
        <f>'Part 3 Portfolio Analysis'!$B$107*F692+M692*'Part 3 Portfolio Analysis'!$C$107+T692*'Part 3 Portfolio Analysis'!$D$107+AA692*'Part 3 Portfolio Analysis'!$E$107+AH692*'Part 3 Portfolio Analysis'!$F$107</f>
        <v>1.8594000000000002E-3</v>
      </c>
      <c r="AL692" s="91">
        <f>F692*'Part 3 Portfolio Analysis'!$B$121+M692*'Part 3 Portfolio Analysis'!$C$121+'Part 3 Portfolio Analysis'!$D$121*T692+AA692*'Part 3 Portfolio Analysis'!$E$121+'Part 3 Portfolio Analysis'!$F$121*AH692</f>
        <v>1.7145400000000007E-3</v>
      </c>
      <c r="AM692" s="91"/>
      <c r="AN692" s="90">
        <v>45671</v>
      </c>
      <c r="AO692" s="91">
        <v>23165.900389999999</v>
      </c>
      <c r="AP692" s="91">
        <v>23176.050780000001</v>
      </c>
      <c r="AQ692" s="91">
        <v>23176.050780000001</v>
      </c>
      <c r="AR692" s="91">
        <v>311200</v>
      </c>
      <c r="AS692" s="91">
        <v>3.8999999999999998E-3</v>
      </c>
    </row>
    <row r="693" spans="1:45" x14ac:dyDescent="0.55000000000000004">
      <c r="A693" s="90">
        <v>45672</v>
      </c>
      <c r="B693" s="91">
        <v>6093.8999020000001</v>
      </c>
      <c r="C693" s="91">
        <v>6115.75</v>
      </c>
      <c r="D693" s="91">
        <v>6047.3408200000003</v>
      </c>
      <c r="E693" s="91">
        <v>119683</v>
      </c>
      <c r="F693" s="91">
        <v>5.1000000000000004E-3</v>
      </c>
      <c r="H693" s="90">
        <v>45672</v>
      </c>
      <c r="I693" s="91">
        <v>1244.9499510000001</v>
      </c>
      <c r="J693" s="91">
        <v>1252.1999510000001</v>
      </c>
      <c r="K693" s="91">
        <v>1247.2186280000001</v>
      </c>
      <c r="L693" s="91">
        <v>9578856</v>
      </c>
      <c r="M693" s="91">
        <v>1.09E-2</v>
      </c>
      <c r="O693" s="90">
        <v>45672</v>
      </c>
      <c r="P693" s="91">
        <v>828.25</v>
      </c>
      <c r="Q693" s="91">
        <v>821.52502440000001</v>
      </c>
      <c r="R693" s="91">
        <v>810.56854250000004</v>
      </c>
      <c r="S693" s="91">
        <v>14022892</v>
      </c>
      <c r="T693" s="91">
        <v>-2.2000000000000001E-3</v>
      </c>
      <c r="V693" s="90">
        <v>45672</v>
      </c>
      <c r="W693" s="91">
        <v>1947</v>
      </c>
      <c r="X693" s="91">
        <v>1949.650024</v>
      </c>
      <c r="Y693" s="91">
        <v>1893.6098629999999</v>
      </c>
      <c r="Z693" s="91">
        <v>2985439</v>
      </c>
      <c r="AA693" s="91">
        <v>4.8999999999999998E-3</v>
      </c>
      <c r="AB693" s="91"/>
      <c r="AC693" s="90">
        <v>45672</v>
      </c>
      <c r="AD693" s="91">
        <v>6200</v>
      </c>
      <c r="AE693" s="91">
        <v>6390.25</v>
      </c>
      <c r="AF693" s="91">
        <v>6384.71875</v>
      </c>
      <c r="AG693" s="91">
        <v>1463322</v>
      </c>
      <c r="AH693" s="91">
        <v>3.7199999999999997E-2</v>
      </c>
      <c r="AI693" s="91"/>
      <c r="AJ693" s="91">
        <f>(F693*'Part 3 Portfolio Analysis'!$B$8+M693*'Part 3 Portfolio Analysis'!$C$8+T693*'Part 3 Portfolio Analysis'!$D$8+AA693*'Part 3 Portfolio Analysis'!$E$8+AH693*'Part 3 Portfolio Analysis'!$F$8)/100</f>
        <v>6.2661978009203754E-3</v>
      </c>
      <c r="AK693" s="91">
        <f>'Part 3 Portfolio Analysis'!$B$107*F693+M693*'Part 3 Portfolio Analysis'!$C$107+T693*'Part 3 Portfolio Analysis'!$D$107+AA693*'Part 3 Portfolio Analysis'!$E$107+AH693*'Part 3 Portfolio Analysis'!$F$107</f>
        <v>1.38531E-2</v>
      </c>
      <c r="AL693" s="91">
        <f>F693*'Part 3 Portfolio Analysis'!$B$121+M693*'Part 3 Portfolio Analysis'!$C$121+'Part 3 Portfolio Analysis'!$D$121*T693+AA693*'Part 3 Portfolio Analysis'!$E$121+'Part 3 Portfolio Analysis'!$F$121*AH693</f>
        <v>6.349099999999999E-3</v>
      </c>
      <c r="AM693" s="91"/>
      <c r="AN693" s="90">
        <v>45672</v>
      </c>
      <c r="AO693" s="91">
        <v>23250.449219999999</v>
      </c>
      <c r="AP693" s="91">
        <v>23213.199219999999</v>
      </c>
      <c r="AQ693" s="91">
        <v>23213.199219999999</v>
      </c>
      <c r="AR693" s="91">
        <v>228000</v>
      </c>
      <c r="AS693" s="91">
        <v>1.6000000000000001E-3</v>
      </c>
    </row>
    <row r="694" spans="1:45" x14ac:dyDescent="0.55000000000000004">
      <c r="A694" s="90">
        <v>45673</v>
      </c>
      <c r="B694" s="91">
        <v>6140</v>
      </c>
      <c r="C694" s="91">
        <v>6184.25</v>
      </c>
      <c r="D694" s="91">
        <v>6115.0747069999998</v>
      </c>
      <c r="E694" s="91">
        <v>144322</v>
      </c>
      <c r="F694" s="91">
        <v>1.12E-2</v>
      </c>
      <c r="H694" s="90">
        <v>45673</v>
      </c>
      <c r="I694" s="91">
        <v>1258.900024</v>
      </c>
      <c r="J694" s="91">
        <v>1266.4499510000001</v>
      </c>
      <c r="K694" s="91">
        <v>1261.411987</v>
      </c>
      <c r="L694" s="91">
        <v>14117603</v>
      </c>
      <c r="M694" s="91">
        <v>1.14E-2</v>
      </c>
      <c r="O694" s="90">
        <v>45673</v>
      </c>
      <c r="P694" s="91">
        <v>826.42498780000005</v>
      </c>
      <c r="Q694" s="91">
        <v>826.02502440000001</v>
      </c>
      <c r="R694" s="91">
        <v>815.00854489999995</v>
      </c>
      <c r="S694" s="91">
        <v>21212454</v>
      </c>
      <c r="T694" s="91">
        <v>5.4999999999999997E-3</v>
      </c>
      <c r="V694" s="90">
        <v>45673</v>
      </c>
      <c r="W694" s="91">
        <v>1965.9499510000001</v>
      </c>
      <c r="X694" s="91">
        <v>1928.4499510000001</v>
      </c>
      <c r="Y694" s="91">
        <v>1873.0191649999999</v>
      </c>
      <c r="Z694" s="91">
        <v>7533579</v>
      </c>
      <c r="AA694" s="91">
        <v>-1.09E-2</v>
      </c>
      <c r="AB694" s="91"/>
      <c r="AC694" s="90">
        <v>45673</v>
      </c>
      <c r="AD694" s="91">
        <v>6498</v>
      </c>
      <c r="AE694" s="91">
        <v>6211.5498049999997</v>
      </c>
      <c r="AF694" s="91">
        <v>6206.1733400000003</v>
      </c>
      <c r="AG694" s="91">
        <v>1477566</v>
      </c>
      <c r="AH694" s="91">
        <v>-2.8000000000000001E-2</v>
      </c>
      <c r="AI694" s="91"/>
      <c r="AJ694" s="91">
        <f>(F694*'Part 3 Portfolio Analysis'!$B$8+M694*'Part 3 Portfolio Analysis'!$C$8+T694*'Part 3 Portfolio Analysis'!$D$8+AA694*'Part 3 Portfolio Analysis'!$E$8+AH694*'Part 3 Portfolio Analysis'!$F$8)/100</f>
        <v>6.3819067447257105E-3</v>
      </c>
      <c r="AK694" s="91">
        <f>'Part 3 Portfolio Analysis'!$B$107*F694+M694*'Part 3 Portfolio Analysis'!$C$107+T694*'Part 3 Portfolio Analysis'!$D$107+AA694*'Part 3 Portfolio Analysis'!$E$107+AH694*'Part 3 Portfolio Analysis'!$F$107</f>
        <v>-1.7092999999999995E-3</v>
      </c>
      <c r="AL694" s="91">
        <f>F694*'Part 3 Portfolio Analysis'!$B$121+M694*'Part 3 Portfolio Analysis'!$C$121+'Part 3 Portfolio Analysis'!$D$121*T694+AA694*'Part 3 Portfolio Analysis'!$E$121+'Part 3 Portfolio Analysis'!$F$121*AH694</f>
        <v>4.2864799999999996E-3</v>
      </c>
      <c r="AM694" s="91"/>
      <c r="AN694" s="90">
        <v>45673</v>
      </c>
      <c r="AO694" s="91">
        <v>23377.25</v>
      </c>
      <c r="AP694" s="91">
        <v>23311.800780000001</v>
      </c>
      <c r="AQ694" s="91">
        <v>23311.800780000001</v>
      </c>
      <c r="AR694" s="91">
        <v>299400</v>
      </c>
      <c r="AS694" s="91">
        <v>4.1999999999999997E-3</v>
      </c>
    </row>
    <row r="695" spans="1:45" x14ac:dyDescent="0.55000000000000004">
      <c r="A695" s="90">
        <v>45674</v>
      </c>
      <c r="B695" s="91">
        <v>6190</v>
      </c>
      <c r="C695" s="91">
        <v>6212.1000979999999</v>
      </c>
      <c r="D695" s="91">
        <v>6142.6132809999999</v>
      </c>
      <c r="E695" s="91">
        <v>131996</v>
      </c>
      <c r="F695" s="91">
        <v>4.4999999999999997E-3</v>
      </c>
      <c r="H695" s="90">
        <v>45674</v>
      </c>
      <c r="I695" s="91">
        <v>1322.25</v>
      </c>
      <c r="J695" s="91">
        <v>1302.349976</v>
      </c>
      <c r="K695" s="91">
        <v>1297.169189</v>
      </c>
      <c r="L695" s="91">
        <v>29366277</v>
      </c>
      <c r="M695" s="91">
        <v>2.8299999999999999E-2</v>
      </c>
      <c r="O695" s="90">
        <v>45674</v>
      </c>
      <c r="P695" s="91">
        <v>821.75</v>
      </c>
      <c r="Q695" s="91">
        <v>818.375</v>
      </c>
      <c r="R695" s="91">
        <v>807.46057129999997</v>
      </c>
      <c r="S695" s="91">
        <v>23112076</v>
      </c>
      <c r="T695" s="91">
        <v>-9.2999999999999992E-3</v>
      </c>
      <c r="V695" s="90">
        <v>45674</v>
      </c>
      <c r="W695" s="91">
        <v>1851</v>
      </c>
      <c r="X695" s="91">
        <v>1815.4499510000001</v>
      </c>
      <c r="Y695" s="91">
        <v>1763.267212</v>
      </c>
      <c r="Z695" s="91">
        <v>16409953</v>
      </c>
      <c r="AA695" s="91">
        <v>-5.8599999999999999E-2</v>
      </c>
      <c r="AB695" s="91"/>
      <c r="AC695" s="90">
        <v>45674</v>
      </c>
      <c r="AD695" s="91">
        <v>6216.9501950000003</v>
      </c>
      <c r="AE695" s="91">
        <v>6216.5498049999997</v>
      </c>
      <c r="AF695" s="91">
        <v>6211.1689450000003</v>
      </c>
      <c r="AG695" s="91">
        <v>770051</v>
      </c>
      <c r="AH695" s="91">
        <v>8.0000000000000004E-4</v>
      </c>
      <c r="AI695" s="91"/>
      <c r="AJ695" s="91">
        <f>(F695*'Part 3 Portfolio Analysis'!$B$8+M695*'Part 3 Portfolio Analysis'!$C$8+T695*'Part 3 Portfolio Analysis'!$D$8+AA695*'Part 3 Portfolio Analysis'!$E$8+AH695*'Part 3 Portfolio Analysis'!$F$8)/100</f>
        <v>6.3394132784653102E-4</v>
      </c>
      <c r="AK695" s="91">
        <f>'Part 3 Portfolio Analysis'!$B$107*F695+M695*'Part 3 Portfolio Analysis'!$C$107+T695*'Part 3 Portfolio Analysis'!$D$107+AA695*'Part 3 Portfolio Analysis'!$E$107+AH695*'Part 3 Portfolio Analysis'!$F$107</f>
        <v>2.5679999999999995E-3</v>
      </c>
      <c r="AL695" s="91">
        <f>F695*'Part 3 Portfolio Analysis'!$B$121+M695*'Part 3 Portfolio Analysis'!$C$121+'Part 3 Portfolio Analysis'!$D$121*T695+AA695*'Part 3 Portfolio Analysis'!$E$121+'Part 3 Portfolio Analysis'!$F$121*AH695</f>
        <v>-1.9840600000000032E-3</v>
      </c>
      <c r="AM695" s="91"/>
      <c r="AN695" s="90">
        <v>45674</v>
      </c>
      <c r="AO695" s="91">
        <v>23277.099610000001</v>
      </c>
      <c r="AP695" s="91">
        <v>23203.199219999999</v>
      </c>
      <c r="AQ695" s="91">
        <v>23203.199219999999</v>
      </c>
      <c r="AR695" s="91">
        <v>272900</v>
      </c>
      <c r="AS695" s="91">
        <v>-4.7000000000000002E-3</v>
      </c>
    </row>
    <row r="696" spans="1:45" x14ac:dyDescent="0.55000000000000004">
      <c r="A696" s="90">
        <v>45677</v>
      </c>
      <c r="B696" s="91">
        <v>6218</v>
      </c>
      <c r="C696" s="91">
        <v>6199.7998049999997</v>
      </c>
      <c r="D696" s="91">
        <v>6130.4506840000004</v>
      </c>
      <c r="E696" s="91">
        <v>91944</v>
      </c>
      <c r="F696" s="91">
        <v>-2E-3</v>
      </c>
      <c r="H696" s="90">
        <v>45677</v>
      </c>
      <c r="I696" s="91">
        <v>1316</v>
      </c>
      <c r="J696" s="91">
        <v>1305.4499510000001</v>
      </c>
      <c r="K696" s="91">
        <v>1300.256836</v>
      </c>
      <c r="L696" s="91">
        <v>14040244</v>
      </c>
      <c r="M696" s="91">
        <v>2.3999999999999998E-3</v>
      </c>
      <c r="O696" s="90">
        <v>45677</v>
      </c>
      <c r="P696" s="91">
        <v>813</v>
      </c>
      <c r="Q696" s="91">
        <v>825.625</v>
      </c>
      <c r="R696" s="91">
        <v>814.61383060000003</v>
      </c>
      <c r="S696" s="91">
        <v>17557618</v>
      </c>
      <c r="T696" s="91">
        <v>8.8999999999999999E-3</v>
      </c>
      <c r="V696" s="90">
        <v>45677</v>
      </c>
      <c r="W696" s="91">
        <v>1822.9499510000001</v>
      </c>
      <c r="X696" s="91">
        <v>1813.3000489999999</v>
      </c>
      <c r="Y696" s="91">
        <v>1761.1791989999999</v>
      </c>
      <c r="Z696" s="91">
        <v>4333011</v>
      </c>
      <c r="AA696" s="91">
        <v>-1.1999999999999999E-3</v>
      </c>
      <c r="AB696" s="91"/>
      <c r="AC696" s="90">
        <v>45677</v>
      </c>
      <c r="AD696" s="91">
        <v>6210</v>
      </c>
      <c r="AE696" s="91">
        <v>6090</v>
      </c>
      <c r="AF696" s="91">
        <v>6084.7285160000001</v>
      </c>
      <c r="AG696" s="91">
        <v>909757</v>
      </c>
      <c r="AH696" s="91">
        <v>-2.0400000000000001E-2</v>
      </c>
      <c r="AI696" s="91"/>
      <c r="AJ696" s="91">
        <f>(F696*'Part 3 Portfolio Analysis'!$B$8+M696*'Part 3 Portfolio Analysis'!$C$8+T696*'Part 3 Portfolio Analysis'!$D$8+AA696*'Part 3 Portfolio Analysis'!$E$8+AH696*'Part 3 Portfolio Analysis'!$F$8)/100</f>
        <v>1.3620836940585327E-3</v>
      </c>
      <c r="AK696" s="91">
        <f>'Part 3 Portfolio Analysis'!$B$107*F696+M696*'Part 3 Portfolio Analysis'!$C$107+T696*'Part 3 Portfolio Analysis'!$D$107+AA696*'Part 3 Portfolio Analysis'!$E$107+AH696*'Part 3 Portfolio Analysis'!$F$107</f>
        <v>-3.4900999999999999E-3</v>
      </c>
      <c r="AL696" s="91">
        <f>F696*'Part 3 Portfolio Analysis'!$B$121+M696*'Part 3 Portfolio Analysis'!$C$121+'Part 3 Portfolio Analysis'!$D$121*T696+AA696*'Part 3 Portfolio Analysis'!$E$121+'Part 3 Portfolio Analysis'!$F$121*AH696</f>
        <v>2.4889600000000006E-3</v>
      </c>
      <c r="AM696" s="91"/>
      <c r="AN696" s="90">
        <v>45677</v>
      </c>
      <c r="AO696" s="91">
        <v>23290.400389999999</v>
      </c>
      <c r="AP696" s="91">
        <v>23344.75</v>
      </c>
      <c r="AQ696" s="91">
        <v>23344.75</v>
      </c>
      <c r="AR696" s="91">
        <v>301500</v>
      </c>
      <c r="AS696" s="91">
        <v>6.1000000000000004E-3</v>
      </c>
    </row>
    <row r="697" spans="1:45" x14ac:dyDescent="0.55000000000000004">
      <c r="A697" s="90">
        <v>45678</v>
      </c>
      <c r="B697" s="91">
        <v>6220.2001950000003</v>
      </c>
      <c r="C697" s="91">
        <v>6153.9501950000003</v>
      </c>
      <c r="D697" s="91">
        <v>6085.1137699999999</v>
      </c>
      <c r="E697" s="91">
        <v>87671</v>
      </c>
      <c r="F697" s="91">
        <v>-7.4000000000000003E-3</v>
      </c>
      <c r="H697" s="90">
        <v>45678</v>
      </c>
      <c r="I697" s="91">
        <v>1310.5</v>
      </c>
      <c r="J697" s="91">
        <v>1273.6999510000001</v>
      </c>
      <c r="K697" s="91">
        <v>1268.6331789999999</v>
      </c>
      <c r="L697" s="91">
        <v>14562976</v>
      </c>
      <c r="M697" s="91">
        <v>-2.4299999999999999E-2</v>
      </c>
      <c r="O697" s="90">
        <v>45678</v>
      </c>
      <c r="P697" s="91">
        <v>829.125</v>
      </c>
      <c r="Q697" s="91">
        <v>821.20001219999995</v>
      </c>
      <c r="R697" s="91">
        <v>810.2478638</v>
      </c>
      <c r="S697" s="91">
        <v>31158144</v>
      </c>
      <c r="T697" s="91">
        <v>-5.4000000000000003E-3</v>
      </c>
      <c r="V697" s="90">
        <v>45678</v>
      </c>
      <c r="W697" s="91">
        <v>1819.0500489999999</v>
      </c>
      <c r="X697" s="91">
        <v>1800.6999510000001</v>
      </c>
      <c r="Y697" s="91">
        <v>1748.9411620000001</v>
      </c>
      <c r="Z697" s="91">
        <v>7169109</v>
      </c>
      <c r="AA697" s="91">
        <v>-6.8999999999999999E-3</v>
      </c>
      <c r="AB697" s="91"/>
      <c r="AC697" s="90">
        <v>45678</v>
      </c>
      <c r="AD697" s="91">
        <v>6090.6000979999999</v>
      </c>
      <c r="AE697" s="91">
        <v>5736.9501950000003</v>
      </c>
      <c r="AF697" s="91">
        <v>5731.984375</v>
      </c>
      <c r="AG697" s="91">
        <v>1553225</v>
      </c>
      <c r="AH697" s="91">
        <v>-5.8000000000000003E-2</v>
      </c>
      <c r="AI697" s="91"/>
      <c r="AJ697" s="91">
        <f>(F697*'Part 3 Portfolio Analysis'!$B$8+M697*'Part 3 Portfolio Analysis'!$C$8+T697*'Part 3 Portfolio Analysis'!$D$8+AA697*'Part 3 Portfolio Analysis'!$E$8+AH697*'Part 3 Portfolio Analysis'!$F$8)/100</f>
        <v>-1.3606366057974679E-2</v>
      </c>
      <c r="AK697" s="91">
        <f>'Part 3 Portfolio Analysis'!$B$107*F697+M697*'Part 3 Portfolio Analysis'!$C$107+T697*'Part 3 Portfolio Analysis'!$D$107+AA697*'Part 3 Portfolio Analysis'!$E$107+AH697*'Part 3 Portfolio Analysis'!$F$107</f>
        <v>-2.50809E-2</v>
      </c>
      <c r="AL697" s="91">
        <f>F697*'Part 3 Portfolio Analysis'!$B$121+M697*'Part 3 Portfolio Analysis'!$C$121+'Part 3 Portfolio Analysis'!$D$121*T697+AA697*'Part 3 Portfolio Analysis'!$E$121+'Part 3 Portfolio Analysis'!$F$121*AH697</f>
        <v>-1.5172959999999996E-2</v>
      </c>
      <c r="AM697" s="91"/>
      <c r="AN697" s="90">
        <v>45678</v>
      </c>
      <c r="AO697" s="91">
        <v>23421.650389999999</v>
      </c>
      <c r="AP697" s="91">
        <v>23024.650389999999</v>
      </c>
      <c r="AQ697" s="91">
        <v>23024.650389999999</v>
      </c>
      <c r="AR697" s="91">
        <v>312900</v>
      </c>
      <c r="AS697" s="91">
        <v>-1.37E-2</v>
      </c>
    </row>
    <row r="698" spans="1:45" x14ac:dyDescent="0.55000000000000004">
      <c r="A698" s="90">
        <v>45679</v>
      </c>
      <c r="B698" s="91">
        <v>6170</v>
      </c>
      <c r="C698" s="91">
        <v>6167.3500979999999</v>
      </c>
      <c r="D698" s="91">
        <v>6098.3637699999999</v>
      </c>
      <c r="E698" s="91">
        <v>124965</v>
      </c>
      <c r="F698" s="91">
        <v>2.2000000000000001E-3</v>
      </c>
      <c r="H698" s="90">
        <v>45679</v>
      </c>
      <c r="I698" s="91">
        <v>1278.3000489999999</v>
      </c>
      <c r="J698" s="91">
        <v>1277.099976</v>
      </c>
      <c r="K698" s="91">
        <v>1272.0196530000001</v>
      </c>
      <c r="L698" s="91">
        <v>10273590</v>
      </c>
      <c r="M698" s="91">
        <v>2.7000000000000001E-3</v>
      </c>
      <c r="O698" s="90">
        <v>45679</v>
      </c>
      <c r="P698" s="91">
        <v>821.20001219999995</v>
      </c>
      <c r="Q698" s="91">
        <v>833.02502440000001</v>
      </c>
      <c r="R698" s="91">
        <v>821.91522220000002</v>
      </c>
      <c r="S698" s="91">
        <v>30619306</v>
      </c>
      <c r="T698" s="91">
        <v>1.44E-2</v>
      </c>
      <c r="V698" s="90">
        <v>45679</v>
      </c>
      <c r="W698" s="91">
        <v>1807.400024</v>
      </c>
      <c r="X698" s="91">
        <v>1856.4499510000001</v>
      </c>
      <c r="Y698" s="91">
        <v>1803.088745</v>
      </c>
      <c r="Z698" s="91">
        <v>8373913</v>
      </c>
      <c r="AA698" s="91">
        <v>3.1E-2</v>
      </c>
      <c r="AB698" s="91"/>
      <c r="AC698" s="90">
        <v>45679</v>
      </c>
      <c r="AD698" s="91">
        <v>5736</v>
      </c>
      <c r="AE698" s="91">
        <v>5626.3500979999999</v>
      </c>
      <c r="AF698" s="91">
        <v>5621.4799800000001</v>
      </c>
      <c r="AG698" s="91">
        <v>1377528</v>
      </c>
      <c r="AH698" s="91">
        <v>-1.9300000000000001E-2</v>
      </c>
      <c r="AI698" s="91"/>
      <c r="AJ698" s="91">
        <f>(F698*'Part 3 Portfolio Analysis'!$B$8+M698*'Part 3 Portfolio Analysis'!$C$8+T698*'Part 3 Portfolio Analysis'!$D$8+AA698*'Part 3 Portfolio Analysis'!$E$8+AH698*'Part 3 Portfolio Analysis'!$F$8)/100</f>
        <v>8.8411094933572801E-3</v>
      </c>
      <c r="AK698" s="91">
        <f>'Part 3 Portfolio Analysis'!$B$107*F698+M698*'Part 3 Portfolio Analysis'!$C$107+T698*'Part 3 Portfolio Analysis'!$D$107+AA698*'Part 3 Portfolio Analysis'!$E$107+AH698*'Part 3 Portfolio Analysis'!$F$107</f>
        <v>1.7095000000000001E-3</v>
      </c>
      <c r="AL698" s="91">
        <f>F698*'Part 3 Portfolio Analysis'!$B$121+M698*'Part 3 Portfolio Analysis'!$C$121+'Part 3 Portfolio Analysis'!$D$121*T698+AA698*'Part 3 Portfolio Analysis'!$E$121+'Part 3 Portfolio Analysis'!$F$121*AH698</f>
        <v>1.09249E-2</v>
      </c>
      <c r="AM698" s="91"/>
      <c r="AN698" s="90">
        <v>45679</v>
      </c>
      <c r="AO698" s="91">
        <v>23099.150389999999</v>
      </c>
      <c r="AP698" s="91">
        <v>23155.349610000001</v>
      </c>
      <c r="AQ698" s="91">
        <v>23155.349610000001</v>
      </c>
      <c r="AR698" s="91">
        <v>276000</v>
      </c>
      <c r="AS698" s="91">
        <v>5.7000000000000002E-3</v>
      </c>
    </row>
    <row r="699" spans="1:45" x14ac:dyDescent="0.55000000000000004">
      <c r="A699" s="90">
        <v>45680</v>
      </c>
      <c r="B699" s="91">
        <v>6167.5</v>
      </c>
      <c r="C699" s="91">
        <v>6353.9501950000003</v>
      </c>
      <c r="D699" s="91">
        <v>6282.876953</v>
      </c>
      <c r="E699" s="91">
        <v>221641</v>
      </c>
      <c r="F699" s="91">
        <v>3.0300000000000001E-2</v>
      </c>
      <c r="H699" s="90">
        <v>45680</v>
      </c>
      <c r="I699" s="91">
        <v>1270</v>
      </c>
      <c r="J699" s="91">
        <v>1263.650024</v>
      </c>
      <c r="K699" s="91">
        <v>1258.623169</v>
      </c>
      <c r="L699" s="91">
        <v>8720682</v>
      </c>
      <c r="M699" s="91">
        <v>-1.0500000000000001E-2</v>
      </c>
      <c r="O699" s="90">
        <v>45680</v>
      </c>
      <c r="P699" s="91">
        <v>843.5</v>
      </c>
      <c r="Q699" s="91">
        <v>832.45001219999995</v>
      </c>
      <c r="R699" s="91">
        <v>821.34790039999996</v>
      </c>
      <c r="S699" s="91">
        <v>34909158</v>
      </c>
      <c r="T699" s="91">
        <v>-6.9999999999999999E-4</v>
      </c>
      <c r="V699" s="90">
        <v>45680</v>
      </c>
      <c r="W699" s="91">
        <v>1858</v>
      </c>
      <c r="X699" s="91">
        <v>1865.4499510000001</v>
      </c>
      <c r="Y699" s="91">
        <v>1811.829956</v>
      </c>
      <c r="Z699" s="91">
        <v>5907471</v>
      </c>
      <c r="AA699" s="91">
        <v>4.7999999999999996E-3</v>
      </c>
      <c r="AB699" s="91"/>
      <c r="AC699" s="90">
        <v>45680</v>
      </c>
      <c r="AD699" s="91">
        <v>5620</v>
      </c>
      <c r="AE699" s="91">
        <v>5733.6000979999999</v>
      </c>
      <c r="AF699" s="91">
        <v>5728.6372069999998</v>
      </c>
      <c r="AG699" s="91">
        <v>2106761</v>
      </c>
      <c r="AH699" s="91">
        <v>1.9099999999999999E-2</v>
      </c>
      <c r="AI699" s="91"/>
      <c r="AJ699" s="91">
        <f>(F699*'Part 3 Portfolio Analysis'!$B$8+M699*'Part 3 Portfolio Analysis'!$C$8+T699*'Part 3 Portfolio Analysis'!$D$8+AA699*'Part 3 Portfolio Analysis'!$E$8+AH699*'Part 3 Portfolio Analysis'!$F$8)/100</f>
        <v>6.1263465490259328E-3</v>
      </c>
      <c r="AK699" s="91">
        <f>'Part 3 Portfolio Analysis'!$B$107*F699+M699*'Part 3 Portfolio Analysis'!$C$107+T699*'Part 3 Portfolio Analysis'!$D$107+AA699*'Part 3 Portfolio Analysis'!$E$107+AH699*'Part 3 Portfolio Analysis'!$F$107</f>
        <v>7.3521999999999997E-3</v>
      </c>
      <c r="AL699" s="91">
        <f>F699*'Part 3 Portfolio Analysis'!$B$121+M699*'Part 3 Portfolio Analysis'!$C$121+'Part 3 Portfolio Analysis'!$D$121*T699+AA699*'Part 3 Portfolio Analysis'!$E$121+'Part 3 Portfolio Analysis'!$F$121*AH699</f>
        <v>-6.4511999999999957E-4</v>
      </c>
      <c r="AM699" s="91"/>
      <c r="AN699" s="90">
        <v>45680</v>
      </c>
      <c r="AO699" s="91">
        <v>23128.300780000001</v>
      </c>
      <c r="AP699" s="91">
        <v>23205.349610000001</v>
      </c>
      <c r="AQ699" s="91">
        <v>23205.349610000001</v>
      </c>
      <c r="AR699" s="91">
        <v>275600</v>
      </c>
      <c r="AS699" s="91">
        <v>2.2000000000000001E-3</v>
      </c>
    </row>
    <row r="700" spans="1:45" x14ac:dyDescent="0.55000000000000004">
      <c r="A700" s="90">
        <v>45681</v>
      </c>
      <c r="B700" s="91">
        <v>6353.9501950000003</v>
      </c>
      <c r="C700" s="91">
        <v>6372.7001950000003</v>
      </c>
      <c r="D700" s="91">
        <v>6301.4169920000004</v>
      </c>
      <c r="E700" s="91">
        <v>108179</v>
      </c>
      <c r="F700" s="91">
        <v>3.0000000000000001E-3</v>
      </c>
      <c r="H700" s="90">
        <v>45681</v>
      </c>
      <c r="I700" s="91">
        <v>1266</v>
      </c>
      <c r="J700" s="91">
        <v>1246.3000489999999</v>
      </c>
      <c r="K700" s="91">
        <v>1241.3422849999999</v>
      </c>
      <c r="L700" s="91">
        <v>14235970</v>
      </c>
      <c r="M700" s="91">
        <v>-1.37E-2</v>
      </c>
      <c r="O700" s="90">
        <v>45681</v>
      </c>
      <c r="P700" s="91">
        <v>830</v>
      </c>
      <c r="Q700" s="91">
        <v>824.90002440000001</v>
      </c>
      <c r="R700" s="91">
        <v>813.89862059999996</v>
      </c>
      <c r="S700" s="91">
        <v>24236200</v>
      </c>
      <c r="T700" s="91">
        <v>-9.1000000000000004E-3</v>
      </c>
      <c r="V700" s="90">
        <v>45681</v>
      </c>
      <c r="W700" s="91">
        <v>1865.5</v>
      </c>
      <c r="X700" s="91">
        <v>1875.4499510000001</v>
      </c>
      <c r="Y700" s="91">
        <v>1821.5426030000001</v>
      </c>
      <c r="Z700" s="91">
        <v>4887027</v>
      </c>
      <c r="AA700" s="91">
        <v>5.4000000000000003E-3</v>
      </c>
      <c r="AB700" s="91"/>
      <c r="AC700" s="90">
        <v>45681</v>
      </c>
      <c r="AD700" s="91">
        <v>5720</v>
      </c>
      <c r="AE700" s="91">
        <v>5490.4501950000003</v>
      </c>
      <c r="AF700" s="91">
        <v>5485.6977539999998</v>
      </c>
      <c r="AG700" s="91">
        <v>1119070</v>
      </c>
      <c r="AH700" s="91">
        <v>-4.24E-2</v>
      </c>
      <c r="AI700" s="91"/>
      <c r="AJ700" s="91">
        <f>(F700*'Part 3 Portfolio Analysis'!$B$8+M700*'Part 3 Portfolio Analysis'!$C$8+T700*'Part 3 Portfolio Analysis'!$D$8+AA700*'Part 3 Portfolio Analysis'!$E$8+AH700*'Part 3 Portfolio Analysis'!$F$8)/100</f>
        <v>-5.1293326213279044E-3</v>
      </c>
      <c r="AK700" s="91">
        <f>'Part 3 Portfolio Analysis'!$B$107*F700+M700*'Part 3 Portfolio Analysis'!$C$107+T700*'Part 3 Portfolio Analysis'!$D$107+AA700*'Part 3 Portfolio Analysis'!$E$107+AH700*'Part 3 Portfolio Analysis'!$F$107</f>
        <v>-1.53034E-2</v>
      </c>
      <c r="AL700" s="91">
        <f>F700*'Part 3 Portfolio Analysis'!$B$121+M700*'Part 3 Portfolio Analysis'!$C$121+'Part 3 Portfolio Analysis'!$D$121*T700+AA700*'Part 3 Portfolio Analysis'!$E$121+'Part 3 Portfolio Analysis'!$F$121*AH700</f>
        <v>-8.0080000000000012E-3</v>
      </c>
      <c r="AM700" s="91"/>
      <c r="AN700" s="90">
        <v>45681</v>
      </c>
      <c r="AO700" s="91">
        <v>23183.900389999999</v>
      </c>
      <c r="AP700" s="91">
        <v>23092.199219999999</v>
      </c>
      <c r="AQ700" s="91">
        <v>23092.199219999999</v>
      </c>
      <c r="AR700" s="91">
        <v>264300</v>
      </c>
      <c r="AS700" s="91">
        <v>-4.8999999999999998E-3</v>
      </c>
    </row>
    <row r="701" spans="1:45" x14ac:dyDescent="0.55000000000000004">
      <c r="A701" s="90">
        <v>45684</v>
      </c>
      <c r="B701" s="91">
        <v>6319.9501950000003</v>
      </c>
      <c r="C701" s="91">
        <v>6156.0498049999997</v>
      </c>
      <c r="D701" s="91">
        <v>6087.1899409999996</v>
      </c>
      <c r="E701" s="91">
        <v>161634</v>
      </c>
      <c r="F701" s="91">
        <v>-3.4000000000000002E-2</v>
      </c>
      <c r="H701" s="90">
        <v>45684</v>
      </c>
      <c r="I701" s="91">
        <v>1239.099976</v>
      </c>
      <c r="J701" s="91">
        <v>1229.349976</v>
      </c>
      <c r="K701" s="91">
        <v>1224.459595</v>
      </c>
      <c r="L701" s="91">
        <v>9536019</v>
      </c>
      <c r="M701" s="91">
        <v>-1.3599999999999999E-2</v>
      </c>
      <c r="O701" s="90">
        <v>45684</v>
      </c>
      <c r="P701" s="91">
        <v>820.54998780000005</v>
      </c>
      <c r="Q701" s="91">
        <v>814.90002440000001</v>
      </c>
      <c r="R701" s="91">
        <v>804.03192139999999</v>
      </c>
      <c r="S701" s="91">
        <v>22804166</v>
      </c>
      <c r="T701" s="91">
        <v>-1.21E-2</v>
      </c>
      <c r="V701" s="90">
        <v>45684</v>
      </c>
      <c r="W701" s="91">
        <v>1848.75</v>
      </c>
      <c r="X701" s="91">
        <v>1822</v>
      </c>
      <c r="Y701" s="91">
        <v>1769.6290280000001</v>
      </c>
      <c r="Z701" s="91">
        <v>7652371</v>
      </c>
      <c r="AA701" s="91">
        <v>-2.8500000000000001E-2</v>
      </c>
      <c r="AB701" s="91"/>
      <c r="AC701" s="90">
        <v>45684</v>
      </c>
      <c r="AD701" s="91">
        <v>5477</v>
      </c>
      <c r="AE701" s="91">
        <v>5412.6000979999999</v>
      </c>
      <c r="AF701" s="91">
        <v>5407.9150390000004</v>
      </c>
      <c r="AG701" s="91">
        <v>1186126</v>
      </c>
      <c r="AH701" s="91">
        <v>-1.4200000000000001E-2</v>
      </c>
      <c r="AI701" s="91"/>
      <c r="AJ701" s="91">
        <f>(F701*'Part 3 Portfolio Analysis'!$B$8+M701*'Part 3 Portfolio Analysis'!$C$8+T701*'Part 3 Portfolio Analysis'!$D$8+AA701*'Part 3 Portfolio Analysis'!$E$8+AH701*'Part 3 Portfolio Analysis'!$F$8)/100</f>
        <v>-2.1873555298846114E-2</v>
      </c>
      <c r="AK701" s="91">
        <f>'Part 3 Portfolio Analysis'!$B$107*F701+M701*'Part 3 Portfolio Analysis'!$C$107+T701*'Part 3 Portfolio Analysis'!$D$107+AA701*'Part 3 Portfolio Analysis'!$E$107+AH701*'Part 3 Portfolio Analysis'!$F$107</f>
        <v>-1.8680700000000001E-2</v>
      </c>
      <c r="AL701" s="91">
        <f>F701*'Part 3 Portfolio Analysis'!$B$121+M701*'Part 3 Portfolio Analysis'!$C$121+'Part 3 Portfolio Analysis'!$D$121*T701+AA701*'Part 3 Portfolio Analysis'!$E$121+'Part 3 Portfolio Analysis'!$F$121*AH701</f>
        <v>-1.7864600000000001E-2</v>
      </c>
      <c r="AM701" s="91"/>
      <c r="AN701" s="90">
        <v>45684</v>
      </c>
      <c r="AO701" s="91">
        <v>22940.150389999999</v>
      </c>
      <c r="AP701" s="91">
        <v>22829.150389999999</v>
      </c>
      <c r="AQ701" s="91">
        <v>22829.150389999999</v>
      </c>
      <c r="AR701" s="91">
        <v>257400</v>
      </c>
      <c r="AS701" s="91">
        <v>-1.14E-2</v>
      </c>
    </row>
    <row r="702" spans="1:45" x14ac:dyDescent="0.55000000000000004">
      <c r="A702" s="90">
        <v>45685</v>
      </c>
      <c r="B702" s="91">
        <v>6150</v>
      </c>
      <c r="C702" s="91">
        <v>6125.3999020000001</v>
      </c>
      <c r="D702" s="91">
        <v>6056.8828130000002</v>
      </c>
      <c r="E702" s="91">
        <v>148138</v>
      </c>
      <c r="F702" s="91">
        <v>-5.0000000000000001E-3</v>
      </c>
      <c r="H702" s="90">
        <v>45685</v>
      </c>
      <c r="I702" s="91">
        <v>1238</v>
      </c>
      <c r="J702" s="91">
        <v>1234.400024</v>
      </c>
      <c r="K702" s="91">
        <v>1229.489624</v>
      </c>
      <c r="L702" s="91">
        <v>10568025</v>
      </c>
      <c r="M702" s="91">
        <v>4.1000000000000003E-3</v>
      </c>
      <c r="O702" s="90">
        <v>45685</v>
      </c>
      <c r="P702" s="91">
        <v>823.5</v>
      </c>
      <c r="Q702" s="91">
        <v>835.20001219999995</v>
      </c>
      <c r="R702" s="91">
        <v>824.06115720000003</v>
      </c>
      <c r="S702" s="91">
        <v>30179312</v>
      </c>
      <c r="T702" s="91">
        <v>2.4899999999999999E-2</v>
      </c>
      <c r="V702" s="90">
        <v>45685</v>
      </c>
      <c r="W702" s="91">
        <v>1830</v>
      </c>
      <c r="X702" s="91">
        <v>1829.75</v>
      </c>
      <c r="Y702" s="91">
        <v>1777.15625</v>
      </c>
      <c r="Z702" s="91">
        <v>6999495</v>
      </c>
      <c r="AA702" s="91">
        <v>4.3E-3</v>
      </c>
      <c r="AB702" s="91"/>
      <c r="AC702" s="90">
        <v>45685</v>
      </c>
      <c r="AD702" s="91">
        <v>5484</v>
      </c>
      <c r="AE702" s="91">
        <v>5455.1000979999999</v>
      </c>
      <c r="AF702" s="91">
        <v>5450.3784180000002</v>
      </c>
      <c r="AG702" s="91">
        <v>1136463</v>
      </c>
      <c r="AH702" s="91">
        <v>7.9000000000000008E-3</v>
      </c>
      <c r="AI702" s="91"/>
      <c r="AJ702" s="91">
        <f>(F702*'Part 3 Portfolio Analysis'!$B$8+M702*'Part 3 Portfolio Analysis'!$C$8+T702*'Part 3 Portfolio Analysis'!$D$8+AA702*'Part 3 Portfolio Analysis'!$E$8+AH702*'Part 3 Portfolio Analysis'!$F$8)/100</f>
        <v>4.9090305508451802E-3</v>
      </c>
      <c r="AK702" s="91">
        <f>'Part 3 Portfolio Analysis'!$B$107*F702+M702*'Part 3 Portfolio Analysis'!$C$107+T702*'Part 3 Portfolio Analysis'!$D$107+AA702*'Part 3 Portfolio Analysis'!$E$107+AH702*'Part 3 Portfolio Analysis'!$F$107</f>
        <v>6.6635999999999996E-3</v>
      </c>
      <c r="AL702" s="91">
        <f>F702*'Part 3 Portfolio Analysis'!$B$121+M702*'Part 3 Portfolio Analysis'!$C$121+'Part 3 Portfolio Analysis'!$D$121*T702+AA702*'Part 3 Portfolio Analysis'!$E$121+'Part 3 Portfolio Analysis'!$F$121*AH702</f>
        <v>9.1491400000000001E-3</v>
      </c>
      <c r="AM702" s="91"/>
      <c r="AN702" s="90">
        <v>45685</v>
      </c>
      <c r="AO702" s="91">
        <v>22960.449219999999</v>
      </c>
      <c r="AP702" s="91">
        <v>22957.25</v>
      </c>
      <c r="AQ702" s="91">
        <v>22957.25</v>
      </c>
      <c r="AR702" s="91">
        <v>361900</v>
      </c>
      <c r="AS702" s="91">
        <v>5.5999999999999999E-3</v>
      </c>
    </row>
    <row r="703" spans="1:45" x14ac:dyDescent="0.55000000000000004">
      <c r="A703" s="90">
        <v>45686</v>
      </c>
      <c r="B703" s="91">
        <v>6129.2001950000003</v>
      </c>
      <c r="C703" s="91">
        <v>6173.8500979999999</v>
      </c>
      <c r="D703" s="91">
        <v>6104.7910160000001</v>
      </c>
      <c r="E703" s="91">
        <v>143522</v>
      </c>
      <c r="F703" s="91">
        <v>7.9000000000000008E-3</v>
      </c>
      <c r="H703" s="90">
        <v>45686</v>
      </c>
      <c r="I703" s="91">
        <v>1236</v>
      </c>
      <c r="J703" s="91">
        <v>1235.5</v>
      </c>
      <c r="K703" s="91">
        <v>1230.5852050000001</v>
      </c>
      <c r="L703" s="91">
        <v>5928156</v>
      </c>
      <c r="M703" s="91">
        <v>8.9999999999999998E-4</v>
      </c>
      <c r="O703" s="90">
        <v>45686</v>
      </c>
      <c r="P703" s="91">
        <v>837.5</v>
      </c>
      <c r="Q703" s="91">
        <v>838.65002440000001</v>
      </c>
      <c r="R703" s="91">
        <v>827.46514890000003</v>
      </c>
      <c r="S703" s="91">
        <v>12619890</v>
      </c>
      <c r="T703" s="91">
        <v>4.1000000000000003E-3</v>
      </c>
      <c r="V703" s="90">
        <v>45686</v>
      </c>
      <c r="W703" s="91">
        <v>1845</v>
      </c>
      <c r="X703" s="91">
        <v>1881.25</v>
      </c>
      <c r="Y703" s="91">
        <v>1827.1759030000001</v>
      </c>
      <c r="Z703" s="91">
        <v>5145155</v>
      </c>
      <c r="AA703" s="91">
        <v>2.81E-2</v>
      </c>
      <c r="AB703" s="91"/>
      <c r="AC703" s="90">
        <v>45686</v>
      </c>
      <c r="AD703" s="91">
        <v>5495</v>
      </c>
      <c r="AE703" s="91">
        <v>5597.1499020000001</v>
      </c>
      <c r="AF703" s="91">
        <v>5592.3051759999998</v>
      </c>
      <c r="AG703" s="91">
        <v>701998</v>
      </c>
      <c r="AH703" s="91">
        <v>2.5999999999999999E-2</v>
      </c>
      <c r="AI703" s="91"/>
      <c r="AJ703" s="91">
        <f>(F703*'Part 3 Portfolio Analysis'!$B$8+M703*'Part 3 Portfolio Analysis'!$C$8+T703*'Part 3 Portfolio Analysis'!$D$8+AA703*'Part 3 Portfolio Analysis'!$E$8+AH703*'Part 3 Portfolio Analysis'!$F$8)/100</f>
        <v>8.1565110222799574E-3</v>
      </c>
      <c r="AK703" s="91">
        <f>'Part 3 Portfolio Analysis'!$B$107*F703+M703*'Part 3 Portfolio Analysis'!$C$107+T703*'Part 3 Portfolio Analysis'!$D$107+AA703*'Part 3 Portfolio Analysis'!$E$107+AH703*'Part 3 Portfolio Analysis'!$F$107</f>
        <v>1.1701199999999998E-2</v>
      </c>
      <c r="AL703" s="91">
        <f>F703*'Part 3 Portfolio Analysis'!$B$121+M703*'Part 3 Portfolio Analysis'!$C$121+'Part 3 Portfolio Analysis'!$D$121*T703+AA703*'Part 3 Portfolio Analysis'!$E$121+'Part 3 Portfolio Analysis'!$F$121*AH703</f>
        <v>8.4434200000000001E-3</v>
      </c>
      <c r="AM703" s="91"/>
      <c r="AN703" s="90">
        <v>45686</v>
      </c>
      <c r="AO703" s="91">
        <v>23026.75</v>
      </c>
      <c r="AP703" s="91">
        <v>23163.099610000001</v>
      </c>
      <c r="AQ703" s="91">
        <v>23163.099610000001</v>
      </c>
      <c r="AR703" s="91">
        <v>226300</v>
      </c>
      <c r="AS703" s="91">
        <v>8.9999999999999993E-3</v>
      </c>
    </row>
    <row r="704" spans="1:45" x14ac:dyDescent="0.55000000000000004">
      <c r="A704" s="90">
        <v>45687</v>
      </c>
      <c r="B704" s="91">
        <v>6195</v>
      </c>
      <c r="C704" s="91">
        <v>6135.7001950000003</v>
      </c>
      <c r="D704" s="91">
        <v>6067.0678710000002</v>
      </c>
      <c r="E704" s="91">
        <v>138349</v>
      </c>
      <c r="F704" s="91">
        <v>-6.1999999999999998E-3</v>
      </c>
      <c r="H704" s="90">
        <v>45687</v>
      </c>
      <c r="I704" s="91">
        <v>1235.5500489999999</v>
      </c>
      <c r="J704" s="91">
        <v>1253.0500489999999</v>
      </c>
      <c r="K704" s="91">
        <v>1248.0654300000001</v>
      </c>
      <c r="L704" s="91">
        <v>9269259</v>
      </c>
      <c r="M704" s="91">
        <v>1.4200000000000001E-2</v>
      </c>
      <c r="O704" s="90">
        <v>45687</v>
      </c>
      <c r="P704" s="91">
        <v>840.5</v>
      </c>
      <c r="Q704" s="91">
        <v>845.75</v>
      </c>
      <c r="R704" s="91">
        <v>834.47045900000001</v>
      </c>
      <c r="S704" s="91">
        <v>25744846</v>
      </c>
      <c r="T704" s="91">
        <v>8.5000000000000006E-3</v>
      </c>
      <c r="V704" s="90">
        <v>45687</v>
      </c>
      <c r="W704" s="91">
        <v>1873.150024</v>
      </c>
      <c r="X704" s="91">
        <v>1859.9499510000001</v>
      </c>
      <c r="Y704" s="91">
        <v>1806.4880370000001</v>
      </c>
      <c r="Z704" s="91">
        <v>7336056</v>
      </c>
      <c r="AA704" s="91">
        <v>-1.1299999999999999E-2</v>
      </c>
      <c r="AB704" s="91"/>
      <c r="AC704" s="90">
        <v>45687</v>
      </c>
      <c r="AD704" s="91">
        <v>5600</v>
      </c>
      <c r="AE704" s="91">
        <v>5511.2001950000003</v>
      </c>
      <c r="AF704" s="91">
        <v>5506.4296880000002</v>
      </c>
      <c r="AG704" s="91">
        <v>575077</v>
      </c>
      <c r="AH704" s="91">
        <v>-1.54E-2</v>
      </c>
      <c r="AI704" s="91"/>
      <c r="AJ704" s="91">
        <f>(F704*'Part 3 Portfolio Analysis'!$B$8+M704*'Part 3 Portfolio Analysis'!$C$8+T704*'Part 3 Portfolio Analysis'!$D$8+AA704*'Part 3 Portfolio Analysis'!$E$8+AH704*'Part 3 Portfolio Analysis'!$F$8)/100</f>
        <v>2.7360631098362832E-3</v>
      </c>
      <c r="AK704" s="91">
        <f>'Part 3 Portfolio Analysis'!$B$107*F704+M704*'Part 3 Portfolio Analysis'!$C$107+T704*'Part 3 Portfolio Analysis'!$D$107+AA704*'Part 3 Portfolio Analysis'!$E$107+AH704*'Part 3 Portfolio Analysis'!$F$107</f>
        <v>-3.6469999999999992E-4</v>
      </c>
      <c r="AL704" s="91">
        <f>F704*'Part 3 Portfolio Analysis'!$B$121+M704*'Part 3 Portfolio Analysis'!$C$121+'Part 3 Portfolio Analysis'!$D$121*T704+AA704*'Part 3 Portfolio Analysis'!$E$121+'Part 3 Portfolio Analysis'!$F$121*AH704</f>
        <v>5.0971999999999988E-3</v>
      </c>
      <c r="AM704" s="91"/>
      <c r="AN704" s="90">
        <v>45687</v>
      </c>
      <c r="AO704" s="91">
        <v>23169.5</v>
      </c>
      <c r="AP704" s="91">
        <v>23249.5</v>
      </c>
      <c r="AQ704" s="91">
        <v>23249.5</v>
      </c>
      <c r="AR704" s="91">
        <v>361900</v>
      </c>
      <c r="AS704" s="91">
        <v>3.7000000000000002E-3</v>
      </c>
    </row>
    <row r="705" spans="1:45" x14ac:dyDescent="0.55000000000000004">
      <c r="A705" s="90">
        <v>45688</v>
      </c>
      <c r="B705" s="91">
        <v>6145</v>
      </c>
      <c r="C705" s="91">
        <v>6336</v>
      </c>
      <c r="D705" s="91">
        <v>6265.1274409999996</v>
      </c>
      <c r="E705" s="91">
        <v>122121</v>
      </c>
      <c r="F705" s="91">
        <v>3.2599999999999997E-2</v>
      </c>
      <c r="H705" s="90">
        <v>45688</v>
      </c>
      <c r="I705" s="91">
        <v>1255.849976</v>
      </c>
      <c r="J705" s="91">
        <v>1265.099976</v>
      </c>
      <c r="K705" s="91">
        <v>1260.0673830000001</v>
      </c>
      <c r="L705" s="91">
        <v>6584612</v>
      </c>
      <c r="M705" s="91">
        <v>9.5999999999999992E-3</v>
      </c>
      <c r="O705" s="90">
        <v>45688</v>
      </c>
      <c r="P705" s="91">
        <v>843.625</v>
      </c>
      <c r="Q705" s="91">
        <v>849.375</v>
      </c>
      <c r="R705" s="91">
        <v>838.04711910000003</v>
      </c>
      <c r="S705" s="91">
        <v>15821686</v>
      </c>
      <c r="T705" s="91">
        <v>4.3E-3</v>
      </c>
      <c r="V705" s="90">
        <v>45688</v>
      </c>
      <c r="W705" s="91">
        <v>1871</v>
      </c>
      <c r="X705" s="91">
        <v>1879.8000489999999</v>
      </c>
      <c r="Y705" s="91">
        <v>1825.7677000000001</v>
      </c>
      <c r="Z705" s="91">
        <v>5820470</v>
      </c>
      <c r="AA705" s="91">
        <v>1.0699999999999999E-2</v>
      </c>
      <c r="AB705" s="91"/>
      <c r="AC705" s="90">
        <v>45688</v>
      </c>
      <c r="AD705" s="91">
        <v>5569</v>
      </c>
      <c r="AE705" s="91">
        <v>5753.2001950000003</v>
      </c>
      <c r="AF705" s="91">
        <v>5748.2202150000003</v>
      </c>
      <c r="AG705" s="91">
        <v>1029356</v>
      </c>
      <c r="AH705" s="91">
        <v>4.3900000000000002E-2</v>
      </c>
      <c r="AI705" s="91"/>
      <c r="AJ705" s="91">
        <f>(F705*'Part 3 Portfolio Analysis'!$B$8+M705*'Part 3 Portfolio Analysis'!$C$8+T705*'Part 3 Portfolio Analysis'!$D$8+AA705*'Part 3 Portfolio Analysis'!$E$8+AH705*'Part 3 Portfolio Analysis'!$F$8)/100</f>
        <v>1.6128153984978136E-2</v>
      </c>
      <c r="AK705" s="91">
        <f>'Part 3 Portfolio Analysis'!$B$107*F705+M705*'Part 3 Portfolio Analysis'!$C$107+T705*'Part 3 Portfolio Analysis'!$D$107+AA705*'Part 3 Portfolio Analysis'!$E$107+AH705*'Part 3 Portfolio Analysis'!$F$107</f>
        <v>2.16721E-2</v>
      </c>
      <c r="AL705" s="91">
        <f>F705*'Part 3 Portfolio Analysis'!$B$121+M705*'Part 3 Portfolio Analysis'!$C$121+'Part 3 Portfolio Analysis'!$D$121*T705+AA705*'Part 3 Portfolio Analysis'!$E$121+'Part 3 Portfolio Analysis'!$F$121*AH705</f>
        <v>1.1167659999999999E-2</v>
      </c>
      <c r="AM705" s="91"/>
      <c r="AN705" s="90">
        <v>45688</v>
      </c>
      <c r="AO705" s="91">
        <v>23296.75</v>
      </c>
      <c r="AP705" s="91">
        <v>23508.400389999999</v>
      </c>
      <c r="AQ705" s="91">
        <v>23508.400389999999</v>
      </c>
      <c r="AR705" s="91">
        <v>304900</v>
      </c>
      <c r="AS705" s="91">
        <v>1.11E-2</v>
      </c>
    </row>
    <row r="706" spans="1:45" x14ac:dyDescent="0.55000000000000004">
      <c r="A706" s="90">
        <v>45689</v>
      </c>
      <c r="B706" s="91">
        <v>6370</v>
      </c>
      <c r="C706" s="91">
        <v>6381.25</v>
      </c>
      <c r="D706" s="91">
        <v>6309.8710940000001</v>
      </c>
      <c r="E706" s="91">
        <v>80662</v>
      </c>
      <c r="F706" s="91">
        <v>7.1000000000000004E-3</v>
      </c>
      <c r="H706" s="90">
        <v>45689</v>
      </c>
      <c r="I706" s="91">
        <v>1265.099976</v>
      </c>
      <c r="J706" s="91">
        <v>1264.599976</v>
      </c>
      <c r="K706" s="91">
        <v>1259.569336</v>
      </c>
      <c r="L706" s="91">
        <v>7118453</v>
      </c>
      <c r="M706" s="91">
        <v>-4.0000000000000002E-4</v>
      </c>
      <c r="O706" s="90">
        <v>45689</v>
      </c>
      <c r="P706" s="91">
        <v>848.75</v>
      </c>
      <c r="Q706" s="91">
        <v>845.47497559999999</v>
      </c>
      <c r="R706" s="91">
        <v>834.19909670000004</v>
      </c>
      <c r="S706" s="91">
        <v>5587528</v>
      </c>
      <c r="T706" s="91">
        <v>-4.5999999999999999E-3</v>
      </c>
      <c r="V706" s="90">
        <v>45689</v>
      </c>
      <c r="W706" s="91">
        <v>1880.3000489999999</v>
      </c>
      <c r="X706" s="91">
        <v>1851.349976</v>
      </c>
      <c r="Y706" s="91">
        <v>1798.135376</v>
      </c>
      <c r="Z706" s="91">
        <v>1701402</v>
      </c>
      <c r="AA706" s="91">
        <v>-1.5100000000000001E-2</v>
      </c>
      <c r="AB706" s="91"/>
      <c r="AC706" s="90">
        <v>45689</v>
      </c>
      <c r="AD706" s="91">
        <v>5780</v>
      </c>
      <c r="AE706" s="91">
        <v>6189.5</v>
      </c>
      <c r="AF706" s="91">
        <v>6184.142578</v>
      </c>
      <c r="AG706" s="91">
        <v>2120509</v>
      </c>
      <c r="AH706" s="91">
        <v>7.5800000000000006E-2</v>
      </c>
      <c r="AI706" s="91"/>
      <c r="AJ706" s="91">
        <f>(F706*'Part 3 Portfolio Analysis'!$B$8+M706*'Part 3 Portfolio Analysis'!$C$8+T706*'Part 3 Portfolio Analysis'!$D$8+AA706*'Part 3 Portfolio Analysis'!$E$8+AH706*'Part 3 Portfolio Analysis'!$F$8)/100</f>
        <v>-4.7158874275825101E-4</v>
      </c>
      <c r="AK706" s="91">
        <f>'Part 3 Portfolio Analysis'!$B$107*F706+M706*'Part 3 Portfolio Analysis'!$C$107+T706*'Part 3 Portfolio Analysis'!$D$107+AA706*'Part 3 Portfolio Analysis'!$E$107+AH706*'Part 3 Portfolio Analysis'!$F$107</f>
        <v>1.8031400000000003E-2</v>
      </c>
      <c r="AL706" s="91">
        <f>F706*'Part 3 Portfolio Analysis'!$B$121+M706*'Part 3 Portfolio Analysis'!$C$121+'Part 3 Portfolio Analysis'!$D$121*T706+AA706*'Part 3 Portfolio Analysis'!$E$121+'Part 3 Portfolio Analysis'!$F$121*AH706</f>
        <v>-1.8694599999999999E-3</v>
      </c>
      <c r="AM706" s="91"/>
      <c r="AN706" s="90">
        <v>45689</v>
      </c>
      <c r="AO706" s="91">
        <v>23528.599610000001</v>
      </c>
      <c r="AP706" s="91">
        <v>23482.150389999999</v>
      </c>
      <c r="AQ706" s="91">
        <v>23482.150389999999</v>
      </c>
      <c r="AR706" s="91">
        <v>281000</v>
      </c>
      <c r="AS706" s="91">
        <v>-1.1000000000000001E-3</v>
      </c>
    </row>
    <row r="707" spans="1:45" x14ac:dyDescent="0.55000000000000004">
      <c r="A707" s="90">
        <v>45691</v>
      </c>
      <c r="B707" s="91">
        <v>6330</v>
      </c>
      <c r="C707" s="91">
        <v>6396.25</v>
      </c>
      <c r="D707" s="91">
        <v>6324.7036129999997</v>
      </c>
      <c r="E707" s="91">
        <v>71348</v>
      </c>
      <c r="F707" s="91">
        <v>2.3999999999999998E-3</v>
      </c>
      <c r="H707" s="90">
        <v>45691</v>
      </c>
      <c r="I707" s="91">
        <v>1251</v>
      </c>
      <c r="J707" s="91">
        <v>1245.900024</v>
      </c>
      <c r="K707" s="91">
        <v>1240.9438479999999</v>
      </c>
      <c r="L707" s="91">
        <v>9252345</v>
      </c>
      <c r="M707" s="91">
        <v>-1.4800000000000001E-2</v>
      </c>
      <c r="O707" s="90">
        <v>45691</v>
      </c>
      <c r="P707" s="91">
        <v>835</v>
      </c>
      <c r="Q707" s="91">
        <v>839</v>
      </c>
      <c r="R707" s="91">
        <v>827.81048580000004</v>
      </c>
      <c r="S707" s="91">
        <v>20276540</v>
      </c>
      <c r="T707" s="91">
        <v>-7.7000000000000002E-3</v>
      </c>
      <c r="V707" s="90">
        <v>45691</v>
      </c>
      <c r="W707" s="91">
        <v>1836</v>
      </c>
      <c r="X707" s="91">
        <v>1863.3000489999999</v>
      </c>
      <c r="Y707" s="91">
        <v>1809.741943</v>
      </c>
      <c r="Z707" s="91">
        <v>4823228</v>
      </c>
      <c r="AA707" s="91">
        <v>6.4999999999999997E-3</v>
      </c>
      <c r="AB707" s="91"/>
      <c r="AC707" s="90">
        <v>45691</v>
      </c>
      <c r="AD707" s="91">
        <v>6210</v>
      </c>
      <c r="AE707" s="91">
        <v>6135.1000979999999</v>
      </c>
      <c r="AF707" s="91">
        <v>6129.7895509999998</v>
      </c>
      <c r="AG707" s="91">
        <v>1498258</v>
      </c>
      <c r="AH707" s="91">
        <v>-8.8000000000000005E-3</v>
      </c>
      <c r="AI707" s="91"/>
      <c r="AJ707" s="91">
        <f>(F707*'Part 3 Portfolio Analysis'!$B$8+M707*'Part 3 Portfolio Analysis'!$C$8+T707*'Part 3 Portfolio Analysis'!$D$8+AA707*'Part 3 Portfolio Analysis'!$E$8+AH707*'Part 3 Portfolio Analysis'!$F$8)/100</f>
        <v>-4.9691032073664963E-3</v>
      </c>
      <c r="AK707" s="91">
        <f>'Part 3 Portfolio Analysis'!$B$107*F707+M707*'Part 3 Portfolio Analysis'!$C$107+T707*'Part 3 Portfolio Analysis'!$D$107+AA707*'Part 3 Portfolio Analysis'!$E$107+AH707*'Part 3 Portfolio Analysis'!$F$107</f>
        <v>-6.9615000000000007E-3</v>
      </c>
      <c r="AL707" s="91">
        <f>F707*'Part 3 Portfolio Analysis'!$B$121+M707*'Part 3 Portfolio Analysis'!$C$121+'Part 3 Portfolio Analysis'!$D$121*T707+AA707*'Part 3 Portfolio Analysis'!$E$121+'Part 3 Portfolio Analysis'!$F$121*AH707</f>
        <v>-7.0377600000000005E-3</v>
      </c>
      <c r="AM707" s="91"/>
      <c r="AN707" s="90">
        <v>45691</v>
      </c>
      <c r="AO707" s="91">
        <v>23319.349610000001</v>
      </c>
      <c r="AP707" s="91">
        <v>23361.050780000001</v>
      </c>
      <c r="AQ707" s="91">
        <v>23361.050780000001</v>
      </c>
      <c r="AR707" s="91">
        <v>329700</v>
      </c>
      <c r="AS707" s="91">
        <v>-5.1999999999999998E-3</v>
      </c>
    </row>
    <row r="708" spans="1:45" x14ac:dyDescent="0.55000000000000004">
      <c r="A708" s="90">
        <v>45692</v>
      </c>
      <c r="B708" s="91">
        <v>6415</v>
      </c>
      <c r="C708" s="91">
        <v>6371.1000979999999</v>
      </c>
      <c r="D708" s="91">
        <v>6299.8349609999996</v>
      </c>
      <c r="E708" s="91">
        <v>87790</v>
      </c>
      <c r="F708" s="91">
        <v>-3.8999999999999998E-3</v>
      </c>
      <c r="H708" s="90">
        <v>45692</v>
      </c>
      <c r="I708" s="91">
        <v>1248.0500489999999</v>
      </c>
      <c r="J708" s="91">
        <v>1285.1999510000001</v>
      </c>
      <c r="K708" s="91">
        <v>1280.0874020000001</v>
      </c>
      <c r="L708" s="91">
        <v>16691069</v>
      </c>
      <c r="M708" s="91">
        <v>3.15E-2</v>
      </c>
      <c r="O708" s="90">
        <v>45692</v>
      </c>
      <c r="P708" s="91">
        <v>844.34997559999999</v>
      </c>
      <c r="Q708" s="91">
        <v>860.45001219999995</v>
      </c>
      <c r="R708" s="91">
        <v>848.97448729999996</v>
      </c>
      <c r="S708" s="91">
        <v>28616502</v>
      </c>
      <c r="T708" s="91">
        <v>2.5600000000000001E-2</v>
      </c>
      <c r="V708" s="90">
        <v>45692</v>
      </c>
      <c r="W708" s="91">
        <v>1889</v>
      </c>
      <c r="X708" s="91">
        <v>1898.8000489999999</v>
      </c>
      <c r="Y708" s="91">
        <v>1844.221558</v>
      </c>
      <c r="Z708" s="91">
        <v>7334787</v>
      </c>
      <c r="AA708" s="91">
        <v>1.9099999999999999E-2</v>
      </c>
      <c r="AB708" s="91"/>
      <c r="AC708" s="90">
        <v>45692</v>
      </c>
      <c r="AD708" s="91">
        <v>6169.9501950000003</v>
      </c>
      <c r="AE708" s="91">
        <v>5750.2998049999997</v>
      </c>
      <c r="AF708" s="91">
        <v>5745.3222660000001</v>
      </c>
      <c r="AG708" s="91">
        <v>2602288</v>
      </c>
      <c r="AH708" s="91">
        <v>-6.2700000000000006E-2</v>
      </c>
      <c r="AI708" s="91"/>
      <c r="AJ708" s="91">
        <f>(F708*'Part 3 Portfolio Analysis'!$B$8+M708*'Part 3 Portfolio Analysis'!$C$8+T708*'Part 3 Portfolio Analysis'!$D$8+AA708*'Part 3 Portfolio Analysis'!$E$8+AH708*'Part 3 Portfolio Analysis'!$F$8)/100</f>
        <v>1.6979555981790097E-2</v>
      </c>
      <c r="AK708" s="91">
        <f>'Part 3 Portfolio Analysis'!$B$107*F708+M708*'Part 3 Portfolio Analysis'!$C$107+T708*'Part 3 Portfolio Analysis'!$D$107+AA708*'Part 3 Portfolio Analysis'!$E$107+AH708*'Part 3 Portfolio Analysis'!$F$107</f>
        <v>-7.6490000000000065E-4</v>
      </c>
      <c r="AL708" s="91">
        <f>F708*'Part 3 Portfolio Analysis'!$B$121+M708*'Part 3 Portfolio Analysis'!$C$121+'Part 3 Portfolio Analysis'!$D$121*T708+AA708*'Part 3 Portfolio Analysis'!$E$121+'Part 3 Portfolio Analysis'!$F$121*AH708</f>
        <v>2.2037279999999999E-2</v>
      </c>
      <c r="AM708" s="91"/>
      <c r="AN708" s="90">
        <v>45692</v>
      </c>
      <c r="AO708" s="91">
        <v>23509.900389999999</v>
      </c>
      <c r="AP708" s="91">
        <v>23739.25</v>
      </c>
      <c r="AQ708" s="91">
        <v>23739.25</v>
      </c>
      <c r="AR708" s="91">
        <v>376700</v>
      </c>
      <c r="AS708" s="91">
        <v>1.6199999999999999E-2</v>
      </c>
    </row>
    <row r="709" spans="1:45" x14ac:dyDescent="0.55000000000000004">
      <c r="A709" s="90">
        <v>45693</v>
      </c>
      <c r="B709" s="91">
        <v>6371.1000979999999</v>
      </c>
      <c r="C709" s="91">
        <v>6384.5</v>
      </c>
      <c r="D709" s="91">
        <v>6313.0849609999996</v>
      </c>
      <c r="E709" s="91">
        <v>66079</v>
      </c>
      <c r="F709" s="91">
        <v>2.0999999999999999E-3</v>
      </c>
      <c r="H709" s="90">
        <v>45693</v>
      </c>
      <c r="I709" s="91">
        <v>1282.650024</v>
      </c>
      <c r="J709" s="91">
        <v>1278.1999510000001</v>
      </c>
      <c r="K709" s="91">
        <v>1273.1152340000001</v>
      </c>
      <c r="L709" s="91">
        <v>10112028</v>
      </c>
      <c r="M709" s="91">
        <v>-5.4000000000000003E-3</v>
      </c>
      <c r="O709" s="90">
        <v>45693</v>
      </c>
      <c r="P709" s="91">
        <v>866.5</v>
      </c>
      <c r="Q709" s="91">
        <v>868.90002440000001</v>
      </c>
      <c r="R709" s="91">
        <v>857.31176760000005</v>
      </c>
      <c r="S709" s="91">
        <v>23675506</v>
      </c>
      <c r="T709" s="91">
        <v>9.7999999999999997E-3</v>
      </c>
      <c r="V709" s="90">
        <v>45693</v>
      </c>
      <c r="W709" s="91">
        <v>1906</v>
      </c>
      <c r="X709" s="91">
        <v>1897.0500489999999</v>
      </c>
      <c r="Y709" s="91">
        <v>1842.5217290000001</v>
      </c>
      <c r="Z709" s="91">
        <v>4996744</v>
      </c>
      <c r="AA709" s="91">
        <v>-8.9999999999999998E-4</v>
      </c>
      <c r="AB709" s="91"/>
      <c r="AC709" s="90">
        <v>45693</v>
      </c>
      <c r="AD709" s="91">
        <v>5765.7001950000003</v>
      </c>
      <c r="AE709" s="91">
        <v>5749.9501950000003</v>
      </c>
      <c r="AF709" s="91">
        <v>5744.9731449999999</v>
      </c>
      <c r="AG709" s="91">
        <v>1428644</v>
      </c>
      <c r="AH709" s="91">
        <v>-1E-4</v>
      </c>
      <c r="AI709" s="91"/>
      <c r="AJ709" s="91">
        <f>(F709*'Part 3 Portfolio Analysis'!$B$8+M709*'Part 3 Portfolio Analysis'!$C$8+T709*'Part 3 Portfolio Analysis'!$D$8+AA709*'Part 3 Portfolio Analysis'!$E$8+AH709*'Part 3 Portfolio Analysis'!$F$8)/100</f>
        <v>1.6155417416815224E-4</v>
      </c>
      <c r="AK709" s="91">
        <f>'Part 3 Portfolio Analysis'!$B$107*F709+M709*'Part 3 Portfolio Analysis'!$C$107+T709*'Part 3 Portfolio Analysis'!$D$107+AA709*'Part 3 Portfolio Analysis'!$E$107+AH709*'Part 3 Portfolio Analysis'!$F$107</f>
        <v>9.1600000000000031E-5</v>
      </c>
      <c r="AL709" s="91">
        <f>F709*'Part 3 Portfolio Analysis'!$B$121+M709*'Part 3 Portfolio Analysis'!$C$121+'Part 3 Portfolio Analysis'!$D$121*T709+AA709*'Part 3 Portfolio Analysis'!$E$121+'Part 3 Portfolio Analysis'!$F$121*AH709</f>
        <v>3.8976000000000033E-4</v>
      </c>
      <c r="AM709" s="91"/>
      <c r="AN709" s="90">
        <v>45693</v>
      </c>
      <c r="AO709" s="91">
        <v>23801.75</v>
      </c>
      <c r="AP709" s="91">
        <v>23696.300780000001</v>
      </c>
      <c r="AQ709" s="91">
        <v>23696.300780000001</v>
      </c>
      <c r="AR709" s="91">
        <v>267000</v>
      </c>
      <c r="AS709" s="91">
        <v>-1.8E-3</v>
      </c>
    </row>
    <row r="710" spans="1:45" x14ac:dyDescent="0.55000000000000004">
      <c r="A710" s="90">
        <v>45694</v>
      </c>
      <c r="B710" s="91">
        <v>6400</v>
      </c>
      <c r="C710" s="91">
        <v>6421.8999020000001</v>
      </c>
      <c r="D710" s="91">
        <v>6350.0664059999999</v>
      </c>
      <c r="E710" s="91">
        <v>82289</v>
      </c>
      <c r="F710" s="91">
        <v>5.8999999999999999E-3</v>
      </c>
      <c r="H710" s="90">
        <v>45694</v>
      </c>
      <c r="I710" s="91">
        <v>1273.6999510000001</v>
      </c>
      <c r="J710" s="91">
        <v>1281.5500489999999</v>
      </c>
      <c r="K710" s="91">
        <v>1276.4520259999999</v>
      </c>
      <c r="L710" s="91">
        <v>9956001</v>
      </c>
      <c r="M710" s="91">
        <v>2.5999999999999999E-3</v>
      </c>
      <c r="O710" s="90">
        <v>45694</v>
      </c>
      <c r="P710" s="91">
        <v>867.75</v>
      </c>
      <c r="Q710" s="91">
        <v>871.92498780000005</v>
      </c>
      <c r="R710" s="91">
        <v>860.29638669999997</v>
      </c>
      <c r="S710" s="91">
        <v>26760716</v>
      </c>
      <c r="T710" s="91">
        <v>3.5000000000000001E-3</v>
      </c>
      <c r="V710" s="90">
        <v>45694</v>
      </c>
      <c r="W710" s="91">
        <v>1917</v>
      </c>
      <c r="X710" s="91">
        <v>1915.650024</v>
      </c>
      <c r="Y710" s="91">
        <v>1860.587158</v>
      </c>
      <c r="Z710" s="91">
        <v>4765255</v>
      </c>
      <c r="AA710" s="91">
        <v>9.7999999999999997E-3</v>
      </c>
      <c r="AB710" s="91"/>
      <c r="AC710" s="90">
        <v>45694</v>
      </c>
      <c r="AD710" s="91">
        <v>5845</v>
      </c>
      <c r="AE710" s="91">
        <v>5277.1000979999999</v>
      </c>
      <c r="AF710" s="91">
        <v>5272.5322269999997</v>
      </c>
      <c r="AG710" s="91">
        <v>6021478</v>
      </c>
      <c r="AH710" s="91">
        <v>-8.2199999999999995E-2</v>
      </c>
      <c r="AI710" s="91"/>
      <c r="AJ710" s="91">
        <f>(F710*'Part 3 Portfolio Analysis'!$B$8+M710*'Part 3 Portfolio Analysis'!$C$8+T710*'Part 3 Portfolio Analysis'!$D$8+AA710*'Part 3 Portfolio Analysis'!$E$8+AH710*'Part 3 Portfolio Analysis'!$F$8)/100</f>
        <v>4.0700521246096692E-3</v>
      </c>
      <c r="AK710" s="91">
        <f>'Part 3 Portfolio Analysis'!$B$107*F710+M710*'Part 3 Portfolio Analysis'!$C$107+T710*'Part 3 Portfolio Analysis'!$D$107+AA710*'Part 3 Portfolio Analysis'!$E$107+AH710*'Part 3 Portfolio Analysis'!$F$107</f>
        <v>-1.7316099999999997E-2</v>
      </c>
      <c r="AL710" s="91">
        <f>F710*'Part 3 Portfolio Analysis'!$B$121+M710*'Part 3 Portfolio Analysis'!$C$121+'Part 3 Portfolio Analysis'!$D$121*T710+AA710*'Part 3 Portfolio Analysis'!$E$121+'Part 3 Portfolio Analysis'!$F$121*AH710</f>
        <v>2.3343000000000001E-3</v>
      </c>
      <c r="AM710" s="91"/>
      <c r="AN710" s="90">
        <v>45694</v>
      </c>
      <c r="AO710" s="91">
        <v>23761.949219999999</v>
      </c>
      <c r="AP710" s="91">
        <v>23603.349610000001</v>
      </c>
      <c r="AQ710" s="91">
        <v>23603.349610000001</v>
      </c>
      <c r="AR710" s="91">
        <v>307000</v>
      </c>
      <c r="AS710" s="91">
        <v>-3.8999999999999998E-3</v>
      </c>
    </row>
    <row r="711" spans="1:45" x14ac:dyDescent="0.55000000000000004">
      <c r="A711" s="90">
        <v>45695</v>
      </c>
      <c r="B711" s="91">
        <v>6421.8999020000001</v>
      </c>
      <c r="C711" s="91">
        <v>6436.6000979999999</v>
      </c>
      <c r="D711" s="91">
        <v>6364.6020509999998</v>
      </c>
      <c r="E711" s="91">
        <v>64931</v>
      </c>
      <c r="F711" s="91">
        <v>2.3E-3</v>
      </c>
      <c r="H711" s="90">
        <v>45695</v>
      </c>
      <c r="I711" s="91">
        <v>1276.150024</v>
      </c>
      <c r="J711" s="91">
        <v>1266.6999510000001</v>
      </c>
      <c r="K711" s="91">
        <v>1261.6610109999999</v>
      </c>
      <c r="L711" s="91">
        <v>8764283</v>
      </c>
      <c r="M711" s="91">
        <v>-1.1599999999999999E-2</v>
      </c>
      <c r="O711" s="90">
        <v>45695</v>
      </c>
      <c r="P711" s="91">
        <v>875</v>
      </c>
      <c r="Q711" s="91">
        <v>866.375</v>
      </c>
      <c r="R711" s="91">
        <v>854.82037349999996</v>
      </c>
      <c r="S711" s="91">
        <v>23509600</v>
      </c>
      <c r="T711" s="91">
        <v>-6.4000000000000003E-3</v>
      </c>
      <c r="V711" s="90">
        <v>45695</v>
      </c>
      <c r="W711" s="91">
        <v>1919.3000489999999</v>
      </c>
      <c r="X711" s="91">
        <v>1903.650024</v>
      </c>
      <c r="Y711" s="91">
        <v>1848.9320070000001</v>
      </c>
      <c r="Z711" s="91">
        <v>4126260</v>
      </c>
      <c r="AA711" s="91">
        <v>-6.3E-3</v>
      </c>
      <c r="AB711" s="91"/>
      <c r="AC711" s="90">
        <v>45695</v>
      </c>
      <c r="AD711" s="91">
        <v>5321.3999020000001</v>
      </c>
      <c r="AE711" s="91">
        <v>5454.3999020000001</v>
      </c>
      <c r="AF711" s="91">
        <v>5449.6787109999996</v>
      </c>
      <c r="AG711" s="91">
        <v>2846965</v>
      </c>
      <c r="AH711" s="91">
        <v>3.3599999999999998E-2</v>
      </c>
      <c r="AI711" s="91"/>
      <c r="AJ711" s="91">
        <f>(F711*'Part 3 Portfolio Analysis'!$B$8+M711*'Part 3 Portfolio Analysis'!$C$8+T711*'Part 3 Portfolio Analysis'!$D$8+AA711*'Part 3 Portfolio Analysis'!$E$8+AH711*'Part 3 Portfolio Analysis'!$F$8)/100</f>
        <v>-5.2678594617529577E-3</v>
      </c>
      <c r="AK711" s="91">
        <f>'Part 3 Portfolio Analysis'!$B$107*F711+M711*'Part 3 Portfolio Analysis'!$C$107+T711*'Part 3 Portfolio Analysis'!$D$107+AA711*'Part 3 Portfolio Analysis'!$E$107+AH711*'Part 3 Portfolio Analysis'!$F$107</f>
        <v>3.6283999999999995E-3</v>
      </c>
      <c r="AL711" s="91">
        <f>F711*'Part 3 Portfolio Analysis'!$B$121+M711*'Part 3 Portfolio Analysis'!$C$121+'Part 3 Portfolio Analysis'!$D$121*T711+AA711*'Part 3 Portfolio Analysis'!$E$121+'Part 3 Portfolio Analysis'!$F$121*AH711</f>
        <v>-6.7987800000000008E-3</v>
      </c>
      <c r="AM711" s="91"/>
      <c r="AN711" s="90">
        <v>45695</v>
      </c>
      <c r="AO711" s="91">
        <v>23649.5</v>
      </c>
      <c r="AP711" s="91">
        <v>23559.949219999999</v>
      </c>
      <c r="AQ711" s="91">
        <v>23559.949219999999</v>
      </c>
      <c r="AR711" s="91">
        <v>368100</v>
      </c>
      <c r="AS711" s="91">
        <v>-1.8E-3</v>
      </c>
    </row>
    <row r="712" spans="1:45" x14ac:dyDescent="0.55000000000000004">
      <c r="A712" s="90">
        <v>45698</v>
      </c>
      <c r="B712" s="91">
        <v>6415</v>
      </c>
      <c r="C712" s="91">
        <v>6377.3999020000001</v>
      </c>
      <c r="D712" s="91">
        <v>6306.0639650000003</v>
      </c>
      <c r="E712" s="91">
        <v>60322</v>
      </c>
      <c r="F712" s="91">
        <v>-9.1999999999999998E-3</v>
      </c>
      <c r="H712" s="90">
        <v>45698</v>
      </c>
      <c r="I712" s="91">
        <v>1264.5</v>
      </c>
      <c r="J712" s="91">
        <v>1253.650024</v>
      </c>
      <c r="K712" s="91">
        <v>1248.6629640000001</v>
      </c>
      <c r="L712" s="91">
        <v>6970972</v>
      </c>
      <c r="M712" s="91">
        <v>-1.03E-2</v>
      </c>
      <c r="O712" s="90">
        <v>45698</v>
      </c>
      <c r="P712" s="91">
        <v>858.65002440000001</v>
      </c>
      <c r="Q712" s="91">
        <v>857.875</v>
      </c>
      <c r="R712" s="91">
        <v>846.4337769</v>
      </c>
      <c r="S712" s="91">
        <v>17195950</v>
      </c>
      <c r="T712" s="91">
        <v>-9.7999999999999997E-3</v>
      </c>
      <c r="V712" s="90">
        <v>45698</v>
      </c>
      <c r="W712" s="91">
        <v>1905</v>
      </c>
      <c r="X712" s="91">
        <v>1880.3000489999999</v>
      </c>
      <c r="Y712" s="91">
        <v>1826.2532960000001</v>
      </c>
      <c r="Z712" s="91">
        <v>3828734</v>
      </c>
      <c r="AA712" s="91">
        <v>-1.23E-2</v>
      </c>
      <c r="AB712" s="91"/>
      <c r="AC712" s="90">
        <v>45698</v>
      </c>
      <c r="AD712" s="91">
        <v>5460</v>
      </c>
      <c r="AE712" s="91">
        <v>5196.75</v>
      </c>
      <c r="AF712" s="91">
        <v>5192.251953</v>
      </c>
      <c r="AG712" s="91">
        <v>1529876</v>
      </c>
      <c r="AH712" s="91">
        <v>-4.7199999999999999E-2</v>
      </c>
      <c r="AI712" s="91"/>
      <c r="AJ712" s="91">
        <f>(F712*'Part 3 Portfolio Analysis'!$B$8+M712*'Part 3 Portfolio Analysis'!$C$8+T712*'Part 3 Portfolio Analysis'!$D$8+AA712*'Part 3 Portfolio Analysis'!$E$8+AH712*'Part 3 Portfolio Analysis'!$F$8)/100</f>
        <v>-1.0569106511652913E-2</v>
      </c>
      <c r="AK712" s="91">
        <f>'Part 3 Portfolio Analysis'!$B$107*F712+M712*'Part 3 Portfolio Analysis'!$C$107+T712*'Part 3 Portfolio Analysis'!$D$107+AA712*'Part 3 Portfolio Analysis'!$E$107+AH712*'Part 3 Portfolio Analysis'!$F$107</f>
        <v>-1.95233E-2</v>
      </c>
      <c r="AL712" s="91">
        <f>F712*'Part 3 Portfolio Analysis'!$B$121+M712*'Part 3 Portfolio Analysis'!$C$121+'Part 3 Portfolio Analysis'!$D$121*T712+AA712*'Part 3 Portfolio Analysis'!$E$121+'Part 3 Portfolio Analysis'!$F$121*AH712</f>
        <v>-1.1440360000000002E-2</v>
      </c>
      <c r="AM712" s="91"/>
      <c r="AN712" s="90">
        <v>45698</v>
      </c>
      <c r="AO712" s="91">
        <v>23543.800780000001</v>
      </c>
      <c r="AP712" s="91">
        <v>23381.599610000001</v>
      </c>
      <c r="AQ712" s="91">
        <v>23381.599610000001</v>
      </c>
      <c r="AR712" s="91">
        <v>234200</v>
      </c>
      <c r="AS712" s="91">
        <v>-7.6E-3</v>
      </c>
    </row>
    <row r="713" spans="1:45" x14ac:dyDescent="0.55000000000000004">
      <c r="A713" s="90">
        <v>45699</v>
      </c>
      <c r="B713" s="91">
        <v>6399.9501950000003</v>
      </c>
      <c r="C713" s="91">
        <v>6116.75</v>
      </c>
      <c r="D713" s="91">
        <v>6048.330078</v>
      </c>
      <c r="E713" s="91">
        <v>100616</v>
      </c>
      <c r="F713" s="91">
        <v>-4.0899999999999999E-2</v>
      </c>
      <c r="H713" s="90">
        <v>45699</v>
      </c>
      <c r="I713" s="91">
        <v>1264.5500489999999</v>
      </c>
      <c r="J713" s="91">
        <v>1234.849976</v>
      </c>
      <c r="K713" s="91">
        <v>1229.9377440000001</v>
      </c>
      <c r="L713" s="91">
        <v>8859714</v>
      </c>
      <c r="M713" s="91">
        <v>-1.4999999999999999E-2</v>
      </c>
      <c r="O713" s="90">
        <v>45699</v>
      </c>
      <c r="P713" s="91">
        <v>851.5</v>
      </c>
      <c r="Q713" s="91">
        <v>850.70001219999995</v>
      </c>
      <c r="R713" s="91">
        <v>839.35449219999998</v>
      </c>
      <c r="S713" s="91">
        <v>22724704</v>
      </c>
      <c r="T713" s="91">
        <v>-8.3999999999999995E-3</v>
      </c>
      <c r="V713" s="90">
        <v>45699</v>
      </c>
      <c r="W713" s="91">
        <v>1883.099976</v>
      </c>
      <c r="X713" s="91">
        <v>1875.650024</v>
      </c>
      <c r="Y713" s="91">
        <v>1821.736938</v>
      </c>
      <c r="Z713" s="91">
        <v>4411601</v>
      </c>
      <c r="AA713" s="91">
        <v>-2.5000000000000001E-3</v>
      </c>
      <c r="AB713" s="91"/>
      <c r="AC713" s="90">
        <v>45699</v>
      </c>
      <c r="AD713" s="91">
        <v>5211.5498049999997</v>
      </c>
      <c r="AE713" s="91">
        <v>5228.3500979999999</v>
      </c>
      <c r="AF713" s="91">
        <v>5223.8247069999998</v>
      </c>
      <c r="AG713" s="91">
        <v>1596380</v>
      </c>
      <c r="AH713" s="91">
        <v>6.1000000000000004E-3</v>
      </c>
      <c r="AI713" s="91"/>
      <c r="AJ713" s="91">
        <f>(F713*'Part 3 Portfolio Analysis'!$B$8+M713*'Part 3 Portfolio Analysis'!$C$8+T713*'Part 3 Portfolio Analysis'!$D$8+AA713*'Part 3 Portfolio Analysis'!$E$8+AH713*'Part 3 Portfolio Analysis'!$F$8)/100</f>
        <v>-1.9451143660899419E-2</v>
      </c>
      <c r="AK713" s="91">
        <f>'Part 3 Portfolio Analysis'!$B$107*F713+M713*'Part 3 Portfolio Analysis'!$C$107+T713*'Part 3 Portfolio Analysis'!$D$107+AA713*'Part 3 Portfolio Analysis'!$E$107+AH713*'Part 3 Portfolio Analysis'!$F$107</f>
        <v>-1.2071799999999997E-2</v>
      </c>
      <c r="AL713" s="91">
        <f>F713*'Part 3 Portfolio Analysis'!$B$121+M713*'Part 3 Portfolio Analysis'!$C$121+'Part 3 Portfolio Analysis'!$D$121*T713+AA713*'Part 3 Portfolio Analysis'!$E$121+'Part 3 Portfolio Analysis'!$F$121*AH713</f>
        <v>-1.2280959999999999E-2</v>
      </c>
      <c r="AM713" s="91"/>
      <c r="AN713" s="90">
        <v>45699</v>
      </c>
      <c r="AO713" s="91">
        <v>23383.550780000001</v>
      </c>
      <c r="AP713" s="91">
        <v>23071.800780000001</v>
      </c>
      <c r="AQ713" s="91">
        <v>23071.800780000001</v>
      </c>
      <c r="AR713" s="91">
        <v>268000</v>
      </c>
      <c r="AS713" s="91">
        <v>-1.32E-2</v>
      </c>
    </row>
    <row r="714" spans="1:45" x14ac:dyDescent="0.55000000000000004">
      <c r="A714" s="90">
        <v>45700</v>
      </c>
      <c r="B714" s="91">
        <v>6110</v>
      </c>
      <c r="C714" s="91">
        <v>6154.0498049999997</v>
      </c>
      <c r="D714" s="91">
        <v>6085.2124020000001</v>
      </c>
      <c r="E714" s="91">
        <v>130838</v>
      </c>
      <c r="F714" s="91">
        <v>6.1000000000000004E-3</v>
      </c>
      <c r="H714" s="90">
        <v>45700</v>
      </c>
      <c r="I714" s="91">
        <v>1219.4499510000001</v>
      </c>
      <c r="J714" s="91">
        <v>1216.5500489999999</v>
      </c>
      <c r="K714" s="91">
        <v>1211.7105710000001</v>
      </c>
      <c r="L714" s="91">
        <v>21131654</v>
      </c>
      <c r="M714" s="91">
        <v>-1.4800000000000001E-2</v>
      </c>
      <c r="O714" s="90">
        <v>45700</v>
      </c>
      <c r="P714" s="91">
        <v>846.5</v>
      </c>
      <c r="Q714" s="91">
        <v>853.40002440000001</v>
      </c>
      <c r="R714" s="91">
        <v>842.01849370000002</v>
      </c>
      <c r="S714" s="91">
        <v>22809570</v>
      </c>
      <c r="T714" s="91">
        <v>3.2000000000000002E-3</v>
      </c>
      <c r="V714" s="90">
        <v>45700</v>
      </c>
      <c r="W714" s="91">
        <v>1885</v>
      </c>
      <c r="X714" s="91">
        <v>1863.150024</v>
      </c>
      <c r="Y714" s="91">
        <v>1809.596313</v>
      </c>
      <c r="Z714" s="91">
        <v>5633947</v>
      </c>
      <c r="AA714" s="91">
        <v>-6.7000000000000002E-3</v>
      </c>
      <c r="AB714" s="91"/>
      <c r="AC714" s="90">
        <v>45700</v>
      </c>
      <c r="AD714" s="91">
        <v>5228.3500979999999</v>
      </c>
      <c r="AE714" s="91">
        <v>5237.2998049999997</v>
      </c>
      <c r="AF714" s="91">
        <v>5232.7666019999997</v>
      </c>
      <c r="AG714" s="91">
        <v>1313946</v>
      </c>
      <c r="AH714" s="91">
        <v>1.6999999999999999E-3</v>
      </c>
      <c r="AI714" s="91"/>
      <c r="AJ714" s="91">
        <f>(F714*'Part 3 Portfolio Analysis'!$B$8+M714*'Part 3 Portfolio Analysis'!$C$8+T714*'Part 3 Portfolio Analysis'!$D$8+AA714*'Part 3 Portfolio Analysis'!$E$8+AH714*'Part 3 Portfolio Analysis'!$F$8)/100</f>
        <v>-4.0625451287930629E-3</v>
      </c>
      <c r="AK714" s="91">
        <f>'Part 3 Portfolio Analysis'!$B$107*F714+M714*'Part 3 Portfolio Analysis'!$C$107+T714*'Part 3 Portfolio Analysis'!$D$107+AA714*'Part 3 Portfolio Analysis'!$E$107+AH714*'Part 3 Portfolio Analysis'!$F$107</f>
        <v>-3.2799999999999999E-3</v>
      </c>
      <c r="AL714" s="91">
        <f>F714*'Part 3 Portfolio Analysis'!$B$121+M714*'Part 3 Portfolio Analysis'!$C$121+'Part 3 Portfolio Analysis'!$D$121*T714+AA714*'Part 3 Portfolio Analysis'!$E$121+'Part 3 Portfolio Analysis'!$F$121*AH714</f>
        <v>-6.1337199999999996E-3</v>
      </c>
      <c r="AM714" s="91"/>
      <c r="AN714" s="90">
        <v>45700</v>
      </c>
      <c r="AO714" s="91">
        <v>23050.800780000001</v>
      </c>
      <c r="AP714" s="91">
        <v>23045.25</v>
      </c>
      <c r="AQ714" s="91">
        <v>23045.25</v>
      </c>
      <c r="AR714" s="91">
        <v>279700</v>
      </c>
      <c r="AS714" s="91">
        <v>-1.1999999999999999E-3</v>
      </c>
    </row>
    <row r="715" spans="1:45" x14ac:dyDescent="0.55000000000000004">
      <c r="A715" s="90">
        <v>45701</v>
      </c>
      <c r="B715" s="91">
        <v>6199.9501950000003</v>
      </c>
      <c r="C715" s="91">
        <v>6134.3500979999999</v>
      </c>
      <c r="D715" s="91">
        <v>6065.7329099999997</v>
      </c>
      <c r="E715" s="91">
        <v>135495</v>
      </c>
      <c r="F715" s="91">
        <v>-3.2000000000000002E-3</v>
      </c>
      <c r="H715" s="90">
        <v>45701</v>
      </c>
      <c r="I715" s="91">
        <v>1217.0500489999999</v>
      </c>
      <c r="J715" s="91">
        <v>1216.099976</v>
      </c>
      <c r="K715" s="91">
        <v>1211.2623289999999</v>
      </c>
      <c r="L715" s="91">
        <v>8511216</v>
      </c>
      <c r="M715" s="91">
        <v>-4.0000000000000002E-4</v>
      </c>
      <c r="O715" s="90">
        <v>45701</v>
      </c>
      <c r="P715" s="91">
        <v>849.5</v>
      </c>
      <c r="Q715" s="91">
        <v>848.84997559999999</v>
      </c>
      <c r="R715" s="91">
        <v>837.5291138</v>
      </c>
      <c r="S715" s="91">
        <v>12602434</v>
      </c>
      <c r="T715" s="91">
        <v>-5.3E-3</v>
      </c>
      <c r="V715" s="90">
        <v>45701</v>
      </c>
      <c r="W715" s="91">
        <v>1868.5</v>
      </c>
      <c r="X715" s="91">
        <v>1843.25</v>
      </c>
      <c r="Y715" s="91">
        <v>1790.268311</v>
      </c>
      <c r="Z715" s="91">
        <v>5237744</v>
      </c>
      <c r="AA715" s="91">
        <v>-1.0699999999999999E-2</v>
      </c>
      <c r="AB715" s="91"/>
      <c r="AC715" s="90">
        <v>45701</v>
      </c>
      <c r="AD715" s="91">
        <v>5246.6499020000001</v>
      </c>
      <c r="AE715" s="91">
        <v>5256.7998049999997</v>
      </c>
      <c r="AF715" s="91">
        <v>5252.2495120000003</v>
      </c>
      <c r="AG715" s="91">
        <v>986050</v>
      </c>
      <c r="AH715" s="91">
        <v>3.7000000000000002E-3</v>
      </c>
      <c r="AI715" s="91"/>
      <c r="AJ715" s="91">
        <f>(F715*'Part 3 Portfolio Analysis'!$B$8+M715*'Part 3 Portfolio Analysis'!$C$8+T715*'Part 3 Portfolio Analysis'!$D$8+AA715*'Part 3 Portfolio Analysis'!$E$8+AH715*'Part 3 Portfolio Analysis'!$F$8)/100</f>
        <v>-3.6749262551275291E-3</v>
      </c>
      <c r="AK715" s="91">
        <f>'Part 3 Portfolio Analysis'!$B$107*F715+M715*'Part 3 Portfolio Analysis'!$C$107+T715*'Part 3 Portfolio Analysis'!$D$107+AA715*'Part 3 Portfolio Analysis'!$E$107+AH715*'Part 3 Portfolio Analysis'!$F$107</f>
        <v>-1.6603E-3</v>
      </c>
      <c r="AL715" s="91">
        <f>F715*'Part 3 Portfolio Analysis'!$B$121+M715*'Part 3 Portfolio Analysis'!$C$121+'Part 3 Portfolio Analysis'!$D$121*T715+AA715*'Part 3 Portfolio Analysis'!$E$121+'Part 3 Portfolio Analysis'!$F$121*AH715</f>
        <v>-3.9155400000000003E-3</v>
      </c>
      <c r="AM715" s="91"/>
      <c r="AN715" s="90">
        <v>45701</v>
      </c>
      <c r="AO715" s="91">
        <v>23055.75</v>
      </c>
      <c r="AP715" s="91">
        <v>23031.400389999999</v>
      </c>
      <c r="AQ715" s="91">
        <v>23031.400389999999</v>
      </c>
      <c r="AR715" s="91">
        <v>265700</v>
      </c>
      <c r="AS715" s="91">
        <v>-5.9999999999999995E-4</v>
      </c>
    </row>
    <row r="716" spans="1:45" x14ac:dyDescent="0.55000000000000004">
      <c r="A716" s="90">
        <v>45702</v>
      </c>
      <c r="B716" s="91">
        <v>6145.0498049999997</v>
      </c>
      <c r="C716" s="91">
        <v>6174</v>
      </c>
      <c r="D716" s="91">
        <v>6104.939453</v>
      </c>
      <c r="E716" s="91">
        <v>130626</v>
      </c>
      <c r="F716" s="91">
        <v>6.4999999999999997E-3</v>
      </c>
      <c r="H716" s="90">
        <v>45702</v>
      </c>
      <c r="I716" s="91">
        <v>1219</v>
      </c>
      <c r="J716" s="91">
        <v>1217.25</v>
      </c>
      <c r="K716" s="91">
        <v>1212.4077150000001</v>
      </c>
      <c r="L716" s="91">
        <v>10298145</v>
      </c>
      <c r="M716" s="91">
        <v>8.9999999999999998E-4</v>
      </c>
      <c r="O716" s="90">
        <v>45702</v>
      </c>
      <c r="P716" s="91">
        <v>850.95001219999995</v>
      </c>
      <c r="Q716" s="91">
        <v>847.42498780000005</v>
      </c>
      <c r="R716" s="91">
        <v>836.12310790000004</v>
      </c>
      <c r="S716" s="91">
        <v>19959892</v>
      </c>
      <c r="T716" s="91">
        <v>-1.6999999999999999E-3</v>
      </c>
      <c r="V716" s="90">
        <v>45702</v>
      </c>
      <c r="W716" s="91">
        <v>1854</v>
      </c>
      <c r="X716" s="91">
        <v>1856.400024</v>
      </c>
      <c r="Y716" s="91">
        <v>1803.040283</v>
      </c>
      <c r="Z716" s="91">
        <v>5292961</v>
      </c>
      <c r="AA716" s="91">
        <v>7.1000000000000004E-3</v>
      </c>
      <c r="AB716" s="91"/>
      <c r="AC716" s="90">
        <v>45702</v>
      </c>
      <c r="AD716" s="91">
        <v>5268</v>
      </c>
      <c r="AE716" s="91">
        <v>5117.3500979999999</v>
      </c>
      <c r="AF716" s="91">
        <v>5112.9204099999997</v>
      </c>
      <c r="AG716" s="91">
        <v>888168</v>
      </c>
      <c r="AH716" s="91">
        <v>-2.6499999999999999E-2</v>
      </c>
      <c r="AI716" s="91"/>
      <c r="AJ716" s="91">
        <f>(F716*'Part 3 Portfolio Analysis'!$B$8+M716*'Part 3 Portfolio Analysis'!$C$8+T716*'Part 3 Portfolio Analysis'!$D$8+AA716*'Part 3 Portfolio Analysis'!$E$8+AH716*'Part 3 Portfolio Analysis'!$F$8)/100</f>
        <v>2.8762785597728556E-3</v>
      </c>
      <c r="AK716" s="91">
        <f>'Part 3 Portfolio Analysis'!$B$107*F716+M716*'Part 3 Portfolio Analysis'!$C$107+T716*'Part 3 Portfolio Analysis'!$D$107+AA716*'Part 3 Portfolio Analysis'!$E$107+AH716*'Part 3 Portfolio Analysis'!$F$107</f>
        <v>-4.7797999999999998E-3</v>
      </c>
      <c r="AL716" s="91">
        <f>F716*'Part 3 Portfolio Analysis'!$B$121+M716*'Part 3 Portfolio Analysis'!$C$121+'Part 3 Portfolio Analysis'!$D$121*T716+AA716*'Part 3 Portfolio Analysis'!$E$121+'Part 3 Portfolio Analysis'!$F$121*AH716</f>
        <v>1.1752400000000001E-3</v>
      </c>
      <c r="AM716" s="91"/>
      <c r="AN716" s="90">
        <v>45702</v>
      </c>
      <c r="AO716" s="91">
        <v>23096.449219999999</v>
      </c>
      <c r="AP716" s="91">
        <v>22929.25</v>
      </c>
      <c r="AQ716" s="91">
        <v>22929.25</v>
      </c>
      <c r="AR716" s="91">
        <v>254500</v>
      </c>
      <c r="AS716" s="91">
        <v>-4.4000000000000003E-3</v>
      </c>
    </row>
    <row r="717" spans="1:45" x14ac:dyDescent="0.55000000000000004">
      <c r="A717" s="90">
        <v>45705</v>
      </c>
      <c r="B717" s="91">
        <v>6156</v>
      </c>
      <c r="C717" s="91">
        <v>6146.8500979999999</v>
      </c>
      <c r="D717" s="91">
        <v>6078.0932620000003</v>
      </c>
      <c r="E717" s="91">
        <v>73576</v>
      </c>
      <c r="F717" s="91">
        <v>-4.4000000000000003E-3</v>
      </c>
      <c r="H717" s="90">
        <v>45705</v>
      </c>
      <c r="I717" s="91">
        <v>1211.099976</v>
      </c>
      <c r="J717" s="91">
        <v>1224.900024</v>
      </c>
      <c r="K717" s="91">
        <v>1220.0273440000001</v>
      </c>
      <c r="L717" s="91">
        <v>8166683</v>
      </c>
      <c r="M717" s="91">
        <v>6.3E-3</v>
      </c>
      <c r="O717" s="90">
        <v>45705</v>
      </c>
      <c r="P717" s="91">
        <v>842.59997559999999</v>
      </c>
      <c r="Q717" s="91">
        <v>858.67498780000005</v>
      </c>
      <c r="R717" s="91">
        <v>847.22308350000003</v>
      </c>
      <c r="S717" s="91">
        <v>12938946</v>
      </c>
      <c r="T717" s="91">
        <v>1.3299999999999999E-2</v>
      </c>
      <c r="V717" s="90">
        <v>45705</v>
      </c>
      <c r="W717" s="91">
        <v>1838.5500489999999</v>
      </c>
      <c r="X717" s="91">
        <v>1842.3000489999999</v>
      </c>
      <c r="Y717" s="91">
        <v>1789.3454589999999</v>
      </c>
      <c r="Z717" s="91">
        <v>4428956</v>
      </c>
      <c r="AA717" s="91">
        <v>-7.6E-3</v>
      </c>
      <c r="AB717" s="91"/>
      <c r="AC717" s="90">
        <v>45705</v>
      </c>
      <c r="AD717" s="91">
        <v>5110</v>
      </c>
      <c r="AE717" s="91">
        <v>5096.4501950000003</v>
      </c>
      <c r="AF717" s="91">
        <v>5092.0385740000002</v>
      </c>
      <c r="AG717" s="91">
        <v>1078162</v>
      </c>
      <c r="AH717" s="91">
        <v>-4.1000000000000003E-3</v>
      </c>
      <c r="AI717" s="91"/>
      <c r="AJ717" s="91">
        <f>(F717*'Part 3 Portfolio Analysis'!$B$8+M717*'Part 3 Portfolio Analysis'!$C$8+T717*'Part 3 Portfolio Analysis'!$D$8+AA717*'Part 3 Portfolio Analysis'!$E$8+AH717*'Part 3 Portfolio Analysis'!$F$8)/100</f>
        <v>1.9190668747466205E-3</v>
      </c>
      <c r="AK717" s="91">
        <f>'Part 3 Portfolio Analysis'!$B$107*F717+M717*'Part 3 Portfolio Analysis'!$C$107+T717*'Part 3 Portfolio Analysis'!$D$107+AA717*'Part 3 Portfolio Analysis'!$E$107+AH717*'Part 3 Portfolio Analysis'!$F$107</f>
        <v>1.4481999999999997E-3</v>
      </c>
      <c r="AL717" s="91">
        <f>F717*'Part 3 Portfolio Analysis'!$B$121+M717*'Part 3 Portfolio Analysis'!$C$121+'Part 3 Portfolio Analysis'!$D$121*T717+AA717*'Part 3 Portfolio Analysis'!$E$121+'Part 3 Portfolio Analysis'!$F$121*AH717</f>
        <v>4.2719799999999981E-3</v>
      </c>
      <c r="AM717" s="91"/>
      <c r="AN717" s="90">
        <v>45705</v>
      </c>
      <c r="AO717" s="91">
        <v>22809.900389999999</v>
      </c>
      <c r="AP717" s="91">
        <v>22959.5</v>
      </c>
      <c r="AQ717" s="91">
        <v>22959.5</v>
      </c>
      <c r="AR717" s="91">
        <v>207400</v>
      </c>
      <c r="AS717" s="91">
        <v>1.2999999999999999E-3</v>
      </c>
    </row>
    <row r="718" spans="1:45" x14ac:dyDescent="0.55000000000000004">
      <c r="A718" s="90">
        <v>45706</v>
      </c>
      <c r="B718" s="91">
        <v>6146.8500979999999</v>
      </c>
      <c r="C718" s="91">
        <v>6097.4501950000003</v>
      </c>
      <c r="D718" s="91">
        <v>6029.2460940000001</v>
      </c>
      <c r="E718" s="91">
        <v>72228</v>
      </c>
      <c r="F718" s="91">
        <v>-8.0000000000000002E-3</v>
      </c>
      <c r="H718" s="90">
        <v>45706</v>
      </c>
      <c r="I718" s="91">
        <v>1224.849976</v>
      </c>
      <c r="J718" s="91">
        <v>1225.400024</v>
      </c>
      <c r="K718" s="91">
        <v>1220.5253909999999</v>
      </c>
      <c r="L718" s="91">
        <v>6673250</v>
      </c>
      <c r="M718" s="91">
        <v>4.0000000000000002E-4</v>
      </c>
      <c r="O718" s="90">
        <v>45706</v>
      </c>
      <c r="P718" s="91">
        <v>856.52502440000001</v>
      </c>
      <c r="Q718" s="91">
        <v>861.52502440000001</v>
      </c>
      <c r="R718" s="91">
        <v>850.0350952</v>
      </c>
      <c r="S718" s="91">
        <v>16350910</v>
      </c>
      <c r="T718" s="91">
        <v>3.3E-3</v>
      </c>
      <c r="V718" s="90">
        <v>45706</v>
      </c>
      <c r="W718" s="91">
        <v>1842.3000489999999</v>
      </c>
      <c r="X718" s="91">
        <v>1851.9499510000001</v>
      </c>
      <c r="Y718" s="91">
        <v>1798.7181399999999</v>
      </c>
      <c r="Z718" s="91">
        <v>4365260</v>
      </c>
      <c r="AA718" s="91">
        <v>5.1999999999999998E-3</v>
      </c>
      <c r="AB718" s="91"/>
      <c r="AC718" s="90">
        <v>45706</v>
      </c>
      <c r="AD718" s="91">
        <v>5100</v>
      </c>
      <c r="AE718" s="91">
        <v>4997.75</v>
      </c>
      <c r="AF718" s="91">
        <v>4993.423828</v>
      </c>
      <c r="AG718" s="91">
        <v>721122</v>
      </c>
      <c r="AH718" s="91">
        <v>-1.9400000000000001E-2</v>
      </c>
      <c r="AI718" s="91"/>
      <c r="AJ718" s="91">
        <f>(F718*'Part 3 Portfolio Analysis'!$B$8+M718*'Part 3 Portfolio Analysis'!$C$8+T718*'Part 3 Portfolio Analysis'!$D$8+AA718*'Part 3 Portfolio Analysis'!$E$8+AH718*'Part 3 Portfolio Analysis'!$F$8)/100</f>
        <v>-1.0572792499821996E-3</v>
      </c>
      <c r="AK718" s="91">
        <f>'Part 3 Portfolio Analysis'!$B$107*F718+M718*'Part 3 Portfolio Analysis'!$C$107+T718*'Part 3 Portfolio Analysis'!$D$107+AA718*'Part 3 Portfolio Analysis'!$E$107+AH718*'Part 3 Portfolio Analysis'!$F$107</f>
        <v>-5.1721000000000007E-3</v>
      </c>
      <c r="AL718" s="91">
        <f>F718*'Part 3 Portfolio Analysis'!$B$121+M718*'Part 3 Portfolio Analysis'!$C$121+'Part 3 Portfolio Analysis'!$D$121*T718+AA718*'Part 3 Portfolio Analysis'!$E$121+'Part 3 Portfolio Analysis'!$F$121*AH718</f>
        <v>9.3956000000000009E-4</v>
      </c>
      <c r="AM718" s="91"/>
      <c r="AN718" s="90">
        <v>45706</v>
      </c>
      <c r="AO718" s="91">
        <v>22963.650389999999</v>
      </c>
      <c r="AP718" s="91">
        <v>22945.300780000001</v>
      </c>
      <c r="AQ718" s="91">
        <v>22945.300780000001</v>
      </c>
      <c r="AR718" s="91">
        <v>210600</v>
      </c>
      <c r="AS718" s="91">
        <v>-5.9999999999999995E-4</v>
      </c>
    </row>
    <row r="719" spans="1:45" x14ac:dyDescent="0.55000000000000004">
      <c r="A719" s="90">
        <v>45707</v>
      </c>
      <c r="B719" s="91">
        <v>6120</v>
      </c>
      <c r="C719" s="91">
        <v>6017.6000979999999</v>
      </c>
      <c r="D719" s="91">
        <v>5950.2890630000002</v>
      </c>
      <c r="E719" s="91">
        <v>159802</v>
      </c>
      <c r="F719" s="91">
        <v>-1.3100000000000001E-2</v>
      </c>
      <c r="H719" s="90">
        <v>45707</v>
      </c>
      <c r="I719" s="91">
        <v>1219.5</v>
      </c>
      <c r="J719" s="91">
        <v>1227.4499510000001</v>
      </c>
      <c r="K719" s="91">
        <v>1222.567139</v>
      </c>
      <c r="L719" s="91">
        <v>6217338</v>
      </c>
      <c r="M719" s="91">
        <v>1.6999999999999999E-3</v>
      </c>
      <c r="O719" s="90">
        <v>45707</v>
      </c>
      <c r="P719" s="91">
        <v>858.5</v>
      </c>
      <c r="Q719" s="91">
        <v>863.59997559999999</v>
      </c>
      <c r="R719" s="91">
        <v>852.08239749999996</v>
      </c>
      <c r="S719" s="91">
        <v>11884112</v>
      </c>
      <c r="T719" s="91">
        <v>2.3999999999999998E-3</v>
      </c>
      <c r="V719" s="90">
        <v>45707</v>
      </c>
      <c r="W719" s="91">
        <v>1847.400024</v>
      </c>
      <c r="X719" s="91">
        <v>1810.8000489999999</v>
      </c>
      <c r="Y719" s="91">
        <v>1758.7509769999999</v>
      </c>
      <c r="Z719" s="91">
        <v>4611411</v>
      </c>
      <c r="AA719" s="91">
        <v>-2.2200000000000001E-2</v>
      </c>
      <c r="AB719" s="91"/>
      <c r="AC719" s="90">
        <v>45707</v>
      </c>
      <c r="AD719" s="91">
        <v>4960</v>
      </c>
      <c r="AE719" s="91">
        <v>4991.4501950000003</v>
      </c>
      <c r="AF719" s="91">
        <v>4987.1298829999996</v>
      </c>
      <c r="AG719" s="91">
        <v>764148</v>
      </c>
      <c r="AH719" s="91">
        <v>-1.2999999999999999E-3</v>
      </c>
      <c r="AI719" s="91"/>
      <c r="AJ719" s="91">
        <f>(F719*'Part 3 Portfolio Analysis'!$B$8+M719*'Part 3 Portfolio Analysis'!$C$8+T719*'Part 3 Portfolio Analysis'!$D$8+AA719*'Part 3 Portfolio Analysis'!$E$8+AH719*'Part 3 Portfolio Analysis'!$F$8)/100</f>
        <v>-6.4988642205647514E-3</v>
      </c>
      <c r="AK719" s="91">
        <f>'Part 3 Portfolio Analysis'!$B$107*F719+M719*'Part 3 Portfolio Analysis'!$C$107+T719*'Part 3 Portfolio Analysis'!$D$107+AA719*'Part 3 Portfolio Analysis'!$E$107+AH719*'Part 3 Portfolio Analysis'!$F$107</f>
        <v>-4.0014999999999998E-3</v>
      </c>
      <c r="AL719" s="91">
        <f>F719*'Part 3 Portfolio Analysis'!$B$121+M719*'Part 3 Portfolio Analysis'!$C$121+'Part 3 Portfolio Analysis'!$D$121*T719+AA719*'Part 3 Portfolio Analysis'!$E$121+'Part 3 Portfolio Analysis'!$F$121*AH719</f>
        <v>-4.18476E-3</v>
      </c>
      <c r="AM719" s="91"/>
      <c r="AN719" s="90">
        <v>45707</v>
      </c>
      <c r="AO719" s="91">
        <v>22847.25</v>
      </c>
      <c r="AP719" s="91">
        <v>22932.900389999999</v>
      </c>
      <c r="AQ719" s="91">
        <v>22932.900389999999</v>
      </c>
      <c r="AR719" s="91">
        <v>207000</v>
      </c>
      <c r="AS719" s="91">
        <v>-5.0000000000000001E-4</v>
      </c>
    </row>
    <row r="720" spans="1:45" x14ac:dyDescent="0.55000000000000004">
      <c r="A720" s="90">
        <v>45708</v>
      </c>
      <c r="B720" s="91">
        <v>6024</v>
      </c>
      <c r="C720" s="91">
        <v>6023.6499020000001</v>
      </c>
      <c r="D720" s="91">
        <v>5956.2709960000002</v>
      </c>
      <c r="E720" s="91">
        <v>79633</v>
      </c>
      <c r="F720" s="91">
        <v>1E-3</v>
      </c>
      <c r="H720" s="90">
        <v>45708</v>
      </c>
      <c r="I720" s="91">
        <v>1223.9499510000001</v>
      </c>
      <c r="J720" s="91">
        <v>1233</v>
      </c>
      <c r="K720" s="91">
        <v>1228.0950929999999</v>
      </c>
      <c r="L720" s="91">
        <v>7795582</v>
      </c>
      <c r="M720" s="91">
        <v>4.4999999999999997E-3</v>
      </c>
      <c r="O720" s="90">
        <v>45708</v>
      </c>
      <c r="P720" s="91">
        <v>855.5</v>
      </c>
      <c r="Q720" s="91">
        <v>843.54998780000005</v>
      </c>
      <c r="R720" s="91">
        <v>832.29980469999998</v>
      </c>
      <c r="S720" s="91">
        <v>26390510</v>
      </c>
      <c r="T720" s="91">
        <v>-2.3199999999999998E-2</v>
      </c>
      <c r="V720" s="90">
        <v>45708</v>
      </c>
      <c r="W720" s="91">
        <v>1805.5500489999999</v>
      </c>
      <c r="X720" s="91">
        <v>1825.150024</v>
      </c>
      <c r="Y720" s="91">
        <v>1772.6884769999999</v>
      </c>
      <c r="Z720" s="91">
        <v>2218020</v>
      </c>
      <c r="AA720" s="91">
        <v>7.9000000000000008E-3</v>
      </c>
      <c r="AB720" s="91"/>
      <c r="AC720" s="90">
        <v>45708</v>
      </c>
      <c r="AD720" s="91">
        <v>4960</v>
      </c>
      <c r="AE720" s="91">
        <v>5099.5</v>
      </c>
      <c r="AF720" s="91">
        <v>5095.0859380000002</v>
      </c>
      <c r="AG720" s="91">
        <v>812700</v>
      </c>
      <c r="AH720" s="91">
        <v>2.1600000000000001E-2</v>
      </c>
      <c r="AI720" s="91"/>
      <c r="AJ720" s="91">
        <f>(F720*'Part 3 Portfolio Analysis'!$B$8+M720*'Part 3 Portfolio Analysis'!$C$8+T720*'Part 3 Portfolio Analysis'!$D$8+AA720*'Part 3 Portfolio Analysis'!$E$8+AH720*'Part 3 Portfolio Analysis'!$F$8)/100</f>
        <v>-4.5640915900534281E-4</v>
      </c>
      <c r="AK720" s="91">
        <f>'Part 3 Portfolio Analysis'!$B$107*F720+M720*'Part 3 Portfolio Analysis'!$C$107+T720*'Part 3 Portfolio Analysis'!$D$107+AA720*'Part 3 Portfolio Analysis'!$E$107+AH720*'Part 3 Portfolio Analysis'!$F$107</f>
        <v>4.2257000000000006E-3</v>
      </c>
      <c r="AL720" s="91">
        <f>F720*'Part 3 Portfolio Analysis'!$B$121+M720*'Part 3 Portfolio Analysis'!$C$121+'Part 3 Portfolio Analysis'!$D$121*T720+AA720*'Part 3 Portfolio Analysis'!$E$121+'Part 3 Portfolio Analysis'!$F$121*AH720</f>
        <v>-2.1940799999999997E-3</v>
      </c>
      <c r="AM720" s="91"/>
      <c r="AN720" s="90">
        <v>45708</v>
      </c>
      <c r="AO720" s="91">
        <v>22821.099610000001</v>
      </c>
      <c r="AP720" s="91">
        <v>22913.150389999999</v>
      </c>
      <c r="AQ720" s="91">
        <v>22913.150389999999</v>
      </c>
      <c r="AR720" s="91">
        <v>240800</v>
      </c>
      <c r="AS720" s="91">
        <v>-8.9999999999999998E-4</v>
      </c>
    </row>
    <row r="721" spans="1:45" x14ac:dyDescent="0.55000000000000004">
      <c r="A721" s="90">
        <v>45709</v>
      </c>
      <c r="B721" s="91">
        <v>6024.7998049999997</v>
      </c>
      <c r="C721" s="91">
        <v>5960.4501950000003</v>
      </c>
      <c r="D721" s="91">
        <v>5893.7783200000003</v>
      </c>
      <c r="E721" s="91">
        <v>101884</v>
      </c>
      <c r="F721" s="91">
        <v>-1.0500000000000001E-2</v>
      </c>
      <c r="H721" s="90">
        <v>45709</v>
      </c>
      <c r="I721" s="91">
        <v>1228.6999510000001</v>
      </c>
      <c r="J721" s="91">
        <v>1228.150024</v>
      </c>
      <c r="K721" s="91">
        <v>1223.264404</v>
      </c>
      <c r="L721" s="91">
        <v>6904025</v>
      </c>
      <c r="M721" s="91">
        <v>-3.8999999999999998E-3</v>
      </c>
      <c r="O721" s="90">
        <v>45709</v>
      </c>
      <c r="P721" s="91">
        <v>840.45001219999995</v>
      </c>
      <c r="Q721" s="91">
        <v>846.25</v>
      </c>
      <c r="R721" s="91">
        <v>834.96380620000002</v>
      </c>
      <c r="S721" s="91">
        <v>15680940</v>
      </c>
      <c r="T721" s="91">
        <v>3.2000000000000002E-3</v>
      </c>
      <c r="V721" s="90">
        <v>45709</v>
      </c>
      <c r="W721" s="91">
        <v>1821.8000489999999</v>
      </c>
      <c r="X721" s="91">
        <v>1815</v>
      </c>
      <c r="Y721" s="91">
        <v>1762.8302000000001</v>
      </c>
      <c r="Z721" s="91">
        <v>3379879</v>
      </c>
      <c r="AA721" s="91">
        <v>-5.5999999999999999E-3</v>
      </c>
      <c r="AB721" s="91"/>
      <c r="AC721" s="90">
        <v>45709</v>
      </c>
      <c r="AD721" s="91">
        <v>5088</v>
      </c>
      <c r="AE721" s="91">
        <v>5048.2001950000003</v>
      </c>
      <c r="AF721" s="91">
        <v>5043.8305659999996</v>
      </c>
      <c r="AG721" s="91">
        <v>912164</v>
      </c>
      <c r="AH721" s="91">
        <v>-1.01E-2</v>
      </c>
      <c r="AI721" s="91"/>
      <c r="AJ721" s="91">
        <f>(F721*'Part 3 Portfolio Analysis'!$B$8+M721*'Part 3 Portfolio Analysis'!$C$8+T721*'Part 3 Portfolio Analysis'!$D$8+AA721*'Part 3 Portfolio Analysis'!$E$8+AH721*'Part 3 Portfolio Analysis'!$F$8)/100</f>
        <v>-5.0298131959308169E-3</v>
      </c>
      <c r="AK721" s="91">
        <f>'Part 3 Portfolio Analysis'!$B$107*F721+M721*'Part 3 Portfolio Analysis'!$C$107+T721*'Part 3 Portfolio Analysis'!$D$107+AA721*'Part 3 Portfolio Analysis'!$E$107+AH721*'Part 3 Portfolio Analysis'!$F$107</f>
        <v>-5.7199E-3</v>
      </c>
      <c r="AL721" s="91">
        <f>F721*'Part 3 Portfolio Analysis'!$B$121+M721*'Part 3 Portfolio Analysis'!$C$121+'Part 3 Portfolio Analysis'!$D$121*T721+AA721*'Part 3 Portfolio Analysis'!$E$121+'Part 3 Portfolio Analysis'!$F$121*AH721</f>
        <v>-3.0137599999999999E-3</v>
      </c>
      <c r="AM721" s="91"/>
      <c r="AN721" s="90">
        <v>45709</v>
      </c>
      <c r="AO721" s="91">
        <v>22857.199219999999</v>
      </c>
      <c r="AP721" s="91">
        <v>22795.900389999999</v>
      </c>
      <c r="AQ721" s="91">
        <v>22795.900389999999</v>
      </c>
      <c r="AR721" s="91">
        <v>242800</v>
      </c>
      <c r="AS721" s="91">
        <v>-5.1000000000000004E-3</v>
      </c>
    </row>
    <row r="722" spans="1:45" x14ac:dyDescent="0.55000000000000004">
      <c r="A722" s="90">
        <v>45712</v>
      </c>
      <c r="B722" s="91">
        <v>5960.4501950000003</v>
      </c>
      <c r="C722" s="91">
        <v>5851.7998049999997</v>
      </c>
      <c r="D722" s="91">
        <v>5786.3432620000003</v>
      </c>
      <c r="E722" s="91">
        <v>151226</v>
      </c>
      <c r="F722" s="91">
        <v>-1.8200000000000001E-2</v>
      </c>
      <c r="H722" s="90">
        <v>45712</v>
      </c>
      <c r="I722" s="91">
        <v>1216.5500489999999</v>
      </c>
      <c r="J722" s="91">
        <v>1214.5500489999999</v>
      </c>
      <c r="K722" s="91">
        <v>1209.7185059999999</v>
      </c>
      <c r="L722" s="91">
        <v>7172498</v>
      </c>
      <c r="M722" s="91">
        <v>-1.11E-2</v>
      </c>
      <c r="O722" s="90">
        <v>45712</v>
      </c>
      <c r="P722" s="91">
        <v>840.54998780000005</v>
      </c>
      <c r="Q722" s="91">
        <v>838.54998780000005</v>
      </c>
      <c r="R722" s="91">
        <v>827.36651610000001</v>
      </c>
      <c r="S722" s="91">
        <v>20693646</v>
      </c>
      <c r="T722" s="91">
        <v>-9.1000000000000004E-3</v>
      </c>
      <c r="V722" s="90">
        <v>45712</v>
      </c>
      <c r="W722" s="91">
        <v>1800.0500489999999</v>
      </c>
      <c r="X722" s="91">
        <v>1764.099976</v>
      </c>
      <c r="Y722" s="91">
        <v>1713.393188</v>
      </c>
      <c r="Z722" s="91">
        <v>7594720</v>
      </c>
      <c r="AA722" s="91">
        <v>-2.8000000000000001E-2</v>
      </c>
      <c r="AB722" s="91"/>
      <c r="AC722" s="90">
        <v>45712</v>
      </c>
      <c r="AD722" s="91">
        <v>4998.6000979999999</v>
      </c>
      <c r="AE722" s="91">
        <v>5066</v>
      </c>
      <c r="AF722" s="91">
        <v>5061.6147460000002</v>
      </c>
      <c r="AG722" s="91">
        <v>823625</v>
      </c>
      <c r="AH722" s="91">
        <v>3.5000000000000001E-3</v>
      </c>
      <c r="AI722" s="91"/>
      <c r="AJ722" s="91">
        <f>(F722*'Part 3 Portfolio Analysis'!$B$8+M722*'Part 3 Portfolio Analysis'!$C$8+T722*'Part 3 Portfolio Analysis'!$D$8+AA722*'Part 3 Portfolio Analysis'!$E$8+AH722*'Part 3 Portfolio Analysis'!$F$8)/100</f>
        <v>-1.5473457416989612E-2</v>
      </c>
      <c r="AK722" s="91">
        <f>'Part 3 Portfolio Analysis'!$B$107*F722+M722*'Part 3 Portfolio Analysis'!$C$107+T722*'Part 3 Portfolio Analysis'!$D$107+AA722*'Part 3 Portfolio Analysis'!$E$107+AH722*'Part 3 Portfolio Analysis'!$F$107</f>
        <v>-1.0078799999999999E-2</v>
      </c>
      <c r="AL722" s="91">
        <f>F722*'Part 3 Portfolio Analysis'!$B$121+M722*'Part 3 Portfolio Analysis'!$C$121+'Part 3 Portfolio Analysis'!$D$121*T722+AA722*'Part 3 Portfolio Analysis'!$E$121+'Part 3 Portfolio Analysis'!$F$121*AH722</f>
        <v>-1.41371E-2</v>
      </c>
      <c r="AM722" s="91"/>
      <c r="AN722" s="90">
        <v>45712</v>
      </c>
      <c r="AO722" s="91">
        <v>22609.349610000001</v>
      </c>
      <c r="AP722" s="91">
        <v>22553.349610000001</v>
      </c>
      <c r="AQ722" s="91">
        <v>22553.349610000001</v>
      </c>
      <c r="AR722" s="91">
        <v>214300</v>
      </c>
      <c r="AS722" s="91">
        <v>-1.06E-2</v>
      </c>
    </row>
    <row r="723" spans="1:45" x14ac:dyDescent="0.55000000000000004">
      <c r="A723" s="90">
        <v>45713</v>
      </c>
      <c r="B723" s="91">
        <v>5851.7998049999997</v>
      </c>
      <c r="C723" s="91">
        <v>5695.6499020000001</v>
      </c>
      <c r="D723" s="91">
        <v>5631.9399409999996</v>
      </c>
      <c r="E723" s="91">
        <v>162406</v>
      </c>
      <c r="F723" s="91">
        <v>-2.6700000000000002E-2</v>
      </c>
      <c r="H723" s="90">
        <v>45713</v>
      </c>
      <c r="I723" s="91">
        <v>1211</v>
      </c>
      <c r="J723" s="91">
        <v>1204</v>
      </c>
      <c r="K723" s="91">
        <v>1199.2104489999999</v>
      </c>
      <c r="L723" s="91">
        <v>11552182</v>
      </c>
      <c r="M723" s="91">
        <v>-8.6999999999999994E-3</v>
      </c>
      <c r="O723" s="90">
        <v>45713</v>
      </c>
      <c r="P723" s="91">
        <v>835.54998780000005</v>
      </c>
      <c r="Q723" s="91">
        <v>841.17498780000005</v>
      </c>
      <c r="R723" s="91">
        <v>829.95648189999997</v>
      </c>
      <c r="S723" s="91">
        <v>24138708</v>
      </c>
      <c r="T723" s="91">
        <v>3.0999999999999999E-3</v>
      </c>
      <c r="V723" s="90">
        <v>45713</v>
      </c>
      <c r="W723" s="91">
        <v>1745.150024</v>
      </c>
      <c r="X723" s="91">
        <v>1767.6999510000001</v>
      </c>
      <c r="Y723" s="91">
        <v>1716.8897710000001</v>
      </c>
      <c r="Z723" s="91">
        <v>5092963</v>
      </c>
      <c r="AA723" s="91">
        <v>2E-3</v>
      </c>
      <c r="AB723" s="91"/>
      <c r="AC723" s="90">
        <v>45713</v>
      </c>
      <c r="AD723" s="91">
        <v>5090</v>
      </c>
      <c r="AE723" s="91">
        <v>4959.8999020000001</v>
      </c>
      <c r="AF723" s="91">
        <v>4955.6069340000004</v>
      </c>
      <c r="AG723" s="91">
        <v>976304</v>
      </c>
      <c r="AH723" s="91">
        <v>-2.0899999999999998E-2</v>
      </c>
      <c r="AI723" s="91"/>
      <c r="AJ723" s="91">
        <f>(F723*'Part 3 Portfolio Analysis'!$B$8+M723*'Part 3 Portfolio Analysis'!$C$8+T723*'Part 3 Portfolio Analysis'!$D$8+AA723*'Part 3 Portfolio Analysis'!$E$8+AH723*'Part 3 Portfolio Analysis'!$F$8)/100</f>
        <v>-1.0528858818041926E-2</v>
      </c>
      <c r="AK723" s="91">
        <f>'Part 3 Portfolio Analysis'!$B$107*F723+M723*'Part 3 Portfolio Analysis'!$C$107+T723*'Part 3 Portfolio Analysis'!$D$107+AA723*'Part 3 Portfolio Analysis'!$E$107+AH723*'Part 3 Portfolio Analysis'!$F$107</f>
        <v>-1.21154E-2</v>
      </c>
      <c r="AL723" s="91">
        <f>F723*'Part 3 Portfolio Analysis'!$B$121+M723*'Part 3 Portfolio Analysis'!$C$121+'Part 3 Portfolio Analysis'!$D$121*T723+AA723*'Part 3 Portfolio Analysis'!$E$121+'Part 3 Portfolio Analysis'!$F$121*AH723</f>
        <v>-5.1496399999999996E-3</v>
      </c>
      <c r="AM723" s="91"/>
      <c r="AN723" s="90">
        <v>45713</v>
      </c>
      <c r="AO723" s="91">
        <v>22516.449219999999</v>
      </c>
      <c r="AP723" s="91">
        <v>22547.550780000001</v>
      </c>
      <c r="AQ723" s="91">
        <v>22547.550780000001</v>
      </c>
      <c r="AR723" s="91">
        <v>250300</v>
      </c>
      <c r="AS723" s="91">
        <v>-2.9999999999999997E-4</v>
      </c>
    </row>
    <row r="724" spans="1:45" x14ac:dyDescent="0.55000000000000004">
      <c r="A724" s="90">
        <v>45715</v>
      </c>
      <c r="B724" s="91">
        <v>5695.6499020000001</v>
      </c>
      <c r="C724" s="91">
        <v>5563.1499020000001</v>
      </c>
      <c r="D724" s="91">
        <v>5500.9223629999997</v>
      </c>
      <c r="E724" s="91">
        <v>182977</v>
      </c>
      <c r="F724" s="91">
        <v>-2.3300000000000001E-2</v>
      </c>
      <c r="H724" s="90">
        <v>45715</v>
      </c>
      <c r="I724" s="91">
        <v>1212.8000489999999</v>
      </c>
      <c r="J724" s="91">
        <v>1207.099976</v>
      </c>
      <c r="K724" s="91">
        <v>1202.298096</v>
      </c>
      <c r="L724" s="91">
        <v>11509215</v>
      </c>
      <c r="M724" s="91">
        <v>2.5999999999999999E-3</v>
      </c>
      <c r="O724" s="90">
        <v>45715</v>
      </c>
      <c r="P724" s="91">
        <v>841.27502440000001</v>
      </c>
      <c r="Q724" s="91">
        <v>850.34997559999999</v>
      </c>
      <c r="R724" s="91">
        <v>839.00909420000005</v>
      </c>
      <c r="S724" s="91">
        <v>35786800</v>
      </c>
      <c r="T724" s="91">
        <v>1.09E-2</v>
      </c>
      <c r="V724" s="90">
        <v>45715</v>
      </c>
      <c r="W724" s="91">
        <v>1755.1999510000001</v>
      </c>
      <c r="X724" s="91">
        <v>1764.3000489999999</v>
      </c>
      <c r="Y724" s="91">
        <v>1713.587524</v>
      </c>
      <c r="Z724" s="91">
        <v>5757079</v>
      </c>
      <c r="AA724" s="91">
        <v>-1.9E-3</v>
      </c>
      <c r="AB724" s="91"/>
      <c r="AC724" s="90">
        <v>45715</v>
      </c>
      <c r="AD724" s="91">
        <v>4951</v>
      </c>
      <c r="AE724" s="91">
        <v>4805.2998049999997</v>
      </c>
      <c r="AF724" s="91">
        <v>4801.140625</v>
      </c>
      <c r="AG724" s="91">
        <v>997906</v>
      </c>
      <c r="AH724" s="91">
        <v>-3.1199999999999999E-2</v>
      </c>
      <c r="AI724" s="91"/>
      <c r="AJ724" s="91">
        <f>(F724*'Part 3 Portfolio Analysis'!$B$8+M724*'Part 3 Portfolio Analysis'!$C$8+T724*'Part 3 Portfolio Analysis'!$D$8+AA724*'Part 3 Portfolio Analysis'!$E$8+AH724*'Part 3 Portfolio Analysis'!$F$8)/100</f>
        <v>-4.84000322291437E-3</v>
      </c>
      <c r="AK724" s="91">
        <f>'Part 3 Portfolio Analysis'!$B$107*F724+M724*'Part 3 Portfolio Analysis'!$C$107+T724*'Part 3 Portfolio Analysis'!$D$107+AA724*'Part 3 Portfolio Analysis'!$E$107+AH724*'Part 3 Portfolio Analysis'!$F$107</f>
        <v>-9.7431000000000011E-3</v>
      </c>
      <c r="AL724" s="91">
        <f>F724*'Part 3 Portfolio Analysis'!$B$121+M724*'Part 3 Portfolio Analysis'!$C$121+'Part 3 Portfolio Analysis'!$D$121*T724+AA724*'Part 3 Portfolio Analysis'!$E$121+'Part 3 Portfolio Analysis'!$F$121*AH724</f>
        <v>9.4305999999999991E-4</v>
      </c>
      <c r="AM724" s="91"/>
      <c r="AN724" s="90">
        <v>45715</v>
      </c>
      <c r="AO724" s="91">
        <v>22568.949219999999</v>
      </c>
      <c r="AP724" s="91">
        <v>22545.050780000001</v>
      </c>
      <c r="AQ724" s="91">
        <v>22545.050780000001</v>
      </c>
      <c r="AR724" s="91">
        <v>289200</v>
      </c>
      <c r="AS724" s="91">
        <v>-1E-4</v>
      </c>
    </row>
    <row r="725" spans="1:45" x14ac:dyDescent="0.55000000000000004">
      <c r="A725" s="90">
        <v>45716</v>
      </c>
      <c r="B725" s="91">
        <v>5514.1000979999999</v>
      </c>
      <c r="C725" s="91">
        <v>5411.1000979999999</v>
      </c>
      <c r="D725" s="91">
        <v>5350.5732420000004</v>
      </c>
      <c r="E725" s="91">
        <v>337674</v>
      </c>
      <c r="F725" s="91">
        <v>-2.7300000000000001E-2</v>
      </c>
      <c r="H725" s="90">
        <v>45716</v>
      </c>
      <c r="I725" s="91">
        <v>1202</v>
      </c>
      <c r="J725" s="91">
        <v>1200.099976</v>
      </c>
      <c r="K725" s="91">
        <v>1195.325928</v>
      </c>
      <c r="L725" s="91">
        <v>23007298</v>
      </c>
      <c r="M725" s="91">
        <v>-5.7999999999999996E-3</v>
      </c>
      <c r="O725" s="90">
        <v>45716</v>
      </c>
      <c r="P725" s="91">
        <v>842.5</v>
      </c>
      <c r="Q725" s="91">
        <v>866.20001219999995</v>
      </c>
      <c r="R725" s="91">
        <v>854.64776610000001</v>
      </c>
      <c r="S725" s="91">
        <v>54516728</v>
      </c>
      <c r="T725" s="91">
        <v>1.8599999999999998E-2</v>
      </c>
      <c r="V725" s="90">
        <v>45716</v>
      </c>
      <c r="W725" s="91">
        <v>1755.0500489999999</v>
      </c>
      <c r="X725" s="91">
        <v>1687.6999510000001</v>
      </c>
      <c r="Y725" s="91">
        <v>1639.1892089999999</v>
      </c>
      <c r="Z725" s="91">
        <v>12182167</v>
      </c>
      <c r="AA725" s="91">
        <v>-4.3400000000000001E-2</v>
      </c>
      <c r="AB725" s="91"/>
      <c r="AC725" s="90">
        <v>45716</v>
      </c>
      <c r="AD725" s="91">
        <v>4760</v>
      </c>
      <c r="AE725" s="91">
        <v>4851.5498049999997</v>
      </c>
      <c r="AF725" s="91">
        <v>4847.3505859999996</v>
      </c>
      <c r="AG725" s="91">
        <v>2178604</v>
      </c>
      <c r="AH725" s="91">
        <v>9.5999999999999992E-3</v>
      </c>
      <c r="AI725" s="91"/>
      <c r="AJ725" s="91">
        <f>(F725*'Part 3 Portfolio Analysis'!$B$8+M725*'Part 3 Portfolio Analysis'!$C$8+T725*'Part 3 Portfolio Analysis'!$D$8+AA725*'Part 3 Portfolio Analysis'!$E$8+AH725*'Part 3 Portfolio Analysis'!$F$8)/100</f>
        <v>-1.4080358946638828E-2</v>
      </c>
      <c r="AK725" s="91">
        <f>'Part 3 Portfolio Analysis'!$B$107*F725+M725*'Part 3 Portfolio Analysis'!$C$107+T725*'Part 3 Portfolio Analysis'!$D$107+AA725*'Part 3 Portfolio Analysis'!$E$107+AH725*'Part 3 Portfolio Analysis'!$F$107</f>
        <v>-5.7672000000000001E-3</v>
      </c>
      <c r="AL725" s="91">
        <f>F725*'Part 3 Portfolio Analysis'!$B$121+M725*'Part 3 Portfolio Analysis'!$C$121+'Part 3 Portfolio Analysis'!$D$121*T725+AA725*'Part 3 Portfolio Analysis'!$E$121+'Part 3 Portfolio Analysis'!$F$121*AH725</f>
        <v>-8.0470200000000002E-3</v>
      </c>
      <c r="AM725" s="91"/>
      <c r="AN725" s="90">
        <v>45716</v>
      </c>
      <c r="AO725" s="91">
        <v>22433.400389999999</v>
      </c>
      <c r="AP725" s="91">
        <v>22124.699219999999</v>
      </c>
      <c r="AQ725" s="91">
        <v>22124.699219999999</v>
      </c>
      <c r="AR725" s="91">
        <v>551300</v>
      </c>
      <c r="AS725" s="91">
        <v>-1.8599999999999998E-2</v>
      </c>
    </row>
    <row r="726" spans="1:45" x14ac:dyDescent="0.55000000000000004">
      <c r="A726" s="90">
        <v>45719</v>
      </c>
      <c r="B726" s="91">
        <v>5416.0498049999997</v>
      </c>
      <c r="C726" s="91">
        <v>5456.1000979999999</v>
      </c>
      <c r="D726" s="91">
        <v>5395.0698240000002</v>
      </c>
      <c r="E726" s="91">
        <v>162308</v>
      </c>
      <c r="F726" s="91">
        <v>8.3000000000000001E-3</v>
      </c>
      <c r="H726" s="90">
        <v>45719</v>
      </c>
      <c r="I726" s="91">
        <v>1204</v>
      </c>
      <c r="J726" s="91">
        <v>1171.25</v>
      </c>
      <c r="K726" s="91">
        <v>1166.590698</v>
      </c>
      <c r="L726" s="91">
        <v>17944938</v>
      </c>
      <c r="M726" s="91">
        <v>-2.4E-2</v>
      </c>
      <c r="O726" s="90">
        <v>45719</v>
      </c>
      <c r="P726" s="91">
        <v>869.90002440000001</v>
      </c>
      <c r="Q726" s="91">
        <v>850.77502440000001</v>
      </c>
      <c r="R726" s="91">
        <v>839.42852779999998</v>
      </c>
      <c r="S726" s="91">
        <v>21205364</v>
      </c>
      <c r="T726" s="91">
        <v>-1.78E-2</v>
      </c>
      <c r="V726" s="90">
        <v>45719</v>
      </c>
      <c r="W726" s="91">
        <v>1692.3000489999999</v>
      </c>
      <c r="X726" s="91">
        <v>1708.599976</v>
      </c>
      <c r="Y726" s="91">
        <v>1659.488525</v>
      </c>
      <c r="Z726" s="91">
        <v>7504969</v>
      </c>
      <c r="AA726" s="91">
        <v>1.24E-2</v>
      </c>
      <c r="AB726" s="91"/>
      <c r="AC726" s="90">
        <v>45719</v>
      </c>
      <c r="AD726" s="91">
        <v>4900.0498049999997</v>
      </c>
      <c r="AE726" s="91">
        <v>4946.8999020000001</v>
      </c>
      <c r="AF726" s="91">
        <v>4942.6181640000004</v>
      </c>
      <c r="AG726" s="91">
        <v>1415550</v>
      </c>
      <c r="AH726" s="91">
        <v>1.9699999999999999E-2</v>
      </c>
      <c r="AI726" s="91"/>
      <c r="AJ726" s="91">
        <f>(F726*'Part 3 Portfolio Analysis'!$B$8+M726*'Part 3 Portfolio Analysis'!$C$8+T726*'Part 3 Portfolio Analysis'!$D$8+AA726*'Part 3 Portfolio Analysis'!$E$8+AH726*'Part 3 Portfolio Analysis'!$F$8)/100</f>
        <v>-6.9906731328384175E-3</v>
      </c>
      <c r="AK726" s="91">
        <f>'Part 3 Portfolio Analysis'!$B$107*F726+M726*'Part 3 Portfolio Analysis'!$C$107+T726*'Part 3 Portfolio Analysis'!$D$107+AA726*'Part 3 Portfolio Analysis'!$E$107+AH726*'Part 3 Portfolio Analysis'!$F$107</f>
        <v>-2.5726000000000004E-3</v>
      </c>
      <c r="AL726" s="91">
        <f>F726*'Part 3 Portfolio Analysis'!$B$121+M726*'Part 3 Portfolio Analysis'!$C$121+'Part 3 Portfolio Analysis'!$D$121*T726+AA726*'Part 3 Portfolio Analysis'!$E$121+'Part 3 Portfolio Analysis'!$F$121*AH726</f>
        <v>-1.1233600000000002E-2</v>
      </c>
      <c r="AM726" s="91"/>
      <c r="AN726" s="90">
        <v>45719</v>
      </c>
      <c r="AO726" s="91">
        <v>22194.550780000001</v>
      </c>
      <c r="AP726" s="91">
        <v>22119.300780000001</v>
      </c>
      <c r="AQ726" s="91">
        <v>22119.300780000001</v>
      </c>
      <c r="AR726" s="91">
        <v>282400</v>
      </c>
      <c r="AS726" s="91">
        <v>-2.0000000000000001E-4</v>
      </c>
    </row>
    <row r="727" spans="1:45" x14ac:dyDescent="0.55000000000000004">
      <c r="A727" s="90">
        <v>45720</v>
      </c>
      <c r="B727" s="91">
        <v>5443</v>
      </c>
      <c r="C727" s="91">
        <v>5389.0498049999997</v>
      </c>
      <c r="D727" s="91">
        <v>5328.7695309999999</v>
      </c>
      <c r="E727" s="91">
        <v>141837</v>
      </c>
      <c r="F727" s="91">
        <v>-1.23E-2</v>
      </c>
      <c r="H727" s="90">
        <v>45720</v>
      </c>
      <c r="I727" s="91">
        <v>1162.1999510000001</v>
      </c>
      <c r="J727" s="91">
        <v>1161.900024</v>
      </c>
      <c r="K727" s="91">
        <v>1157.2779539999999</v>
      </c>
      <c r="L727" s="91">
        <v>11377373</v>
      </c>
      <c r="M727" s="91">
        <v>-8.0000000000000002E-3</v>
      </c>
      <c r="O727" s="90">
        <v>45720</v>
      </c>
      <c r="P727" s="91">
        <v>849</v>
      </c>
      <c r="Q727" s="91">
        <v>855</v>
      </c>
      <c r="R727" s="91">
        <v>843.59710689999997</v>
      </c>
      <c r="S727" s="91">
        <v>19920958</v>
      </c>
      <c r="T727" s="91">
        <v>5.0000000000000001E-3</v>
      </c>
      <c r="V727" s="90">
        <v>45720</v>
      </c>
      <c r="W727" s="91">
        <v>1695</v>
      </c>
      <c r="X727" s="91">
        <v>1688.3000489999999</v>
      </c>
      <c r="Y727" s="91">
        <v>1639.772095</v>
      </c>
      <c r="Z727" s="91">
        <v>6759673</v>
      </c>
      <c r="AA727" s="91">
        <v>-1.1900000000000001E-2</v>
      </c>
      <c r="AB727" s="91"/>
      <c r="AC727" s="90">
        <v>45720</v>
      </c>
      <c r="AD727" s="91">
        <v>4898.8999020000001</v>
      </c>
      <c r="AE727" s="91">
        <v>4999.7998049999997</v>
      </c>
      <c r="AF727" s="91">
        <v>4995.4721680000002</v>
      </c>
      <c r="AG727" s="91">
        <v>898723</v>
      </c>
      <c r="AH727" s="91">
        <v>1.0699999999999999E-2</v>
      </c>
      <c r="AI727" s="91"/>
      <c r="AJ727" s="91">
        <f>(F727*'Part 3 Portfolio Analysis'!$B$8+M727*'Part 3 Portfolio Analysis'!$C$8+T727*'Part 3 Portfolio Analysis'!$D$8+AA727*'Part 3 Portfolio Analysis'!$E$8+AH727*'Part 3 Portfolio Analysis'!$F$8)/100</f>
        <v>-7.5663095567112329E-3</v>
      </c>
      <c r="AK727" s="91">
        <f>'Part 3 Portfolio Analysis'!$B$107*F727+M727*'Part 3 Portfolio Analysis'!$C$107+T727*'Part 3 Portfolio Analysis'!$D$107+AA727*'Part 3 Portfolio Analysis'!$E$107+AH727*'Part 3 Portfolio Analysis'!$F$107</f>
        <v>-2.4366000000000006E-3</v>
      </c>
      <c r="AL727" s="91">
        <f>F727*'Part 3 Portfolio Analysis'!$B$121+M727*'Part 3 Portfolio Analysis'!$C$121+'Part 3 Portfolio Analysis'!$D$121*T727+AA727*'Part 3 Portfolio Analysis'!$E$121+'Part 3 Portfolio Analysis'!$F$121*AH727</f>
        <v>-5.1075200000000008E-3</v>
      </c>
      <c r="AM727" s="91"/>
      <c r="AN727" s="90">
        <v>45720</v>
      </c>
      <c r="AO727" s="91">
        <v>21974.449219999999</v>
      </c>
      <c r="AP727" s="91">
        <v>22082.650389999999</v>
      </c>
      <c r="AQ727" s="91">
        <v>22082.650389999999</v>
      </c>
      <c r="AR727" s="91">
        <v>253300</v>
      </c>
      <c r="AS727" s="91">
        <v>-1.6999999999999999E-3</v>
      </c>
    </row>
    <row r="728" spans="1:45" x14ac:dyDescent="0.55000000000000004">
      <c r="A728" s="90">
        <v>45721</v>
      </c>
      <c r="B728" s="91">
        <v>5410</v>
      </c>
      <c r="C728" s="91">
        <v>5553.3999020000001</v>
      </c>
      <c r="D728" s="91">
        <v>5491.28125</v>
      </c>
      <c r="E728" s="91">
        <v>141754</v>
      </c>
      <c r="F728" s="91">
        <v>3.0499999999999999E-2</v>
      </c>
      <c r="H728" s="90">
        <v>45721</v>
      </c>
      <c r="I728" s="91">
        <v>1161</v>
      </c>
      <c r="J728" s="91">
        <v>1175.599976</v>
      </c>
      <c r="K728" s="91">
        <v>1170.923462</v>
      </c>
      <c r="L728" s="91">
        <v>8664095</v>
      </c>
      <c r="M728" s="91">
        <v>1.18E-2</v>
      </c>
      <c r="O728" s="90">
        <v>45721</v>
      </c>
      <c r="P728" s="91">
        <v>850.97497559999999</v>
      </c>
      <c r="Q728" s="91">
        <v>845</v>
      </c>
      <c r="R728" s="91">
        <v>833.73046880000004</v>
      </c>
      <c r="S728" s="91">
        <v>21583872</v>
      </c>
      <c r="T728" s="91">
        <v>-1.17E-2</v>
      </c>
      <c r="V728" s="90">
        <v>45721</v>
      </c>
      <c r="W728" s="91">
        <v>1692.4499510000001</v>
      </c>
      <c r="X728" s="91">
        <v>1711.5</v>
      </c>
      <c r="Y728" s="91">
        <v>1662.3051760000001</v>
      </c>
      <c r="Z728" s="91">
        <v>8180782</v>
      </c>
      <c r="AA728" s="91">
        <v>1.37E-2</v>
      </c>
      <c r="AB728" s="91"/>
      <c r="AC728" s="90">
        <v>45721</v>
      </c>
      <c r="AD728" s="91">
        <v>4987</v>
      </c>
      <c r="AE728" s="91">
        <v>5106.1000979999999</v>
      </c>
      <c r="AF728" s="91">
        <v>5101.6801759999998</v>
      </c>
      <c r="AG728" s="91">
        <v>2128488</v>
      </c>
      <c r="AH728" s="91">
        <v>2.1299999999999999E-2</v>
      </c>
      <c r="AI728" s="91"/>
      <c r="AJ728" s="91">
        <f>(F728*'Part 3 Portfolio Analysis'!$B$8+M728*'Part 3 Portfolio Analysis'!$C$8+T728*'Part 3 Portfolio Analysis'!$D$8+AA728*'Part 3 Portfolio Analysis'!$E$8+AH728*'Part 3 Portfolio Analysis'!$F$8)/100</f>
        <v>1.3888524492260211E-2</v>
      </c>
      <c r="AK728" s="91">
        <f>'Part 3 Portfolio Analysis'!$B$107*F728+M728*'Part 3 Portfolio Analysis'!$C$107+T728*'Part 3 Portfolio Analysis'!$D$107+AA728*'Part 3 Portfolio Analysis'!$E$107+AH728*'Part 3 Portfolio Analysis'!$F$107</f>
        <v>1.41075E-2</v>
      </c>
      <c r="AL728" s="91">
        <f>F728*'Part 3 Portfolio Analysis'!$B$121+M728*'Part 3 Portfolio Analysis'!$C$121+'Part 3 Portfolio Analysis'!$D$121*T728+AA728*'Part 3 Portfolio Analysis'!$E$121+'Part 3 Portfolio Analysis'!$F$121*AH728</f>
        <v>7.5740399999999998E-3</v>
      </c>
      <c r="AM728" s="91"/>
      <c r="AN728" s="90">
        <v>45721</v>
      </c>
      <c r="AO728" s="91">
        <v>22073.050780000001</v>
      </c>
      <c r="AP728" s="91">
        <v>22337.300780000001</v>
      </c>
      <c r="AQ728" s="91">
        <v>22337.300780000001</v>
      </c>
      <c r="AR728" s="91">
        <v>305900</v>
      </c>
      <c r="AS728" s="91">
        <v>1.15E-2</v>
      </c>
    </row>
    <row r="729" spans="1:45" x14ac:dyDescent="0.55000000000000004">
      <c r="A729" s="90">
        <v>45722</v>
      </c>
      <c r="B729" s="91">
        <v>5647</v>
      </c>
      <c r="C729" s="91">
        <v>5638.2998049999997</v>
      </c>
      <c r="D729" s="91">
        <v>5575.2314450000003</v>
      </c>
      <c r="E729" s="91">
        <v>107832</v>
      </c>
      <c r="F729" s="91">
        <v>1.5299999999999999E-2</v>
      </c>
      <c r="H729" s="90">
        <v>45722</v>
      </c>
      <c r="I729" s="91">
        <v>1197</v>
      </c>
      <c r="J729" s="91">
        <v>1209.599976</v>
      </c>
      <c r="K729" s="91">
        <v>1204.7882079999999</v>
      </c>
      <c r="L729" s="91">
        <v>14468014</v>
      </c>
      <c r="M729" s="91">
        <v>2.8899999999999999E-2</v>
      </c>
      <c r="O729" s="90">
        <v>45722</v>
      </c>
      <c r="P729" s="91">
        <v>843.5</v>
      </c>
      <c r="Q729" s="91">
        <v>845.59997559999999</v>
      </c>
      <c r="R729" s="91">
        <v>834.3224487</v>
      </c>
      <c r="S729" s="91">
        <v>32966088</v>
      </c>
      <c r="T729" s="91">
        <v>6.9999999999999999E-4</v>
      </c>
      <c r="V729" s="90">
        <v>45722</v>
      </c>
      <c r="W729" s="91">
        <v>1715</v>
      </c>
      <c r="X729" s="91">
        <v>1715.849976</v>
      </c>
      <c r="Y729" s="91">
        <v>1666.5301509999999</v>
      </c>
      <c r="Z729" s="91">
        <v>10610547</v>
      </c>
      <c r="AA729" s="91">
        <v>2.5000000000000001E-3</v>
      </c>
      <c r="AB729" s="91"/>
      <c r="AC729" s="90">
        <v>45722</v>
      </c>
      <c r="AD729" s="91">
        <v>5174.5</v>
      </c>
      <c r="AE729" s="91">
        <v>5069.5</v>
      </c>
      <c r="AF729" s="91">
        <v>5065.1118159999996</v>
      </c>
      <c r="AG729" s="91">
        <v>1499675</v>
      </c>
      <c r="AH729" s="91">
        <v>-7.1999999999999998E-3</v>
      </c>
      <c r="AI729" s="91"/>
      <c r="AJ729" s="91">
        <f>(F729*'Part 3 Portfolio Analysis'!$B$8+M729*'Part 3 Portfolio Analysis'!$C$8+T729*'Part 3 Portfolio Analysis'!$D$8+AA729*'Part 3 Portfolio Analysis'!$E$8+AH729*'Part 3 Portfolio Analysis'!$F$8)/100</f>
        <v>1.5514408757957385E-2</v>
      </c>
      <c r="AK729" s="91">
        <f>'Part 3 Portfolio Analysis'!$B$107*F729+M729*'Part 3 Portfolio Analysis'!$C$107+T729*'Part 3 Portfolio Analysis'!$D$107+AA729*'Part 3 Portfolio Analysis'!$E$107+AH729*'Part 3 Portfolio Analysis'!$F$107</f>
        <v>1.03438E-2</v>
      </c>
      <c r="AL729" s="91">
        <f>F729*'Part 3 Portfolio Analysis'!$B$121+M729*'Part 3 Portfolio Analysis'!$C$121+'Part 3 Portfolio Analysis'!$D$121*T729+AA729*'Part 3 Portfolio Analysis'!$E$121+'Part 3 Portfolio Analysis'!$F$121*AH729</f>
        <v>1.388586E-2</v>
      </c>
      <c r="AM729" s="91"/>
      <c r="AN729" s="90">
        <v>45722</v>
      </c>
      <c r="AO729" s="91">
        <v>22476.349610000001</v>
      </c>
      <c r="AP729" s="91">
        <v>22544.699219999999</v>
      </c>
      <c r="AQ729" s="91">
        <v>22544.699219999999</v>
      </c>
      <c r="AR729" s="91">
        <v>372100</v>
      </c>
      <c r="AS729" s="91">
        <v>9.2999999999999992E-3</v>
      </c>
    </row>
    <row r="730" spans="1:45" x14ac:dyDescent="0.55000000000000004">
      <c r="A730" s="90">
        <v>45723</v>
      </c>
      <c r="B730" s="91">
        <v>5688</v>
      </c>
      <c r="C730" s="91">
        <v>5624.1499020000001</v>
      </c>
      <c r="D730" s="91">
        <v>5561.2397460000002</v>
      </c>
      <c r="E730" s="91">
        <v>110794</v>
      </c>
      <c r="F730" s="91">
        <v>-2.5000000000000001E-3</v>
      </c>
      <c r="H730" s="90">
        <v>45723</v>
      </c>
      <c r="I730" s="91">
        <v>1216</v>
      </c>
      <c r="J730" s="91">
        <v>1249.8000489999999</v>
      </c>
      <c r="K730" s="91">
        <v>1244.8283690000001</v>
      </c>
      <c r="L730" s="91">
        <v>16474965</v>
      </c>
      <c r="M730" s="91">
        <v>3.32E-2</v>
      </c>
      <c r="O730" s="90">
        <v>45723</v>
      </c>
      <c r="P730" s="91">
        <v>841</v>
      </c>
      <c r="Q730" s="91">
        <v>844.625</v>
      </c>
      <c r="R730" s="91">
        <v>833.36047359999998</v>
      </c>
      <c r="S730" s="91">
        <v>13372914</v>
      </c>
      <c r="T730" s="91">
        <v>-1.1999999999999999E-3</v>
      </c>
      <c r="V730" s="90">
        <v>45723</v>
      </c>
      <c r="W730" s="91">
        <v>1703.099976</v>
      </c>
      <c r="X730" s="91">
        <v>1686</v>
      </c>
      <c r="Y730" s="91">
        <v>1637.538086</v>
      </c>
      <c r="Z730" s="91">
        <v>8019331</v>
      </c>
      <c r="AA730" s="91">
        <v>-1.7399999999999999E-2</v>
      </c>
      <c r="AB730" s="91"/>
      <c r="AC730" s="90">
        <v>45723</v>
      </c>
      <c r="AD730" s="91">
        <v>5075</v>
      </c>
      <c r="AE730" s="91">
        <v>4999.8500979999999</v>
      </c>
      <c r="AF730" s="91">
        <v>4995.5224609999996</v>
      </c>
      <c r="AG730" s="91">
        <v>690809</v>
      </c>
      <c r="AH730" s="91">
        <v>-1.37E-2</v>
      </c>
      <c r="AI730" s="91"/>
      <c r="AJ730" s="91">
        <f>(F730*'Part 3 Portfolio Analysis'!$B$8+M730*'Part 3 Portfolio Analysis'!$C$8+T730*'Part 3 Portfolio Analysis'!$D$8+AA730*'Part 3 Portfolio Analysis'!$E$8+AH730*'Part 3 Portfolio Analysis'!$F$8)/100</f>
        <v>8.150022778361429E-3</v>
      </c>
      <c r="AK730" s="91">
        <f>'Part 3 Portfolio Analysis'!$B$107*F730+M730*'Part 3 Portfolio Analysis'!$C$107+T730*'Part 3 Portfolio Analysis'!$D$107+AA730*'Part 3 Portfolio Analysis'!$E$107+AH730*'Part 3 Portfolio Analysis'!$F$107</f>
        <v>4.5631999999999999E-3</v>
      </c>
      <c r="AL730" s="91">
        <f>F730*'Part 3 Portfolio Analysis'!$B$121+M730*'Part 3 Portfolio Analysis'!$C$121+'Part 3 Portfolio Analysis'!$D$121*T730+AA730*'Part 3 Portfolio Analysis'!$E$121+'Part 3 Portfolio Analysis'!$F$121*AH730</f>
        <v>9.559879999999998E-3</v>
      </c>
      <c r="AM730" s="91"/>
      <c r="AN730" s="90">
        <v>45723</v>
      </c>
      <c r="AO730" s="91">
        <v>22508.650389999999</v>
      </c>
      <c r="AP730" s="91">
        <v>22552.5</v>
      </c>
      <c r="AQ730" s="91">
        <v>22552.5</v>
      </c>
      <c r="AR730" s="91">
        <v>289800</v>
      </c>
      <c r="AS730" s="91">
        <v>2.9999999999999997E-4</v>
      </c>
    </row>
    <row r="731" spans="1:45" x14ac:dyDescent="0.55000000000000004">
      <c r="A731" s="90">
        <v>45726</v>
      </c>
      <c r="B731" s="91">
        <v>5659</v>
      </c>
      <c r="C731" s="91">
        <v>5503.5</v>
      </c>
      <c r="D731" s="91">
        <v>5441.939453</v>
      </c>
      <c r="E731" s="91">
        <v>106381</v>
      </c>
      <c r="F731" s="91">
        <v>-2.1499999999999998E-2</v>
      </c>
      <c r="H731" s="90">
        <v>45726</v>
      </c>
      <c r="I731" s="91">
        <v>1245</v>
      </c>
      <c r="J731" s="91">
        <v>1238.400024</v>
      </c>
      <c r="K731" s="91">
        <v>1233.4736330000001</v>
      </c>
      <c r="L731" s="91">
        <v>11931051</v>
      </c>
      <c r="M731" s="91">
        <v>-9.1000000000000004E-3</v>
      </c>
      <c r="O731" s="90">
        <v>45726</v>
      </c>
      <c r="P731" s="91">
        <v>844.5</v>
      </c>
      <c r="Q731" s="91">
        <v>843.75</v>
      </c>
      <c r="R731" s="91">
        <v>832.49713129999998</v>
      </c>
      <c r="S731" s="91">
        <v>15604050</v>
      </c>
      <c r="T731" s="91">
        <v>-1E-3</v>
      </c>
      <c r="V731" s="90">
        <v>45726</v>
      </c>
      <c r="W731" s="91">
        <v>1686</v>
      </c>
      <c r="X731" s="91">
        <v>1701.4499510000001</v>
      </c>
      <c r="Y731" s="91">
        <v>1652.5439449999999</v>
      </c>
      <c r="Z731" s="91">
        <v>7558981</v>
      </c>
      <c r="AA731" s="91">
        <v>9.1999999999999998E-3</v>
      </c>
      <c r="AB731" s="91"/>
      <c r="AC731" s="90">
        <v>45726</v>
      </c>
      <c r="AD731" s="91">
        <v>4990</v>
      </c>
      <c r="AE731" s="91">
        <v>4799.7001950000003</v>
      </c>
      <c r="AF731" s="91">
        <v>4795.5458980000003</v>
      </c>
      <c r="AG731" s="91">
        <v>1217553</v>
      </c>
      <c r="AH731" s="91">
        <v>-0.04</v>
      </c>
      <c r="AI731" s="91"/>
      <c r="AJ731" s="91">
        <f>(F731*'Part 3 Portfolio Analysis'!$B$8+M731*'Part 3 Portfolio Analysis'!$C$8+T731*'Part 3 Portfolio Analysis'!$D$8+AA731*'Part 3 Portfolio Analysis'!$E$8+AH731*'Part 3 Portfolio Analysis'!$F$8)/100</f>
        <v>-8.8257369386963332E-3</v>
      </c>
      <c r="AK731" s="91">
        <f>'Part 3 Portfolio Analysis'!$B$107*F731+M731*'Part 3 Portfolio Analysis'!$C$107+T731*'Part 3 Portfolio Analysis'!$D$107+AA731*'Part 3 Portfolio Analysis'!$E$107+AH731*'Part 3 Portfolio Analysis'!$F$107</f>
        <v>-1.60333E-2</v>
      </c>
      <c r="AL731" s="91">
        <f>F731*'Part 3 Portfolio Analysis'!$B$121+M731*'Part 3 Portfolio Analysis'!$C$121+'Part 3 Portfolio Analysis'!$D$121*T731+AA731*'Part 3 Portfolio Analysis'!$E$121+'Part 3 Portfolio Analysis'!$F$121*AH731</f>
        <v>-5.0656599999999996E-3</v>
      </c>
      <c r="AM731" s="91"/>
      <c r="AN731" s="90">
        <v>45726</v>
      </c>
      <c r="AO731" s="91">
        <v>22521.849610000001</v>
      </c>
      <c r="AP731" s="91">
        <v>22460.300780000001</v>
      </c>
      <c r="AQ731" s="91">
        <v>22460.300780000001</v>
      </c>
      <c r="AR731" s="91">
        <v>293900</v>
      </c>
      <c r="AS731" s="91">
        <v>-4.1000000000000003E-3</v>
      </c>
    </row>
    <row r="732" spans="1:45" x14ac:dyDescent="0.55000000000000004">
      <c r="A732" s="90">
        <v>45727</v>
      </c>
      <c r="B732" s="91">
        <v>5453.0498049999997</v>
      </c>
      <c r="C732" s="91">
        <v>5420.0498049999997</v>
      </c>
      <c r="D732" s="91">
        <v>5359.4228519999997</v>
      </c>
      <c r="E732" s="91">
        <v>96855</v>
      </c>
      <c r="F732" s="91">
        <v>-1.52E-2</v>
      </c>
      <c r="H732" s="90">
        <v>45727</v>
      </c>
      <c r="I732" s="91">
        <v>1240</v>
      </c>
      <c r="J732" s="91">
        <v>1247.3000489999999</v>
      </c>
      <c r="K732" s="91">
        <v>1242.3382570000001</v>
      </c>
      <c r="L732" s="91">
        <v>10089838</v>
      </c>
      <c r="M732" s="91">
        <v>7.1999999999999998E-3</v>
      </c>
      <c r="O732" s="90">
        <v>45727</v>
      </c>
      <c r="P732" s="91">
        <v>841.20001219999995</v>
      </c>
      <c r="Q732" s="91">
        <v>842.75</v>
      </c>
      <c r="R732" s="91">
        <v>831.51049799999998</v>
      </c>
      <c r="S732" s="91">
        <v>19898430</v>
      </c>
      <c r="T732" s="91">
        <v>-1.1999999999999999E-3</v>
      </c>
      <c r="V732" s="90">
        <v>45727</v>
      </c>
      <c r="W732" s="91">
        <v>1680</v>
      </c>
      <c r="X732" s="91">
        <v>1661.599976</v>
      </c>
      <c r="Y732" s="91">
        <v>1613.8393550000001</v>
      </c>
      <c r="Z732" s="91">
        <v>12671234</v>
      </c>
      <c r="AA732" s="91">
        <v>-2.3400000000000001E-2</v>
      </c>
      <c r="AB732" s="91"/>
      <c r="AC732" s="90">
        <v>45727</v>
      </c>
      <c r="AD732" s="91">
        <v>4739.7001950000003</v>
      </c>
      <c r="AE732" s="91">
        <v>4995.4501950000003</v>
      </c>
      <c r="AF732" s="91">
        <v>4991.1264650000003</v>
      </c>
      <c r="AG732" s="91">
        <v>1437957</v>
      </c>
      <c r="AH732" s="91">
        <v>4.0800000000000003E-2</v>
      </c>
      <c r="AI732" s="91"/>
      <c r="AJ732" s="91">
        <f>(F732*'Part 3 Portfolio Analysis'!$B$8+M732*'Part 3 Portfolio Analysis'!$C$8+T732*'Part 3 Portfolio Analysis'!$D$8+AA732*'Part 3 Portfolio Analysis'!$E$8+AH732*'Part 3 Portfolio Analysis'!$F$8)/100</f>
        <v>-5.5174010697518309E-3</v>
      </c>
      <c r="AK732" s="91">
        <f>'Part 3 Portfolio Analysis'!$B$107*F732+M732*'Part 3 Portfolio Analysis'!$C$107+T732*'Part 3 Portfolio Analysis'!$D$107+AA732*'Part 3 Portfolio Analysis'!$E$107+AH732*'Part 3 Portfolio Analysis'!$F$107</f>
        <v>7.2732000000000005E-3</v>
      </c>
      <c r="AL732" s="91">
        <f>F732*'Part 3 Portfolio Analysis'!$B$121+M732*'Part 3 Portfolio Analysis'!$C$121+'Part 3 Portfolio Analysis'!$D$121*T732+AA732*'Part 3 Portfolio Analysis'!$E$121+'Part 3 Portfolio Analysis'!$F$121*AH732</f>
        <v>-2.1657600000000001E-3</v>
      </c>
      <c r="AM732" s="91"/>
      <c r="AN732" s="90">
        <v>45727</v>
      </c>
      <c r="AO732" s="91">
        <v>22345.949219999999</v>
      </c>
      <c r="AP732" s="91">
        <v>22497.900389999999</v>
      </c>
      <c r="AQ732" s="91">
        <v>22497.900389999999</v>
      </c>
      <c r="AR732" s="91">
        <v>347900</v>
      </c>
      <c r="AS732" s="91">
        <v>1.6999999999999999E-3</v>
      </c>
    </row>
    <row r="733" spans="1:45" x14ac:dyDescent="0.55000000000000004">
      <c r="A733" s="90">
        <v>45728</v>
      </c>
      <c r="B733" s="91">
        <v>5421.0498049999997</v>
      </c>
      <c r="C733" s="91">
        <v>5303.8500979999999</v>
      </c>
      <c r="D733" s="91">
        <v>5244.5229490000002</v>
      </c>
      <c r="E733" s="91">
        <v>171254</v>
      </c>
      <c r="F733" s="91">
        <v>-2.1399999999999999E-2</v>
      </c>
      <c r="H733" s="90">
        <v>45728</v>
      </c>
      <c r="I733" s="91">
        <v>1258</v>
      </c>
      <c r="J733" s="91">
        <v>1257.0500489999999</v>
      </c>
      <c r="K733" s="91">
        <v>1252.049438</v>
      </c>
      <c r="L733" s="91">
        <v>11977555</v>
      </c>
      <c r="M733" s="91">
        <v>7.7999999999999996E-3</v>
      </c>
      <c r="O733" s="90">
        <v>45728</v>
      </c>
      <c r="P733" s="91">
        <v>845.77502440000001</v>
      </c>
      <c r="Q733" s="91">
        <v>855.57501219999995</v>
      </c>
      <c r="R733" s="91">
        <v>844.16448969999999</v>
      </c>
      <c r="S733" s="91">
        <v>18784106</v>
      </c>
      <c r="T733" s="91">
        <v>1.52E-2</v>
      </c>
      <c r="V733" s="90">
        <v>45728</v>
      </c>
      <c r="W733" s="91">
        <v>1636.900024</v>
      </c>
      <c r="X733" s="91">
        <v>1590.849976</v>
      </c>
      <c r="Y733" s="91">
        <v>1545.123047</v>
      </c>
      <c r="Z733" s="91">
        <v>14870008</v>
      </c>
      <c r="AA733" s="91">
        <v>-4.2599999999999999E-2</v>
      </c>
      <c r="AB733" s="91"/>
      <c r="AC733" s="90">
        <v>45728</v>
      </c>
      <c r="AD733" s="91">
        <v>5010.6000979999999</v>
      </c>
      <c r="AE733" s="91">
        <v>5015.3500979999999</v>
      </c>
      <c r="AF733" s="91">
        <v>5011.0087890000004</v>
      </c>
      <c r="AG733" s="91">
        <v>1026027</v>
      </c>
      <c r="AH733" s="91">
        <v>4.0000000000000001E-3</v>
      </c>
      <c r="AI733" s="91"/>
      <c r="AJ733" s="91">
        <f>(F733*'Part 3 Portfolio Analysis'!$B$8+M733*'Part 3 Portfolio Analysis'!$C$8+T733*'Part 3 Portfolio Analysis'!$D$8+AA733*'Part 3 Portfolio Analysis'!$E$8+AH733*'Part 3 Portfolio Analysis'!$F$8)/100</f>
        <v>-7.8737776072839612E-3</v>
      </c>
      <c r="AK733" s="91">
        <f>'Part 3 Portfolio Analysis'!$B$107*F733+M733*'Part 3 Portfolio Analysis'!$C$107+T733*'Part 3 Portfolio Analysis'!$D$107+AA733*'Part 3 Portfolio Analysis'!$E$107+AH733*'Part 3 Portfolio Analysis'!$F$107</f>
        <v>-2.3065999999999998E-3</v>
      </c>
      <c r="AL733" s="91">
        <f>F733*'Part 3 Portfolio Analysis'!$B$121+M733*'Part 3 Portfolio Analysis'!$C$121+'Part 3 Portfolio Analysis'!$D$121*T733+AA733*'Part 3 Portfolio Analysis'!$E$121+'Part 3 Portfolio Analysis'!$F$121*AH733</f>
        <v>-2.7669999999999999E-3</v>
      </c>
      <c r="AM733" s="91"/>
      <c r="AN733" s="90">
        <v>45728</v>
      </c>
      <c r="AO733" s="91">
        <v>22536.349610000001</v>
      </c>
      <c r="AP733" s="91">
        <v>22470.5</v>
      </c>
      <c r="AQ733" s="91">
        <v>22470.5</v>
      </c>
      <c r="AR733" s="91">
        <v>369700</v>
      </c>
      <c r="AS733" s="91">
        <v>-1.1999999999999999E-3</v>
      </c>
    </row>
    <row r="734" spans="1:45" x14ac:dyDescent="0.55000000000000004">
      <c r="A734" s="90">
        <v>45729</v>
      </c>
      <c r="B734" s="91">
        <v>5310.8999020000001</v>
      </c>
      <c r="C734" s="91">
        <v>5236.75</v>
      </c>
      <c r="D734" s="91">
        <v>5178.1733400000003</v>
      </c>
      <c r="E734" s="91">
        <v>126288</v>
      </c>
      <c r="F734" s="91">
        <v>-1.2699999999999999E-2</v>
      </c>
      <c r="H734" s="90">
        <v>45729</v>
      </c>
      <c r="I734" s="91">
        <v>1260.0500489999999</v>
      </c>
      <c r="J734" s="91">
        <v>1247.900024</v>
      </c>
      <c r="K734" s="91">
        <v>1242.935913</v>
      </c>
      <c r="L734" s="91">
        <v>9505270</v>
      </c>
      <c r="M734" s="91">
        <v>-7.3000000000000001E-3</v>
      </c>
      <c r="O734" s="90">
        <v>45729</v>
      </c>
      <c r="P734" s="91">
        <v>858.02502440000001</v>
      </c>
      <c r="Q734" s="91">
        <v>853.29998780000005</v>
      </c>
      <c r="R734" s="91">
        <v>841.9197388</v>
      </c>
      <c r="S734" s="91">
        <v>15736264</v>
      </c>
      <c r="T734" s="91">
        <v>-2.7000000000000001E-3</v>
      </c>
      <c r="V734" s="90">
        <v>45729</v>
      </c>
      <c r="W734" s="91">
        <v>1599.25</v>
      </c>
      <c r="X734" s="91">
        <v>1579.849976</v>
      </c>
      <c r="Y734" s="91">
        <v>1534.4392089999999</v>
      </c>
      <c r="Z734" s="91">
        <v>7822888</v>
      </c>
      <c r="AA734" s="91">
        <v>-6.8999999999999999E-3</v>
      </c>
      <c r="AB734" s="91"/>
      <c r="AC734" s="90">
        <v>45729</v>
      </c>
      <c r="AD734" s="91">
        <v>5030</v>
      </c>
      <c r="AE734" s="91">
        <v>5022.3999020000001</v>
      </c>
      <c r="AF734" s="91">
        <v>5018.0527339999999</v>
      </c>
      <c r="AG734" s="91">
        <v>860279</v>
      </c>
      <c r="AH734" s="91">
        <v>1.4E-3</v>
      </c>
      <c r="AI734" s="91"/>
      <c r="AJ734" s="91">
        <f>(F734*'Part 3 Portfolio Analysis'!$B$8+M734*'Part 3 Portfolio Analysis'!$C$8+T734*'Part 3 Portfolio Analysis'!$D$8+AA734*'Part 3 Portfolio Analysis'!$E$8+AH734*'Part 3 Portfolio Analysis'!$F$8)/100</f>
        <v>-8.0032578578517494E-3</v>
      </c>
      <c r="AK734" s="91">
        <f>'Part 3 Portfolio Analysis'!$B$107*F734+M734*'Part 3 Portfolio Analysis'!$C$107+T734*'Part 3 Portfolio Analysis'!$D$107+AA734*'Part 3 Portfolio Analysis'!$E$107+AH734*'Part 3 Portfolio Analysis'!$F$107</f>
        <v>-5.326599999999999E-3</v>
      </c>
      <c r="AL734" s="91">
        <f>F734*'Part 3 Portfolio Analysis'!$B$121+M734*'Part 3 Portfolio Analysis'!$C$121+'Part 3 Portfolio Analysis'!$D$121*T734+AA734*'Part 3 Portfolio Analysis'!$E$121+'Part 3 Portfolio Analysis'!$F$121*AH734</f>
        <v>-6.1847399999999993E-3</v>
      </c>
      <c r="AM734" s="91"/>
      <c r="AN734" s="90">
        <v>45729</v>
      </c>
      <c r="AO734" s="91">
        <v>22541.5</v>
      </c>
      <c r="AP734" s="91">
        <v>22397.199219999999</v>
      </c>
      <c r="AQ734" s="91">
        <v>22397.199219999999</v>
      </c>
      <c r="AR734" s="91">
        <v>287500</v>
      </c>
      <c r="AS734" s="91">
        <v>-3.3E-3</v>
      </c>
    </row>
    <row r="735" spans="1:45" x14ac:dyDescent="0.55000000000000004">
      <c r="A735" s="90">
        <v>45733</v>
      </c>
      <c r="B735" s="91">
        <v>5236.75</v>
      </c>
      <c r="C735" s="91">
        <v>5174.4501950000003</v>
      </c>
      <c r="D735" s="91">
        <v>5116.5703130000002</v>
      </c>
      <c r="E735" s="91">
        <v>139134</v>
      </c>
      <c r="F735" s="91">
        <v>-1.1900000000000001E-2</v>
      </c>
      <c r="H735" s="90">
        <v>45733</v>
      </c>
      <c r="I735" s="91">
        <v>1242.150024</v>
      </c>
      <c r="J735" s="91">
        <v>1238.849976</v>
      </c>
      <c r="K735" s="91">
        <v>1233.9217530000001</v>
      </c>
      <c r="L735" s="91">
        <v>16640917</v>
      </c>
      <c r="M735" s="91">
        <v>-7.3000000000000001E-3</v>
      </c>
      <c r="O735" s="90">
        <v>45733</v>
      </c>
      <c r="P735" s="91">
        <v>852.5</v>
      </c>
      <c r="Q735" s="91">
        <v>855.20001219999995</v>
      </c>
      <c r="R735" s="91">
        <v>843.79449460000001</v>
      </c>
      <c r="S735" s="91">
        <v>18950652</v>
      </c>
      <c r="T735" s="91">
        <v>2.2000000000000001E-3</v>
      </c>
      <c r="V735" s="90">
        <v>45733</v>
      </c>
      <c r="W735" s="91">
        <v>1545.150024</v>
      </c>
      <c r="X735" s="91">
        <v>1590.0500489999999</v>
      </c>
      <c r="Y735" s="91">
        <v>1544.3461910000001</v>
      </c>
      <c r="Z735" s="91">
        <v>7526032</v>
      </c>
      <c r="AA735" s="91">
        <v>6.4999999999999997E-3</v>
      </c>
      <c r="AB735" s="91"/>
      <c r="AC735" s="90">
        <v>45733</v>
      </c>
      <c r="AD735" s="91">
        <v>5022.3999020000001</v>
      </c>
      <c r="AE735" s="91">
        <v>5159.5498049999997</v>
      </c>
      <c r="AF735" s="91">
        <v>5155.0839839999999</v>
      </c>
      <c r="AG735" s="91">
        <v>856529</v>
      </c>
      <c r="AH735" s="91">
        <v>2.7300000000000001E-2</v>
      </c>
      <c r="AI735" s="91"/>
      <c r="AJ735" s="91">
        <f>(F735*'Part 3 Portfolio Analysis'!$B$8+M735*'Part 3 Portfolio Analysis'!$C$8+T735*'Part 3 Portfolio Analysis'!$D$8+AA735*'Part 3 Portfolio Analysis'!$E$8+AH735*'Part 3 Portfolio Analysis'!$F$8)/100</f>
        <v>-4.5362296319222542E-3</v>
      </c>
      <c r="AK735" s="91">
        <f>'Part 3 Portfolio Analysis'!$B$107*F735+M735*'Part 3 Portfolio Analysis'!$C$107+T735*'Part 3 Portfolio Analysis'!$D$107+AA735*'Part 3 Portfolio Analysis'!$E$107+AH735*'Part 3 Portfolio Analysis'!$F$107</f>
        <v>3.4437000000000005E-3</v>
      </c>
      <c r="AL735" s="91">
        <f>F735*'Part 3 Portfolio Analysis'!$B$121+M735*'Part 3 Portfolio Analysis'!$C$121+'Part 3 Portfolio Analysis'!$D$121*T735+AA735*'Part 3 Portfolio Analysis'!$E$121+'Part 3 Portfolio Analysis'!$F$121*AH735</f>
        <v>-1.4275999999999994E-3</v>
      </c>
      <c r="AM735" s="91"/>
      <c r="AN735" s="90">
        <v>45733</v>
      </c>
      <c r="AO735" s="91">
        <v>22353.150389999999</v>
      </c>
      <c r="AP735" s="91">
        <v>22508.75</v>
      </c>
      <c r="AQ735" s="91">
        <v>22508.75</v>
      </c>
      <c r="AR735" s="91">
        <v>251100</v>
      </c>
      <c r="AS735" s="91">
        <v>5.0000000000000001E-3</v>
      </c>
    </row>
    <row r="736" spans="1:45" x14ac:dyDescent="0.55000000000000004">
      <c r="A736" s="90">
        <v>45735</v>
      </c>
      <c r="B736" s="91">
        <v>5269</v>
      </c>
      <c r="C736" s="91">
        <v>5366.2998049999997</v>
      </c>
      <c r="D736" s="91">
        <v>5306.2739259999998</v>
      </c>
      <c r="E736" s="91">
        <v>183836</v>
      </c>
      <c r="F736" s="91">
        <v>3.7100000000000001E-2</v>
      </c>
      <c r="H736" s="90">
        <v>45735</v>
      </c>
      <c r="I736" s="91">
        <v>1241.0500489999999</v>
      </c>
      <c r="J736" s="91">
        <v>1247.150024</v>
      </c>
      <c r="K736" s="91">
        <v>1242.1888429999999</v>
      </c>
      <c r="L736" s="91">
        <v>16162399</v>
      </c>
      <c r="M736" s="91">
        <v>6.7000000000000002E-3</v>
      </c>
      <c r="O736" s="90">
        <v>45735</v>
      </c>
      <c r="P736" s="91">
        <v>867.5</v>
      </c>
      <c r="Q736" s="91">
        <v>872.04998780000005</v>
      </c>
      <c r="R736" s="91">
        <v>860.4197388</v>
      </c>
      <c r="S736" s="91">
        <v>15221406</v>
      </c>
      <c r="T736" s="91">
        <v>1.9699999999999999E-2</v>
      </c>
      <c r="V736" s="90">
        <v>45735</v>
      </c>
      <c r="W736" s="91">
        <v>1603</v>
      </c>
      <c r="X736" s="91">
        <v>1586.5500489999999</v>
      </c>
      <c r="Y736" s="91">
        <v>1540.9467770000001</v>
      </c>
      <c r="Z736" s="91">
        <v>7387068</v>
      </c>
      <c r="AA736" s="91">
        <v>-2.2000000000000001E-3</v>
      </c>
      <c r="AB736" s="91"/>
      <c r="AC736" s="90">
        <v>45735</v>
      </c>
      <c r="AD736" s="91">
        <v>5276.0498049999997</v>
      </c>
      <c r="AE736" s="91">
        <v>5230.8500979999999</v>
      </c>
      <c r="AF736" s="91">
        <v>5226.3222660000001</v>
      </c>
      <c r="AG736" s="91">
        <v>957079</v>
      </c>
      <c r="AH736" s="91">
        <v>1.38E-2</v>
      </c>
      <c r="AI736" s="91"/>
      <c r="AJ736" s="91">
        <f>(F736*'Part 3 Portfolio Analysis'!$B$8+M736*'Part 3 Portfolio Analysis'!$C$8+T736*'Part 3 Portfolio Analysis'!$D$8+AA736*'Part 3 Portfolio Analysis'!$E$8+AH736*'Part 3 Portfolio Analysis'!$F$8)/100</f>
        <v>1.6625648870890165E-2</v>
      </c>
      <c r="AK736" s="91">
        <f>'Part 3 Portfolio Analysis'!$B$107*F736+M736*'Part 3 Portfolio Analysis'!$C$107+T736*'Part 3 Portfolio Analysis'!$D$107+AA736*'Part 3 Portfolio Analysis'!$E$107+AH736*'Part 3 Portfolio Analysis'!$F$107</f>
        <v>1.5086200000000001E-2</v>
      </c>
      <c r="AL736" s="91">
        <f>F736*'Part 3 Portfolio Analysis'!$B$121+M736*'Part 3 Portfolio Analysis'!$C$121+'Part 3 Portfolio Analysis'!$D$121*T736+AA736*'Part 3 Portfolio Analysis'!$E$121+'Part 3 Portfolio Analysis'!$F$121*AH736</f>
        <v>1.1140900000000002E-2</v>
      </c>
      <c r="AM736" s="91"/>
      <c r="AN736" s="90">
        <v>45735</v>
      </c>
      <c r="AO736" s="91">
        <v>22874.949219999999</v>
      </c>
      <c r="AP736" s="91">
        <v>22907.599610000001</v>
      </c>
      <c r="AQ736" s="91">
        <v>22907.599610000001</v>
      </c>
      <c r="AR736" s="91">
        <v>324000</v>
      </c>
      <c r="AS736" s="91">
        <v>3.2000000000000002E-3</v>
      </c>
    </row>
    <row r="737" spans="1:45" x14ac:dyDescent="0.55000000000000004">
      <c r="A737" s="90">
        <v>45736</v>
      </c>
      <c r="B737" s="91">
        <v>5400</v>
      </c>
      <c r="C737" s="91">
        <v>5377.3500979999999</v>
      </c>
      <c r="D737" s="91">
        <v>5317.2006840000004</v>
      </c>
      <c r="E737" s="91">
        <v>139775</v>
      </c>
      <c r="F737" s="91">
        <v>2.0999999999999999E-3</v>
      </c>
      <c r="H737" s="90">
        <v>45736</v>
      </c>
      <c r="I737" s="91">
        <v>1251.849976</v>
      </c>
      <c r="J737" s="91">
        <v>1269.150024</v>
      </c>
      <c r="K737" s="91">
        <v>1264.101318</v>
      </c>
      <c r="L737" s="91">
        <v>15971477</v>
      </c>
      <c r="M737" s="91">
        <v>1.7600000000000001E-2</v>
      </c>
      <c r="O737" s="90">
        <v>45736</v>
      </c>
      <c r="P737" s="91">
        <v>877</v>
      </c>
      <c r="Q737" s="91">
        <v>884.375</v>
      </c>
      <c r="R737" s="91">
        <v>872.58032230000003</v>
      </c>
      <c r="S737" s="91">
        <v>17833978</v>
      </c>
      <c r="T737" s="91">
        <v>1.41E-2</v>
      </c>
      <c r="V737" s="90">
        <v>45736</v>
      </c>
      <c r="W737" s="91">
        <v>1592</v>
      </c>
      <c r="X737" s="91">
        <v>1615.5500489999999</v>
      </c>
      <c r="Y737" s="91">
        <v>1569.1132809999999</v>
      </c>
      <c r="Z737" s="91">
        <v>7186750</v>
      </c>
      <c r="AA737" s="91">
        <v>1.83E-2</v>
      </c>
      <c r="AB737" s="91"/>
      <c r="AC737" s="90">
        <v>45736</v>
      </c>
      <c r="AD737" s="91">
        <v>5247</v>
      </c>
      <c r="AE737" s="91">
        <v>5221.5498049999997</v>
      </c>
      <c r="AF737" s="91">
        <v>5217.0302730000003</v>
      </c>
      <c r="AG737" s="91">
        <v>759448</v>
      </c>
      <c r="AH737" s="91">
        <v>-1.8E-3</v>
      </c>
      <c r="AI737" s="91"/>
      <c r="AJ737" s="91">
        <f>(F737*'Part 3 Portfolio Analysis'!$B$8+M737*'Part 3 Portfolio Analysis'!$C$8+T737*'Part 3 Portfolio Analysis'!$D$8+AA737*'Part 3 Portfolio Analysis'!$E$8+AH737*'Part 3 Portfolio Analysis'!$F$8)/100</f>
        <v>1.2289201269403964E-2</v>
      </c>
      <c r="AK737" s="91">
        <f>'Part 3 Portfolio Analysis'!$B$107*F737+M737*'Part 3 Portfolio Analysis'!$C$107+T737*'Part 3 Portfolio Analysis'!$D$107+AA737*'Part 3 Portfolio Analysis'!$E$107+AH737*'Part 3 Portfolio Analysis'!$F$107</f>
        <v>9.4487000000000008E-3</v>
      </c>
      <c r="AL737" s="91">
        <f>F737*'Part 3 Portfolio Analysis'!$B$121+M737*'Part 3 Portfolio Analysis'!$C$121+'Part 3 Portfolio Analysis'!$D$121*T737+AA737*'Part 3 Portfolio Analysis'!$E$121+'Part 3 Portfolio Analysis'!$F$121*AH737</f>
        <v>1.5005620000000001E-2</v>
      </c>
      <c r="AM737" s="91"/>
      <c r="AN737" s="90">
        <v>45736</v>
      </c>
      <c r="AO737" s="91">
        <v>23036.599610000001</v>
      </c>
      <c r="AP737" s="91">
        <v>23190.650389999999</v>
      </c>
      <c r="AQ737" s="91">
        <v>23190.650389999999</v>
      </c>
      <c r="AR737" s="91">
        <v>313700</v>
      </c>
      <c r="AS737" s="91">
        <v>1.24E-2</v>
      </c>
    </row>
    <row r="738" spans="1:45" x14ac:dyDescent="0.55000000000000004">
      <c r="A738" s="90">
        <v>45737</v>
      </c>
      <c r="B738" s="91">
        <v>5395</v>
      </c>
      <c r="C738" s="91">
        <v>5462.9501950000003</v>
      </c>
      <c r="D738" s="91">
        <v>5401.8432620000003</v>
      </c>
      <c r="E738" s="91">
        <v>252810</v>
      </c>
      <c r="F738" s="91">
        <v>1.5900000000000001E-2</v>
      </c>
      <c r="H738" s="90">
        <v>45737</v>
      </c>
      <c r="I738" s="91">
        <v>1275</v>
      </c>
      <c r="J738" s="91">
        <v>1276.349976</v>
      </c>
      <c r="K738" s="91">
        <v>1271.2725829999999</v>
      </c>
      <c r="L738" s="91">
        <v>21780769</v>
      </c>
      <c r="M738" s="91">
        <v>5.7000000000000002E-3</v>
      </c>
      <c r="O738" s="90">
        <v>45737</v>
      </c>
      <c r="P738" s="91">
        <v>877.77502440000001</v>
      </c>
      <c r="Q738" s="91">
        <v>885.17498780000005</v>
      </c>
      <c r="R738" s="91">
        <v>873.36968990000003</v>
      </c>
      <c r="S738" s="91">
        <v>33508264</v>
      </c>
      <c r="T738" s="91">
        <v>8.9999999999999998E-4</v>
      </c>
      <c r="V738" s="90">
        <v>45737</v>
      </c>
      <c r="W738" s="91">
        <v>1577.9499510000001</v>
      </c>
      <c r="X738" s="91">
        <v>1592.5500489999999</v>
      </c>
      <c r="Y738" s="91">
        <v>1546.7742920000001</v>
      </c>
      <c r="Z738" s="91">
        <v>10074677</v>
      </c>
      <c r="AA738" s="91">
        <v>-1.4200000000000001E-2</v>
      </c>
      <c r="AB738" s="91"/>
      <c r="AC738" s="90">
        <v>45737</v>
      </c>
      <c r="AD738" s="91">
        <v>5224.5</v>
      </c>
      <c r="AE738" s="91">
        <v>5150.0498049999997</v>
      </c>
      <c r="AF738" s="91">
        <v>5145.591797</v>
      </c>
      <c r="AG738" s="91">
        <v>1197537</v>
      </c>
      <c r="AH738" s="91">
        <v>-1.37E-2</v>
      </c>
      <c r="AI738" s="91"/>
      <c r="AJ738" s="91">
        <f>(F738*'Part 3 Portfolio Analysis'!$B$8+M738*'Part 3 Portfolio Analysis'!$C$8+T738*'Part 3 Portfolio Analysis'!$D$8+AA738*'Part 3 Portfolio Analysis'!$E$8+AH738*'Part 3 Portfolio Analysis'!$F$8)/100</f>
        <v>4.5671132190346665E-3</v>
      </c>
      <c r="AK738" s="91">
        <f>'Part 3 Portfolio Analysis'!$B$107*F738+M738*'Part 3 Portfolio Analysis'!$C$107+T738*'Part 3 Portfolio Analysis'!$D$107+AA738*'Part 3 Portfolio Analysis'!$E$107+AH738*'Part 3 Portfolio Analysis'!$F$107</f>
        <v>-8.6800000000000158E-5</v>
      </c>
      <c r="AL738" s="91">
        <f>F738*'Part 3 Portfolio Analysis'!$B$121+M738*'Part 3 Portfolio Analysis'!$C$121+'Part 3 Portfolio Analysis'!$D$121*T738+AA738*'Part 3 Portfolio Analysis'!$E$121+'Part 3 Portfolio Analysis'!$F$121*AH738</f>
        <v>7.4455999999999936E-4</v>
      </c>
      <c r="AM738" s="91"/>
      <c r="AN738" s="90">
        <v>45737</v>
      </c>
      <c r="AO738" s="91">
        <v>23168.25</v>
      </c>
      <c r="AP738" s="91">
        <v>23350.400389999999</v>
      </c>
      <c r="AQ738" s="91">
        <v>23350.400389999999</v>
      </c>
      <c r="AR738" s="91">
        <v>541000</v>
      </c>
      <c r="AS738" s="91">
        <v>6.8999999999999999E-3</v>
      </c>
    </row>
    <row r="739" spans="1:45" x14ac:dyDescent="0.55000000000000004">
      <c r="A739" s="90">
        <v>45740</v>
      </c>
      <c r="B739" s="91">
        <v>5470</v>
      </c>
      <c r="C739" s="91">
        <v>5629.9501950000003</v>
      </c>
      <c r="D739" s="91">
        <v>5566.9750979999999</v>
      </c>
      <c r="E739" s="91">
        <v>291530</v>
      </c>
      <c r="F739" s="91">
        <v>3.0599999999999999E-2</v>
      </c>
      <c r="H739" s="90">
        <v>45740</v>
      </c>
      <c r="I739" s="91">
        <v>1291</v>
      </c>
      <c r="J739" s="91">
        <v>1302.099976</v>
      </c>
      <c r="K739" s="91">
        <v>1296.9201660000001</v>
      </c>
      <c r="L739" s="91">
        <v>20299319</v>
      </c>
      <c r="M739" s="91">
        <v>2.0199999999999999E-2</v>
      </c>
      <c r="O739" s="90">
        <v>45740</v>
      </c>
      <c r="P739" s="91">
        <v>889.5</v>
      </c>
      <c r="Q739" s="91">
        <v>900</v>
      </c>
      <c r="R739" s="91">
        <v>887.99694820000002</v>
      </c>
      <c r="S739" s="91">
        <v>17393736</v>
      </c>
      <c r="T739" s="91">
        <v>1.67E-2</v>
      </c>
      <c r="V739" s="90">
        <v>45740</v>
      </c>
      <c r="W739" s="91">
        <v>1597.9499510000001</v>
      </c>
      <c r="X739" s="91">
        <v>1592.75</v>
      </c>
      <c r="Y739" s="91">
        <v>1546.9685059999999</v>
      </c>
      <c r="Z739" s="91">
        <v>8857726</v>
      </c>
      <c r="AA739" s="91">
        <v>1E-4</v>
      </c>
      <c r="AB739" s="91"/>
      <c r="AC739" s="90">
        <v>45740</v>
      </c>
      <c r="AD739" s="91">
        <v>5150.4501950000003</v>
      </c>
      <c r="AE739" s="91">
        <v>5054.7001950000003</v>
      </c>
      <c r="AF739" s="91">
        <v>5050.3251950000003</v>
      </c>
      <c r="AG739" s="91">
        <v>908085</v>
      </c>
      <c r="AH739" s="91">
        <v>-1.8499999999999999E-2</v>
      </c>
      <c r="AI739" s="91"/>
      <c r="AJ739" s="91">
        <f>(F739*'Part 3 Portfolio Analysis'!$B$8+M739*'Part 3 Portfolio Analysis'!$C$8+T739*'Part 3 Portfolio Analysis'!$D$8+AA739*'Part 3 Portfolio Analysis'!$E$8+AH739*'Part 3 Portfolio Analysis'!$F$8)/100</f>
        <v>1.9123152597294087E-2</v>
      </c>
      <c r="AK739" s="91">
        <f>'Part 3 Portfolio Analysis'!$B$107*F739+M739*'Part 3 Portfolio Analysis'!$C$107+T739*'Part 3 Portfolio Analysis'!$D$107+AA739*'Part 3 Portfolio Analysis'!$E$107+AH739*'Part 3 Portfolio Analysis'!$F$107</f>
        <v>9.7671000000000008E-3</v>
      </c>
      <c r="AL739" s="91">
        <f>F739*'Part 3 Portfolio Analysis'!$B$121+M739*'Part 3 Portfolio Analysis'!$C$121+'Part 3 Portfolio Analysis'!$D$121*T739+AA739*'Part 3 Portfolio Analysis'!$E$121+'Part 3 Portfolio Analysis'!$F$121*AH739</f>
        <v>1.5068939999999999E-2</v>
      </c>
      <c r="AM739" s="91"/>
      <c r="AN739" s="90">
        <v>45740</v>
      </c>
      <c r="AO739" s="91">
        <v>23515.400389999999</v>
      </c>
      <c r="AP739" s="91">
        <v>23658.349610000001</v>
      </c>
      <c r="AQ739" s="91">
        <v>23658.349610000001</v>
      </c>
      <c r="AR739" s="91">
        <v>311900</v>
      </c>
      <c r="AS739" s="91">
        <v>1.32E-2</v>
      </c>
    </row>
    <row r="740" spans="1:45" x14ac:dyDescent="0.55000000000000004">
      <c r="A740" s="90">
        <v>45741</v>
      </c>
      <c r="B740" s="91">
        <v>5700</v>
      </c>
      <c r="C740" s="91">
        <v>5496.9501950000003</v>
      </c>
      <c r="D740" s="91">
        <v>5435.4628910000001</v>
      </c>
      <c r="E740" s="91">
        <v>331857</v>
      </c>
      <c r="F740" s="91">
        <v>-2.3599999999999999E-2</v>
      </c>
      <c r="H740" s="90">
        <v>45741</v>
      </c>
      <c r="I740" s="91">
        <v>1307.6999510000001</v>
      </c>
      <c r="J740" s="91">
        <v>1285.4499510000001</v>
      </c>
      <c r="K740" s="91">
        <v>1280.3364260000001</v>
      </c>
      <c r="L740" s="91">
        <v>13713899</v>
      </c>
      <c r="M740" s="91">
        <v>-1.2800000000000001E-2</v>
      </c>
      <c r="O740" s="90">
        <v>45741</v>
      </c>
      <c r="P740" s="91">
        <v>902.45001219999995</v>
      </c>
      <c r="Q740" s="91">
        <v>910.72497559999999</v>
      </c>
      <c r="R740" s="91">
        <v>898.57891849999999</v>
      </c>
      <c r="S740" s="91">
        <v>39101416</v>
      </c>
      <c r="T740" s="91">
        <v>1.1900000000000001E-2</v>
      </c>
      <c r="V740" s="90">
        <v>45741</v>
      </c>
      <c r="W740" s="91">
        <v>1605</v>
      </c>
      <c r="X740" s="91">
        <v>1628.4499510000001</v>
      </c>
      <c r="Y740" s="91">
        <v>1581.642212</v>
      </c>
      <c r="Z740" s="91">
        <v>9890140</v>
      </c>
      <c r="AA740" s="91">
        <v>2.24E-2</v>
      </c>
      <c r="AB740" s="91"/>
      <c r="AC740" s="90">
        <v>45741</v>
      </c>
      <c r="AD740" s="91">
        <v>5121.4501950000003</v>
      </c>
      <c r="AE740" s="91">
        <v>5185.0498049999997</v>
      </c>
      <c r="AF740" s="91">
        <v>5180.5615230000003</v>
      </c>
      <c r="AG740" s="91">
        <v>1461587</v>
      </c>
      <c r="AH740" s="91">
        <v>2.58E-2</v>
      </c>
      <c r="AI740" s="91"/>
      <c r="AJ740" s="91">
        <f>(F740*'Part 3 Portfolio Analysis'!$B$8+M740*'Part 3 Portfolio Analysis'!$C$8+T740*'Part 3 Portfolio Analysis'!$D$8+AA740*'Part 3 Portfolio Analysis'!$E$8+AH740*'Part 3 Portfolio Analysis'!$F$8)/100</f>
        <v>-5.8776038023996028E-3</v>
      </c>
      <c r="AK740" s="91">
        <f>'Part 3 Portfolio Analysis'!$B$107*F740+M740*'Part 3 Portfolio Analysis'!$C$107+T740*'Part 3 Portfolio Analysis'!$D$107+AA740*'Part 3 Portfolio Analysis'!$E$107+AH740*'Part 3 Portfolio Analysis'!$F$107</f>
        <v>2.3317000000000008E-3</v>
      </c>
      <c r="AL740" s="91">
        <f>F740*'Part 3 Portfolio Analysis'!$B$121+M740*'Part 3 Portfolio Analysis'!$C$121+'Part 3 Portfolio Analysis'!$D$121*T740+AA740*'Part 3 Portfolio Analysis'!$E$121+'Part 3 Portfolio Analysis'!$F$121*AH740</f>
        <v>1.081960000000002E-3</v>
      </c>
      <c r="AM740" s="91"/>
      <c r="AN740" s="90">
        <v>45741</v>
      </c>
      <c r="AO740" s="91">
        <v>23751.5</v>
      </c>
      <c r="AP740" s="91">
        <v>23668.650389999999</v>
      </c>
      <c r="AQ740" s="91">
        <v>23668.650389999999</v>
      </c>
      <c r="AR740" s="91">
        <v>338200</v>
      </c>
      <c r="AS740" s="91">
        <v>4.0000000000000002E-4</v>
      </c>
    </row>
    <row r="741" spans="1:45" x14ac:dyDescent="0.55000000000000004">
      <c r="A741" s="90">
        <v>45742</v>
      </c>
      <c r="B741" s="91">
        <v>5520</v>
      </c>
      <c r="C741" s="91">
        <v>5567</v>
      </c>
      <c r="D741" s="91">
        <v>5504.7290039999998</v>
      </c>
      <c r="E741" s="91">
        <v>218301</v>
      </c>
      <c r="F741" s="91">
        <v>1.2699999999999999E-2</v>
      </c>
      <c r="H741" s="90">
        <v>45742</v>
      </c>
      <c r="I741" s="91">
        <v>1291</v>
      </c>
      <c r="J741" s="91">
        <v>1273.0500489999999</v>
      </c>
      <c r="K741" s="91">
        <v>1267.9858400000001</v>
      </c>
      <c r="L741" s="91">
        <v>12074747</v>
      </c>
      <c r="M741" s="91">
        <v>-9.5999999999999992E-3</v>
      </c>
      <c r="O741" s="90">
        <v>45742</v>
      </c>
      <c r="P741" s="91">
        <v>912.5</v>
      </c>
      <c r="Q741" s="91">
        <v>903.27502440000001</v>
      </c>
      <c r="R741" s="91">
        <v>891.22833249999996</v>
      </c>
      <c r="S741" s="91">
        <v>24478442</v>
      </c>
      <c r="T741" s="91">
        <v>-8.2000000000000007E-3</v>
      </c>
      <c r="V741" s="90">
        <v>45742</v>
      </c>
      <c r="W741" s="91">
        <v>1626</v>
      </c>
      <c r="X741" s="91">
        <v>1599.4499510000001</v>
      </c>
      <c r="Y741" s="91">
        <v>1553.475952</v>
      </c>
      <c r="Z741" s="91">
        <v>6651302</v>
      </c>
      <c r="AA741" s="91">
        <v>-1.78E-2</v>
      </c>
      <c r="AB741" s="91"/>
      <c r="AC741" s="90">
        <v>45742</v>
      </c>
      <c r="AD741" s="91">
        <v>5205</v>
      </c>
      <c r="AE741" s="91">
        <v>5321.9501950000003</v>
      </c>
      <c r="AF741" s="91">
        <v>5317.34375</v>
      </c>
      <c r="AG741" s="91">
        <v>1625697</v>
      </c>
      <c r="AH741" s="91">
        <v>2.64E-2</v>
      </c>
      <c r="AI741" s="91"/>
      <c r="AJ741" s="91">
        <f>(F741*'Part 3 Portfolio Analysis'!$B$8+M741*'Part 3 Portfolio Analysis'!$C$8+T741*'Part 3 Portfolio Analysis'!$D$8+AA741*'Part 3 Portfolio Analysis'!$E$8+AH741*'Part 3 Portfolio Analysis'!$F$8)/100</f>
        <v>-3.644268007561788E-3</v>
      </c>
      <c r="AK741" s="91">
        <f>'Part 3 Portfolio Analysis'!$B$107*F741+M741*'Part 3 Portfolio Analysis'!$C$107+T741*'Part 3 Portfolio Analysis'!$D$107+AA741*'Part 3 Portfolio Analysis'!$E$107+AH741*'Part 3 Portfolio Analysis'!$F$107</f>
        <v>2.8830000000000001E-3</v>
      </c>
      <c r="AL741" s="91">
        <f>F741*'Part 3 Portfolio Analysis'!$B$121+M741*'Part 3 Portfolio Analysis'!$C$121+'Part 3 Portfolio Analysis'!$D$121*T741+AA741*'Part 3 Portfolio Analysis'!$E$121+'Part 3 Portfolio Analysis'!$F$121*AH741</f>
        <v>-8.0829400000000003E-3</v>
      </c>
      <c r="AM741" s="91"/>
      <c r="AN741" s="90">
        <v>45742</v>
      </c>
      <c r="AO741" s="91">
        <v>23700.949219999999</v>
      </c>
      <c r="AP741" s="91">
        <v>23486.849610000001</v>
      </c>
      <c r="AQ741" s="91">
        <v>23486.849610000001</v>
      </c>
      <c r="AR741" s="91">
        <v>278600</v>
      </c>
      <c r="AS741" s="91">
        <v>-7.7000000000000002E-3</v>
      </c>
    </row>
    <row r="742" spans="1:45" x14ac:dyDescent="0.55000000000000004">
      <c r="A742" s="90">
        <v>45743</v>
      </c>
      <c r="B742" s="91">
        <v>5500</v>
      </c>
      <c r="C742" s="91">
        <v>5417.7998049999997</v>
      </c>
      <c r="D742" s="91">
        <v>5357.1977539999998</v>
      </c>
      <c r="E742" s="91">
        <v>356071</v>
      </c>
      <c r="F742" s="91">
        <v>-2.6800000000000001E-2</v>
      </c>
      <c r="H742" s="90">
        <v>45743</v>
      </c>
      <c r="I742" s="91">
        <v>1278.150024</v>
      </c>
      <c r="J742" s="91">
        <v>1278.1999510000001</v>
      </c>
      <c r="K742" s="91">
        <v>1273.1152340000001</v>
      </c>
      <c r="L742" s="91">
        <v>15028056</v>
      </c>
      <c r="M742" s="91">
        <v>4.0000000000000001E-3</v>
      </c>
      <c r="O742" s="90">
        <v>45743</v>
      </c>
      <c r="P742" s="91">
        <v>900</v>
      </c>
      <c r="Q742" s="91">
        <v>912.67498780000005</v>
      </c>
      <c r="R742" s="91">
        <v>900.50292969999998</v>
      </c>
      <c r="S742" s="91">
        <v>41658100</v>
      </c>
      <c r="T742" s="91">
        <v>1.04E-2</v>
      </c>
      <c r="V742" s="90">
        <v>45743</v>
      </c>
      <c r="W742" s="91">
        <v>1595.5500489999999</v>
      </c>
      <c r="X742" s="91">
        <v>1603.5500489999999</v>
      </c>
      <c r="Y742" s="91">
        <v>1557.45813</v>
      </c>
      <c r="Z742" s="91">
        <v>9426573</v>
      </c>
      <c r="AA742" s="91">
        <v>2.5999999999999999E-3</v>
      </c>
      <c r="AB742" s="91"/>
      <c r="AC742" s="90">
        <v>45743</v>
      </c>
      <c r="AD742" s="91">
        <v>5359</v>
      </c>
      <c r="AE742" s="91">
        <v>5422.2998049999997</v>
      </c>
      <c r="AF742" s="91">
        <v>5417.6064450000003</v>
      </c>
      <c r="AG742" s="91">
        <v>1670468</v>
      </c>
      <c r="AH742" s="91">
        <v>1.89E-2</v>
      </c>
      <c r="AI742" s="91"/>
      <c r="AJ742" s="91">
        <f>(F742*'Part 3 Portfolio Analysis'!$B$8+M742*'Part 3 Portfolio Analysis'!$C$8+T742*'Part 3 Portfolio Analysis'!$D$8+AA742*'Part 3 Portfolio Analysis'!$E$8+AH742*'Part 3 Portfolio Analysis'!$F$8)/100</f>
        <v>-4.2520791226930664E-3</v>
      </c>
      <c r="AK742" s="91">
        <f>'Part 3 Portfolio Analysis'!$B$107*F742+M742*'Part 3 Portfolio Analysis'!$C$107+T742*'Part 3 Portfolio Analysis'!$D$107+AA742*'Part 3 Portfolio Analysis'!$E$107+AH742*'Part 3 Portfolio Analysis'!$F$107</f>
        <v>3.0628000000000001E-3</v>
      </c>
      <c r="AL742" s="91">
        <f>F742*'Part 3 Portfolio Analysis'!$B$121+M742*'Part 3 Portfolio Analysis'!$C$121+'Part 3 Portfolio Analysis'!$D$121*T742+AA742*'Part 3 Portfolio Analysis'!$E$121+'Part 3 Portfolio Analysis'!$F$121*AH742</f>
        <v>3.3194200000000004E-3</v>
      </c>
      <c r="AM742" s="91"/>
      <c r="AN742" s="90">
        <v>45743</v>
      </c>
      <c r="AO742" s="91">
        <v>23433.949219999999</v>
      </c>
      <c r="AP742" s="91">
        <v>23591.949219999999</v>
      </c>
      <c r="AQ742" s="91">
        <v>23591.949219999999</v>
      </c>
      <c r="AR742" s="91">
        <v>510300</v>
      </c>
      <c r="AS742" s="91">
        <v>4.4999999999999997E-3</v>
      </c>
    </row>
    <row r="743" spans="1:45" x14ac:dyDescent="0.55000000000000004">
      <c r="A743" s="90">
        <v>45744</v>
      </c>
      <c r="B743" s="91">
        <v>5398.0498049999997</v>
      </c>
      <c r="C743" s="91">
        <v>5214.6000979999999</v>
      </c>
      <c r="D743" s="91">
        <v>5156.2709960000002</v>
      </c>
      <c r="E743" s="91">
        <v>529718</v>
      </c>
      <c r="F743" s="91">
        <v>-3.7499999999999999E-2</v>
      </c>
      <c r="H743" s="90">
        <v>45744</v>
      </c>
      <c r="I743" s="91">
        <v>1280</v>
      </c>
      <c r="J743" s="91">
        <v>1275.099976</v>
      </c>
      <c r="K743" s="91">
        <v>1270.0275879999999</v>
      </c>
      <c r="L743" s="91">
        <v>18147129</v>
      </c>
      <c r="M743" s="91">
        <v>-2.3999999999999998E-3</v>
      </c>
      <c r="O743" s="90">
        <v>45744</v>
      </c>
      <c r="P743" s="91">
        <v>914.5</v>
      </c>
      <c r="Q743" s="91">
        <v>914.09997559999999</v>
      </c>
      <c r="R743" s="91">
        <v>901.90887450000002</v>
      </c>
      <c r="S743" s="91">
        <v>28773648</v>
      </c>
      <c r="T743" s="91">
        <v>1.6000000000000001E-3</v>
      </c>
      <c r="V743" s="90">
        <v>45744</v>
      </c>
      <c r="W743" s="91">
        <v>1590</v>
      </c>
      <c r="X743" s="91">
        <v>1570.650024</v>
      </c>
      <c r="Y743" s="91">
        <v>1525.503784</v>
      </c>
      <c r="Z743" s="91">
        <v>6799047</v>
      </c>
      <c r="AA743" s="91">
        <v>-2.0500000000000001E-2</v>
      </c>
      <c r="AB743" s="91"/>
      <c r="AC743" s="90">
        <v>45744</v>
      </c>
      <c r="AD743" s="91">
        <v>5422.9501950000003</v>
      </c>
      <c r="AE743" s="91">
        <v>5325.1499020000001</v>
      </c>
      <c r="AF743" s="91">
        <v>5320.5405270000001</v>
      </c>
      <c r="AG743" s="91">
        <v>1535964</v>
      </c>
      <c r="AH743" s="91">
        <v>-1.7899999999999999E-2</v>
      </c>
      <c r="AI743" s="91"/>
      <c r="AJ743" s="91">
        <f>(F743*'Part 3 Portfolio Analysis'!$B$8+M743*'Part 3 Portfolio Analysis'!$C$8+T743*'Part 3 Portfolio Analysis'!$D$8+AA743*'Part 3 Portfolio Analysis'!$E$8+AH743*'Part 3 Portfolio Analysis'!$F$8)/100</f>
        <v>-1.5327137563808038E-2</v>
      </c>
      <c r="AK743" s="91">
        <f>'Part 3 Portfolio Analysis'!$B$107*F743+M743*'Part 3 Portfolio Analysis'!$C$107+T743*'Part 3 Portfolio Analysis'!$D$107+AA743*'Part 3 Portfolio Analysis'!$E$107+AH743*'Part 3 Portfolio Analysis'!$F$107</f>
        <v>-1.3814E-2</v>
      </c>
      <c r="AL743" s="91">
        <f>F743*'Part 3 Portfolio Analysis'!$B$121+M743*'Part 3 Portfolio Analysis'!$C$121+'Part 3 Portfolio Analysis'!$D$121*T743+AA743*'Part 3 Portfolio Analysis'!$E$121+'Part 3 Portfolio Analysis'!$F$121*AH743</f>
        <v>-8.2233199999999992E-3</v>
      </c>
      <c r="AM743" s="91"/>
      <c r="AN743" s="90">
        <v>45744</v>
      </c>
      <c r="AO743" s="91">
        <v>23600.400389999999</v>
      </c>
      <c r="AP743" s="91">
        <v>23519.349610000001</v>
      </c>
      <c r="AQ743" s="91">
        <v>23519.349610000001</v>
      </c>
      <c r="AR743" s="91">
        <v>295400</v>
      </c>
      <c r="AS743" s="91">
        <v>-3.0999999999999999E-3</v>
      </c>
    </row>
    <row r="744" spans="1:45" x14ac:dyDescent="0.55000000000000004">
      <c r="A744" s="90">
        <v>45748</v>
      </c>
      <c r="B744" s="91">
        <v>5195.6000979999999</v>
      </c>
      <c r="C744" s="91">
        <v>5069.6000979999999</v>
      </c>
      <c r="D744" s="91">
        <v>5012.8930659999996</v>
      </c>
      <c r="E744" s="91">
        <v>424060</v>
      </c>
      <c r="F744" s="91">
        <v>-2.7799999999999998E-2</v>
      </c>
      <c r="H744" s="90">
        <v>45748</v>
      </c>
      <c r="I744" s="91">
        <v>1264.599976</v>
      </c>
      <c r="J744" s="91">
        <v>1252.599976</v>
      </c>
      <c r="K744" s="91">
        <v>1247.6170649999999</v>
      </c>
      <c r="L744" s="91">
        <v>12099648</v>
      </c>
      <c r="M744" s="91">
        <v>-1.7600000000000001E-2</v>
      </c>
      <c r="O744" s="90">
        <v>45748</v>
      </c>
      <c r="P744" s="91">
        <v>901</v>
      </c>
      <c r="Q744" s="91">
        <v>883.92498780000005</v>
      </c>
      <c r="R744" s="91">
        <v>872.13635250000004</v>
      </c>
      <c r="S744" s="91">
        <v>28511006</v>
      </c>
      <c r="T744" s="91">
        <v>-3.3000000000000002E-2</v>
      </c>
      <c r="V744" s="90">
        <v>45748</v>
      </c>
      <c r="W744" s="91">
        <v>1539.25</v>
      </c>
      <c r="X744" s="91">
        <v>1526.5</v>
      </c>
      <c r="Y744" s="91">
        <v>1482.6226810000001</v>
      </c>
      <c r="Z744" s="91">
        <v>12680733</v>
      </c>
      <c r="AA744" s="91">
        <v>-2.81E-2</v>
      </c>
      <c r="AB744" s="91"/>
      <c r="AC744" s="90">
        <v>45748</v>
      </c>
      <c r="AD744" s="91">
        <v>5350.8500979999999</v>
      </c>
      <c r="AE744" s="91">
        <v>5576.75</v>
      </c>
      <c r="AF744" s="91">
        <v>5571.9228519999997</v>
      </c>
      <c r="AG744" s="91">
        <v>2260895</v>
      </c>
      <c r="AH744" s="91">
        <v>4.7199999999999999E-2</v>
      </c>
      <c r="AI744" s="91"/>
      <c r="AJ744" s="91">
        <f>(F744*'Part 3 Portfolio Analysis'!$B$8+M744*'Part 3 Portfolio Analysis'!$C$8+T744*'Part 3 Portfolio Analysis'!$D$8+AA744*'Part 3 Portfolio Analysis'!$E$8+AH744*'Part 3 Portfolio Analysis'!$F$8)/100</f>
        <v>-2.4285388997627139E-2</v>
      </c>
      <c r="AK744" s="91">
        <f>'Part 3 Portfolio Analysis'!$B$107*F744+M744*'Part 3 Portfolio Analysis'!$C$107+T744*'Part 3 Portfolio Analysis'!$D$107+AA744*'Part 3 Portfolio Analysis'!$E$107+AH744*'Part 3 Portfolio Analysis'!$F$107</f>
        <v>-6.5434000000000013E-3</v>
      </c>
      <c r="AL744" s="91">
        <f>F744*'Part 3 Portfolio Analysis'!$B$121+M744*'Part 3 Portfolio Analysis'!$C$121+'Part 3 Portfolio Analysis'!$D$121*T744+AA744*'Part 3 Portfolio Analysis'!$E$121+'Part 3 Portfolio Analysis'!$F$121*AH744</f>
        <v>-2.3029480000000001E-2</v>
      </c>
      <c r="AM744" s="91"/>
      <c r="AN744" s="90">
        <v>45748</v>
      </c>
      <c r="AO744" s="91">
        <v>23341.099610000001</v>
      </c>
      <c r="AP744" s="91">
        <v>23165.699219999999</v>
      </c>
      <c r="AQ744" s="91">
        <v>23165.699219999999</v>
      </c>
      <c r="AR744" s="91">
        <v>314300</v>
      </c>
      <c r="AS744" s="91">
        <v>-1.4999999999999999E-2</v>
      </c>
    </row>
    <row r="745" spans="1:45" x14ac:dyDescent="0.55000000000000004">
      <c r="A745" s="90">
        <v>45749</v>
      </c>
      <c r="B745" s="91">
        <v>5092.1499020000001</v>
      </c>
      <c r="C745" s="91">
        <v>5229.9501950000003</v>
      </c>
      <c r="D745" s="91">
        <v>5171.4497069999998</v>
      </c>
      <c r="E745" s="91">
        <v>278492</v>
      </c>
      <c r="F745" s="91">
        <v>3.1600000000000003E-2</v>
      </c>
      <c r="H745" s="90">
        <v>45749</v>
      </c>
      <c r="I745" s="91">
        <v>1247.5500489999999</v>
      </c>
      <c r="J745" s="91">
        <v>1251.150024</v>
      </c>
      <c r="K745" s="91">
        <v>1246.1729740000001</v>
      </c>
      <c r="L745" s="91">
        <v>10142590</v>
      </c>
      <c r="M745" s="91">
        <v>-1.1999999999999999E-3</v>
      </c>
      <c r="O745" s="90">
        <v>45749</v>
      </c>
      <c r="P745" s="91">
        <v>885.34997559999999</v>
      </c>
      <c r="Q745" s="91">
        <v>898.45001219999995</v>
      </c>
      <c r="R745" s="91">
        <v>886.46765140000002</v>
      </c>
      <c r="S745" s="91">
        <v>11573564</v>
      </c>
      <c r="T745" s="91">
        <v>1.6400000000000001E-2</v>
      </c>
      <c r="V745" s="90">
        <v>45749</v>
      </c>
      <c r="W745" s="91">
        <v>1535.1999510000001</v>
      </c>
      <c r="X745" s="91">
        <v>1550.150024</v>
      </c>
      <c r="Y745" s="91">
        <v>1505.593018</v>
      </c>
      <c r="Z745" s="91">
        <v>6193478</v>
      </c>
      <c r="AA745" s="91">
        <v>1.55E-2</v>
      </c>
      <c r="AB745" s="91"/>
      <c r="AC745" s="90">
        <v>45749</v>
      </c>
      <c r="AD745" s="91">
        <v>5630.5498049999997</v>
      </c>
      <c r="AE745" s="91">
        <v>5682.5</v>
      </c>
      <c r="AF745" s="91">
        <v>5677.5815430000002</v>
      </c>
      <c r="AG745" s="91">
        <v>1491897</v>
      </c>
      <c r="AH745" s="91">
        <v>1.9E-2</v>
      </c>
      <c r="AI745" s="91"/>
      <c r="AJ745" s="91">
        <f>(F745*'Part 3 Portfolio Analysis'!$B$8+M745*'Part 3 Portfolio Analysis'!$C$8+T745*'Part 3 Portfolio Analysis'!$D$8+AA745*'Part 3 Portfolio Analysis'!$E$8+AH745*'Part 3 Portfolio Analysis'!$F$8)/100</f>
        <v>1.4460920800294102E-2</v>
      </c>
      <c r="AK745" s="91">
        <f>'Part 3 Portfolio Analysis'!$B$107*F745+M745*'Part 3 Portfolio Analysis'!$C$107+T745*'Part 3 Portfolio Analysis'!$D$107+AA745*'Part 3 Portfolio Analysis'!$E$107+AH745*'Part 3 Portfolio Analysis'!$F$107</f>
        <v>1.4192400000000001E-2</v>
      </c>
      <c r="AL745" s="91">
        <f>F745*'Part 3 Portfolio Analysis'!$B$121+M745*'Part 3 Portfolio Analysis'!$C$121+'Part 3 Portfolio Analysis'!$D$121*T745+AA745*'Part 3 Portfolio Analysis'!$E$121+'Part 3 Portfolio Analysis'!$F$121*AH745</f>
        <v>1.0152600000000001E-2</v>
      </c>
      <c r="AM745" s="91"/>
      <c r="AN745" s="90">
        <v>45749</v>
      </c>
      <c r="AO745" s="91">
        <v>23192.599610000001</v>
      </c>
      <c r="AP745" s="91">
        <v>23332.349610000001</v>
      </c>
      <c r="AQ745" s="91">
        <v>23332.349610000001</v>
      </c>
      <c r="AR745" s="91">
        <v>341000</v>
      </c>
      <c r="AS745" s="91">
        <v>7.1999999999999998E-3</v>
      </c>
    </row>
    <row r="746" spans="1:45" x14ac:dyDescent="0.55000000000000004">
      <c r="A746" s="90">
        <v>45750</v>
      </c>
      <c r="B746" s="91">
        <v>5180</v>
      </c>
      <c r="C746" s="91">
        <v>5194.3999020000001</v>
      </c>
      <c r="D746" s="91">
        <v>5136.296875</v>
      </c>
      <c r="E746" s="91">
        <v>306377</v>
      </c>
      <c r="F746" s="91">
        <v>-6.7999999999999996E-3</v>
      </c>
      <c r="H746" s="90">
        <v>45750</v>
      </c>
      <c r="I746" s="91">
        <v>1233.0500489999999</v>
      </c>
      <c r="J746" s="91">
        <v>1248.6999510000001</v>
      </c>
      <c r="K746" s="91">
        <v>1243.7326660000001</v>
      </c>
      <c r="L746" s="91">
        <v>7434366</v>
      </c>
      <c r="M746" s="91">
        <v>-2E-3</v>
      </c>
      <c r="O746" s="90">
        <v>45750</v>
      </c>
      <c r="P746" s="91">
        <v>890.54998780000005</v>
      </c>
      <c r="Q746" s="91">
        <v>897.42498780000005</v>
      </c>
      <c r="R746" s="91">
        <v>885.45629880000001</v>
      </c>
      <c r="S746" s="91">
        <v>11250038</v>
      </c>
      <c r="T746" s="91">
        <v>-1.1000000000000001E-3</v>
      </c>
      <c r="V746" s="90">
        <v>45750</v>
      </c>
      <c r="W746" s="91">
        <v>1534.650024</v>
      </c>
      <c r="X746" s="91">
        <v>1496.5</v>
      </c>
      <c r="Y746" s="91">
        <v>1453.4849850000001</v>
      </c>
      <c r="Z746" s="91">
        <v>10459504</v>
      </c>
      <c r="AA746" s="91">
        <v>-3.4599999999999999E-2</v>
      </c>
      <c r="AB746" s="91"/>
      <c r="AC746" s="90">
        <v>45750</v>
      </c>
      <c r="AD746" s="91">
        <v>5630</v>
      </c>
      <c r="AE746" s="91">
        <v>5675.2998049999997</v>
      </c>
      <c r="AF746" s="91">
        <v>5670.3872069999998</v>
      </c>
      <c r="AG746" s="91">
        <v>960710</v>
      </c>
      <c r="AH746" s="91">
        <v>-1.2999999999999999E-3</v>
      </c>
      <c r="AI746" s="91"/>
      <c r="AJ746" s="91">
        <f>(F746*'Part 3 Portfolio Analysis'!$B$8+M746*'Part 3 Portfolio Analysis'!$C$8+T746*'Part 3 Portfolio Analysis'!$D$8+AA746*'Part 3 Portfolio Analysis'!$E$8+AH746*'Part 3 Portfolio Analysis'!$F$8)/100</f>
        <v>-8.5294614303753138E-3</v>
      </c>
      <c r="AK746" s="91">
        <f>'Part 3 Portfolio Analysis'!$B$107*F746+M746*'Part 3 Portfolio Analysis'!$C$107+T746*'Part 3 Portfolio Analysis'!$D$107+AA746*'Part 3 Portfolio Analysis'!$E$107+AH746*'Part 3 Portfolio Analysis'!$F$107</f>
        <v>-5.8080999999999992E-3</v>
      </c>
      <c r="AL746" s="91">
        <f>F746*'Part 3 Portfolio Analysis'!$B$121+M746*'Part 3 Portfolio Analysis'!$C$121+'Part 3 Portfolio Analysis'!$D$121*T746+AA746*'Part 3 Portfolio Analysis'!$E$121+'Part 3 Portfolio Analysis'!$F$121*AH746</f>
        <v>-8.6514199999999999E-3</v>
      </c>
      <c r="AM746" s="91"/>
      <c r="AN746" s="90">
        <v>45750</v>
      </c>
      <c r="AO746" s="91">
        <v>23150.300780000001</v>
      </c>
      <c r="AP746" s="91">
        <v>23250.099610000001</v>
      </c>
      <c r="AQ746" s="91">
        <v>23250.099610000001</v>
      </c>
      <c r="AR746" s="91">
        <v>283200</v>
      </c>
      <c r="AS746" s="91">
        <v>-3.5000000000000001E-3</v>
      </c>
    </row>
    <row r="747" spans="1:45" x14ac:dyDescent="0.55000000000000004">
      <c r="A747" s="90">
        <v>45751</v>
      </c>
      <c r="B747" s="91">
        <v>5180</v>
      </c>
      <c r="C747" s="91">
        <v>5056.6499020000001</v>
      </c>
      <c r="D747" s="91">
        <v>5000.0878910000001</v>
      </c>
      <c r="E747" s="91">
        <v>323433</v>
      </c>
      <c r="F747" s="91">
        <v>-2.6499999999999999E-2</v>
      </c>
      <c r="H747" s="90">
        <v>45751</v>
      </c>
      <c r="I747" s="91">
        <v>1241.099976</v>
      </c>
      <c r="J747" s="91">
        <v>1204.6999510000001</v>
      </c>
      <c r="K747" s="91">
        <v>1199.9075929999999</v>
      </c>
      <c r="L747" s="91">
        <v>17908652</v>
      </c>
      <c r="M747" s="91">
        <v>-3.5200000000000002E-2</v>
      </c>
      <c r="O747" s="90">
        <v>45751</v>
      </c>
      <c r="P747" s="91">
        <v>906.5</v>
      </c>
      <c r="Q747" s="91">
        <v>908.65002440000001</v>
      </c>
      <c r="R747" s="91">
        <v>896.53167719999999</v>
      </c>
      <c r="S747" s="91">
        <v>33540454</v>
      </c>
      <c r="T747" s="91">
        <v>1.2500000000000001E-2</v>
      </c>
      <c r="V747" s="90">
        <v>45751</v>
      </c>
      <c r="W747" s="91">
        <v>1460.5</v>
      </c>
      <c r="X747" s="91">
        <v>1451.650024</v>
      </c>
      <c r="Y747" s="91">
        <v>1409.9241939999999</v>
      </c>
      <c r="Z747" s="91">
        <v>9590254</v>
      </c>
      <c r="AA747" s="91">
        <v>-0.03</v>
      </c>
      <c r="AB747" s="91"/>
      <c r="AC747" s="90">
        <v>45751</v>
      </c>
      <c r="AD747" s="91">
        <v>5688</v>
      </c>
      <c r="AE747" s="91">
        <v>5562.8500979999999</v>
      </c>
      <c r="AF747" s="91">
        <v>5558.0351559999999</v>
      </c>
      <c r="AG747" s="91">
        <v>680922</v>
      </c>
      <c r="AH747" s="91">
        <v>-1.9800000000000002E-2</v>
      </c>
      <c r="AI747" s="91"/>
      <c r="AJ747" s="91">
        <f>(F747*'Part 3 Portfolio Analysis'!$B$8+M747*'Part 3 Portfolio Analysis'!$C$8+T747*'Part 3 Portfolio Analysis'!$D$8+AA747*'Part 3 Portfolio Analysis'!$E$8+AH747*'Part 3 Portfolio Analysis'!$F$8)/100</f>
        <v>-2.3645666235104192E-2</v>
      </c>
      <c r="AK747" s="91">
        <f>'Part 3 Portfolio Analysis'!$B$107*F747+M747*'Part 3 Portfolio Analysis'!$C$107+T747*'Part 3 Portfolio Analysis'!$D$107+AA747*'Part 3 Portfolio Analysis'!$E$107+AH747*'Part 3 Portfolio Analysis'!$F$107</f>
        <v>-2.18397E-2</v>
      </c>
      <c r="AL747" s="91">
        <f>F747*'Part 3 Portfolio Analysis'!$B$121+M747*'Part 3 Portfolio Analysis'!$C$121+'Part 3 Portfolio Analysis'!$D$121*T747+AA747*'Part 3 Portfolio Analysis'!$E$121+'Part 3 Portfolio Analysis'!$F$121*AH747</f>
        <v>-2.0066979999999998E-2</v>
      </c>
      <c r="AM747" s="91"/>
      <c r="AN747" s="90">
        <v>45751</v>
      </c>
      <c r="AO747" s="91">
        <v>23190.400389999999</v>
      </c>
      <c r="AP747" s="91">
        <v>22904.449219999999</v>
      </c>
      <c r="AQ747" s="91">
        <v>22904.449219999999</v>
      </c>
      <c r="AR747" s="91">
        <v>466800</v>
      </c>
      <c r="AS747" s="91">
        <v>-1.49E-2</v>
      </c>
    </row>
    <row r="748" spans="1:45" x14ac:dyDescent="0.55000000000000004">
      <c r="A748" s="90">
        <v>45754</v>
      </c>
      <c r="B748" s="91">
        <v>4790</v>
      </c>
      <c r="C748" s="91">
        <v>4808.2998049999997</v>
      </c>
      <c r="D748" s="91">
        <v>4754.515625</v>
      </c>
      <c r="E748" s="91">
        <v>345270</v>
      </c>
      <c r="F748" s="91">
        <v>-4.9099999999999998E-2</v>
      </c>
      <c r="H748" s="90">
        <v>45754</v>
      </c>
      <c r="I748" s="91">
        <v>1132.1999510000001</v>
      </c>
      <c r="J748" s="91">
        <v>1165.6999510000001</v>
      </c>
      <c r="K748" s="91">
        <v>1161.0627440000001</v>
      </c>
      <c r="L748" s="91">
        <v>22156106</v>
      </c>
      <c r="M748" s="91">
        <v>-3.2399999999999998E-2</v>
      </c>
      <c r="O748" s="90">
        <v>45754</v>
      </c>
      <c r="P748" s="91">
        <v>881.40002440000001</v>
      </c>
      <c r="Q748" s="91">
        <v>878.84997559999999</v>
      </c>
      <c r="R748" s="91">
        <v>867.1289673</v>
      </c>
      <c r="S748" s="91">
        <v>37995450</v>
      </c>
      <c r="T748" s="91">
        <v>-3.2800000000000003E-2</v>
      </c>
      <c r="V748" s="90">
        <v>45754</v>
      </c>
      <c r="W748" s="91">
        <v>1352</v>
      </c>
      <c r="X748" s="91">
        <v>1396.75</v>
      </c>
      <c r="Y748" s="91">
        <v>1356.6022949999999</v>
      </c>
      <c r="Z748" s="91">
        <v>21715252</v>
      </c>
      <c r="AA748" s="91">
        <v>-3.78E-2</v>
      </c>
      <c r="AB748" s="91"/>
      <c r="AC748" s="90">
        <v>45754</v>
      </c>
      <c r="AD748" s="91">
        <v>5006.6000979999999</v>
      </c>
      <c r="AE748" s="91">
        <v>4740.9501950000003</v>
      </c>
      <c r="AF748" s="91">
        <v>4736.8466799999997</v>
      </c>
      <c r="AG748" s="91">
        <v>7644740</v>
      </c>
      <c r="AH748" s="91">
        <v>-0.1477</v>
      </c>
      <c r="AI748" s="91"/>
      <c r="AJ748" s="91">
        <f>(F748*'Part 3 Portfolio Analysis'!$B$8+M748*'Part 3 Portfolio Analysis'!$C$8+T748*'Part 3 Portfolio Analysis'!$D$8+AA748*'Part 3 Portfolio Analysis'!$E$8+AH748*'Part 3 Portfolio Analysis'!$F$8)/100</f>
        <v>-3.9472662069145896E-2</v>
      </c>
      <c r="AK748" s="91">
        <f>'Part 3 Portfolio Analysis'!$B$107*F748+M748*'Part 3 Portfolio Analysis'!$C$107+T748*'Part 3 Portfolio Analysis'!$D$107+AA748*'Part 3 Portfolio Analysis'!$E$107+AH748*'Part 3 Portfolio Analysis'!$F$107</f>
        <v>-6.5063599999999999E-2</v>
      </c>
      <c r="AL748" s="91">
        <f>F748*'Part 3 Portfolio Analysis'!$B$121+M748*'Part 3 Portfolio Analysis'!$C$121+'Part 3 Portfolio Analysis'!$D$121*T748+AA748*'Part 3 Portfolio Analysis'!$E$121+'Part 3 Portfolio Analysis'!$F$121*AH748</f>
        <v>-3.7982399999999999E-2</v>
      </c>
      <c r="AM748" s="91"/>
      <c r="AN748" s="90">
        <v>45754</v>
      </c>
      <c r="AO748" s="91">
        <v>21758.400389999999</v>
      </c>
      <c r="AP748" s="91">
        <v>22161.599610000001</v>
      </c>
      <c r="AQ748" s="91">
        <v>22161.599610000001</v>
      </c>
      <c r="AR748" s="91">
        <v>647100</v>
      </c>
      <c r="AS748" s="91">
        <v>-3.2399999999999998E-2</v>
      </c>
    </row>
    <row r="749" spans="1:45" x14ac:dyDescent="0.55000000000000004">
      <c r="A749" s="90">
        <v>45755</v>
      </c>
      <c r="B749" s="91">
        <v>4910.0498049999997</v>
      </c>
      <c r="C749" s="91">
        <v>4869.3999020000001</v>
      </c>
      <c r="D749" s="91">
        <v>4814.9321289999998</v>
      </c>
      <c r="E749" s="91">
        <v>246320</v>
      </c>
      <c r="F749" s="91">
        <v>1.2699999999999999E-2</v>
      </c>
      <c r="H749" s="90">
        <v>45755</v>
      </c>
      <c r="I749" s="91">
        <v>1172</v>
      </c>
      <c r="J749" s="91">
        <v>1182.1999510000001</v>
      </c>
      <c r="K749" s="91">
        <v>1177.497192</v>
      </c>
      <c r="L749" s="91">
        <v>19555040</v>
      </c>
      <c r="M749" s="91">
        <v>1.4200000000000001E-2</v>
      </c>
      <c r="O749" s="90">
        <v>45755</v>
      </c>
      <c r="P749" s="91">
        <v>882.5</v>
      </c>
      <c r="Q749" s="91">
        <v>884.57501219999995</v>
      </c>
      <c r="R749" s="91">
        <v>872.77770999999996</v>
      </c>
      <c r="S749" s="91">
        <v>35563872</v>
      </c>
      <c r="T749" s="91">
        <v>6.4999999999999997E-3</v>
      </c>
      <c r="V749" s="90">
        <v>45755</v>
      </c>
      <c r="W749" s="91">
        <v>1431</v>
      </c>
      <c r="X749" s="91">
        <v>1428.8000489999999</v>
      </c>
      <c r="Y749" s="91">
        <v>1387.7310789999999</v>
      </c>
      <c r="Z749" s="91">
        <v>12805001</v>
      </c>
      <c r="AA749" s="91">
        <v>2.29E-2</v>
      </c>
      <c r="AB749" s="91"/>
      <c r="AC749" s="90">
        <v>45755</v>
      </c>
      <c r="AD749" s="91">
        <v>4903</v>
      </c>
      <c r="AE749" s="91">
        <v>4767.2001950000003</v>
      </c>
      <c r="AF749" s="91">
        <v>4763.0737300000001</v>
      </c>
      <c r="AG749" s="91">
        <v>3035242</v>
      </c>
      <c r="AH749" s="91">
        <v>5.4999999999999997E-3</v>
      </c>
      <c r="AI749" s="91"/>
      <c r="AJ749" s="91">
        <f>(F749*'Part 3 Portfolio Analysis'!$B$8+M749*'Part 3 Portfolio Analysis'!$C$8+T749*'Part 3 Portfolio Analysis'!$D$8+AA749*'Part 3 Portfolio Analysis'!$E$8+AH749*'Part 3 Portfolio Analysis'!$F$8)/100</f>
        <v>1.3780633972539837E-2</v>
      </c>
      <c r="AK749" s="91">
        <f>'Part 3 Portfolio Analysis'!$B$107*F749+M749*'Part 3 Portfolio Analysis'!$C$107+T749*'Part 3 Portfolio Analysis'!$D$107+AA749*'Part 3 Portfolio Analysis'!$E$107+AH749*'Part 3 Portfolio Analysis'!$F$107</f>
        <v>1.14141E-2</v>
      </c>
      <c r="AL749" s="91">
        <f>F749*'Part 3 Portfolio Analysis'!$B$121+M749*'Part 3 Portfolio Analysis'!$C$121+'Part 3 Portfolio Analysis'!$D$121*T749+AA749*'Part 3 Portfolio Analysis'!$E$121+'Part 3 Portfolio Analysis'!$F$121*AH749</f>
        <v>1.3494359999999999E-2</v>
      </c>
      <c r="AM749" s="91"/>
      <c r="AN749" s="90">
        <v>45755</v>
      </c>
      <c r="AO749" s="91">
        <v>22446.75</v>
      </c>
      <c r="AP749" s="91">
        <v>22535.849610000001</v>
      </c>
      <c r="AQ749" s="91">
        <v>22535.849610000001</v>
      </c>
      <c r="AR749" s="91">
        <v>468300</v>
      </c>
      <c r="AS749" s="91">
        <v>1.6899999999999998E-2</v>
      </c>
    </row>
    <row r="750" spans="1:45" x14ac:dyDescent="0.55000000000000004">
      <c r="A750" s="90">
        <v>45756</v>
      </c>
      <c r="B750" s="91">
        <v>4857</v>
      </c>
      <c r="C750" s="91">
        <v>4755.75</v>
      </c>
      <c r="D750" s="91">
        <v>4702.5537109999996</v>
      </c>
      <c r="E750" s="91">
        <v>206934</v>
      </c>
      <c r="F750" s="91">
        <v>-2.3300000000000001E-2</v>
      </c>
      <c r="H750" s="90">
        <v>45756</v>
      </c>
      <c r="I750" s="91">
        <v>1169.5</v>
      </c>
      <c r="J750" s="91">
        <v>1185.349976</v>
      </c>
      <c r="K750" s="91">
        <v>1180.634644</v>
      </c>
      <c r="L750" s="91">
        <v>10223104</v>
      </c>
      <c r="M750" s="91">
        <v>2.7000000000000001E-3</v>
      </c>
      <c r="O750" s="90">
        <v>45756</v>
      </c>
      <c r="P750" s="91">
        <v>882.5</v>
      </c>
      <c r="Q750" s="91">
        <v>882.5</v>
      </c>
      <c r="R750" s="91">
        <v>870.73034670000004</v>
      </c>
      <c r="S750" s="91">
        <v>22454608</v>
      </c>
      <c r="T750" s="91">
        <v>-2.3E-3</v>
      </c>
      <c r="V750" s="90">
        <v>45756</v>
      </c>
      <c r="W750" s="91">
        <v>1405.0500489999999</v>
      </c>
      <c r="X750" s="91">
        <v>1403.6999510000001</v>
      </c>
      <c r="Y750" s="91">
        <v>1363.3524170000001</v>
      </c>
      <c r="Z750" s="91">
        <v>8546854</v>
      </c>
      <c r="AA750" s="91">
        <v>-1.7600000000000001E-2</v>
      </c>
      <c r="AB750" s="91"/>
      <c r="AC750" s="90">
        <v>45756</v>
      </c>
      <c r="AD750" s="91">
        <v>4767</v>
      </c>
      <c r="AE750" s="91">
        <v>4620.2001950000003</v>
      </c>
      <c r="AF750" s="91">
        <v>4616.201172</v>
      </c>
      <c r="AG750" s="91">
        <v>1598513</v>
      </c>
      <c r="AH750" s="91">
        <v>-3.0800000000000001E-2</v>
      </c>
      <c r="AI750" s="91"/>
      <c r="AJ750" s="91">
        <f>(F750*'Part 3 Portfolio Analysis'!$B$8+M750*'Part 3 Portfolio Analysis'!$C$8+T750*'Part 3 Portfolio Analysis'!$D$8+AA750*'Part 3 Portfolio Analysis'!$E$8+AH750*'Part 3 Portfolio Analysis'!$F$8)/100</f>
        <v>-9.5284304639514563E-3</v>
      </c>
      <c r="AK750" s="91">
        <f>'Part 3 Portfolio Analysis'!$B$107*F750+M750*'Part 3 Portfolio Analysis'!$C$107+T750*'Part 3 Portfolio Analysis'!$D$107+AA750*'Part 3 Portfolio Analysis'!$E$107+AH750*'Part 3 Portfolio Analysis'!$F$107</f>
        <v>-1.3227000000000001E-2</v>
      </c>
      <c r="AL750" s="91">
        <f>F750*'Part 3 Portfolio Analysis'!$B$121+M750*'Part 3 Portfolio Analysis'!$C$121+'Part 3 Portfolio Analysis'!$D$121*T750+AA750*'Part 3 Portfolio Analysis'!$E$121+'Part 3 Portfolio Analysis'!$F$121*AH750</f>
        <v>-5.7349000000000002E-3</v>
      </c>
      <c r="AM750" s="91"/>
      <c r="AN750" s="90">
        <v>45756</v>
      </c>
      <c r="AO750" s="91">
        <v>22460.300780000001</v>
      </c>
      <c r="AP750" s="91">
        <v>22399.150389999999</v>
      </c>
      <c r="AQ750" s="91">
        <v>22399.150389999999</v>
      </c>
      <c r="AR750" s="91">
        <v>383800</v>
      </c>
      <c r="AS750" s="91">
        <v>-6.1000000000000004E-3</v>
      </c>
    </row>
    <row r="751" spans="1:45" x14ac:dyDescent="0.55000000000000004">
      <c r="A751" s="90">
        <v>45758</v>
      </c>
      <c r="B751" s="91">
        <v>4762</v>
      </c>
      <c r="C751" s="91">
        <v>4752.0498049999997</v>
      </c>
      <c r="D751" s="91">
        <v>4698.8945309999999</v>
      </c>
      <c r="E751" s="91">
        <v>308561</v>
      </c>
      <c r="F751" s="91">
        <v>-8.0000000000000004E-4</v>
      </c>
      <c r="H751" s="90">
        <v>45758</v>
      </c>
      <c r="I751" s="91">
        <v>1195.150024</v>
      </c>
      <c r="J751" s="91">
        <v>1218.9499510000001</v>
      </c>
      <c r="K751" s="91">
        <v>1214.100952</v>
      </c>
      <c r="L751" s="91">
        <v>11224242</v>
      </c>
      <c r="M751" s="91">
        <v>2.8299999999999999E-2</v>
      </c>
      <c r="O751" s="90">
        <v>45758</v>
      </c>
      <c r="P751" s="91">
        <v>887.375</v>
      </c>
      <c r="Q751" s="91">
        <v>903.375</v>
      </c>
      <c r="R751" s="91">
        <v>891.32696529999998</v>
      </c>
      <c r="S751" s="91">
        <v>32775766</v>
      </c>
      <c r="T751" s="91">
        <v>2.3699999999999999E-2</v>
      </c>
      <c r="V751" s="90">
        <v>45758</v>
      </c>
      <c r="W751" s="91">
        <v>1411.25</v>
      </c>
      <c r="X751" s="91">
        <v>1409.4499510000001</v>
      </c>
      <c r="Y751" s="91">
        <v>1368.9372559999999</v>
      </c>
      <c r="Z751" s="91">
        <v>12567440</v>
      </c>
      <c r="AA751" s="91">
        <v>4.1000000000000003E-3</v>
      </c>
      <c r="AB751" s="91"/>
      <c r="AC751" s="90">
        <v>45758</v>
      </c>
      <c r="AD751" s="91">
        <v>4782.5</v>
      </c>
      <c r="AE751" s="91">
        <v>4780.5498049999997</v>
      </c>
      <c r="AF751" s="91">
        <v>4776.4116210000002</v>
      </c>
      <c r="AG751" s="91">
        <v>1894062</v>
      </c>
      <c r="AH751" s="91">
        <v>3.4700000000000002E-2</v>
      </c>
      <c r="AI751" s="91"/>
      <c r="AJ751" s="91">
        <f>(F751*'Part 3 Portfolio Analysis'!$B$8+M751*'Part 3 Portfolio Analysis'!$C$8+T751*'Part 3 Portfolio Analysis'!$D$8+AA751*'Part 3 Portfolio Analysis'!$E$8+AH751*'Part 3 Portfolio Analysis'!$F$8)/100</f>
        <v>1.4970620206132837E-2</v>
      </c>
      <c r="AK751" s="91">
        <f>'Part 3 Portfolio Analysis'!$B$107*F751+M751*'Part 3 Portfolio Analysis'!$C$107+T751*'Part 3 Portfolio Analysis'!$D$107+AA751*'Part 3 Portfolio Analysis'!$E$107+AH751*'Part 3 Portfolio Analysis'!$F$107</f>
        <v>2.15418E-2</v>
      </c>
      <c r="AL751" s="91">
        <f>F751*'Part 3 Portfolio Analysis'!$B$121+M751*'Part 3 Portfolio Analysis'!$C$121+'Part 3 Portfolio Analysis'!$D$121*T751+AA751*'Part 3 Portfolio Analysis'!$E$121+'Part 3 Portfolio Analysis'!$F$121*AH751</f>
        <v>1.9984459999999999E-2</v>
      </c>
      <c r="AM751" s="91"/>
      <c r="AN751" s="90">
        <v>45758</v>
      </c>
      <c r="AO751" s="91">
        <v>22695.400389999999</v>
      </c>
      <c r="AP751" s="91">
        <v>22828.550780000001</v>
      </c>
      <c r="AQ751" s="91">
        <v>22828.550780000001</v>
      </c>
      <c r="AR751" s="91">
        <v>402200</v>
      </c>
      <c r="AS751" s="91">
        <v>1.9199999999999998E-2</v>
      </c>
    </row>
    <row r="752" spans="1:45" x14ac:dyDescent="0.55000000000000004">
      <c r="A752" s="90">
        <v>45762</v>
      </c>
      <c r="B752" s="91">
        <v>4849</v>
      </c>
      <c r="C752" s="91">
        <v>4931</v>
      </c>
      <c r="D752" s="91">
        <v>4875.8432620000003</v>
      </c>
      <c r="E752" s="91">
        <v>334703</v>
      </c>
      <c r="F752" s="91">
        <v>3.7699999999999997E-2</v>
      </c>
      <c r="H752" s="90">
        <v>45762</v>
      </c>
      <c r="I752" s="91">
        <v>1251</v>
      </c>
      <c r="J752" s="91">
        <v>1240.099976</v>
      </c>
      <c r="K752" s="91">
        <v>1235.16687</v>
      </c>
      <c r="L752" s="91">
        <v>13378535</v>
      </c>
      <c r="M752" s="91">
        <v>1.7399999999999999E-2</v>
      </c>
      <c r="O752" s="90">
        <v>45762</v>
      </c>
      <c r="P752" s="91">
        <v>932.5</v>
      </c>
      <c r="Q752" s="91">
        <v>932.45001219999995</v>
      </c>
      <c r="R752" s="91">
        <v>920.01422119999995</v>
      </c>
      <c r="S752" s="91">
        <v>49298344</v>
      </c>
      <c r="T752" s="91">
        <v>3.2199999999999999E-2</v>
      </c>
      <c r="V752" s="90">
        <v>45762</v>
      </c>
      <c r="W752" s="91">
        <v>1445.599976</v>
      </c>
      <c r="X752" s="91">
        <v>1426</v>
      </c>
      <c r="Y752" s="91">
        <v>1385.011475</v>
      </c>
      <c r="Z752" s="91">
        <v>10178530</v>
      </c>
      <c r="AA752" s="91">
        <v>1.17E-2</v>
      </c>
      <c r="AB752" s="91"/>
      <c r="AC752" s="90">
        <v>45762</v>
      </c>
      <c r="AD752" s="91">
        <v>4879</v>
      </c>
      <c r="AE752" s="91">
        <v>4877</v>
      </c>
      <c r="AF752" s="91">
        <v>4872.7788090000004</v>
      </c>
      <c r="AG752" s="91">
        <v>1587931</v>
      </c>
      <c r="AH752" s="91">
        <v>2.0199999999999999E-2</v>
      </c>
      <c r="AI752" s="91"/>
      <c r="AJ752" s="91">
        <f>(F752*'Part 3 Portfolio Analysis'!$B$8+M752*'Part 3 Portfolio Analysis'!$C$8+T752*'Part 3 Portfolio Analysis'!$D$8+AA752*'Part 3 Portfolio Analysis'!$E$8+AH752*'Part 3 Portfolio Analysis'!$F$8)/100</f>
        <v>2.5068872689070133E-2</v>
      </c>
      <c r="AK752" s="91">
        <f>'Part 3 Portfolio Analysis'!$B$107*F752+M752*'Part 3 Portfolio Analysis'!$C$107+T752*'Part 3 Portfolio Analysis'!$D$107+AA752*'Part 3 Portfolio Analysis'!$E$107+AH752*'Part 3 Portfolio Analysis'!$F$107</f>
        <v>2.34836E-2</v>
      </c>
      <c r="AL752" s="91">
        <f>F752*'Part 3 Portfolio Analysis'!$B$121+M752*'Part 3 Portfolio Analysis'!$C$121+'Part 3 Portfolio Analysis'!$D$121*T752+AA752*'Part 3 Portfolio Analysis'!$E$121+'Part 3 Portfolio Analysis'!$F$121*AH752</f>
        <v>2.2027620000000005E-2</v>
      </c>
      <c r="AM752" s="91"/>
      <c r="AN752" s="90">
        <v>45762</v>
      </c>
      <c r="AO752" s="91">
        <v>23368.349610000001</v>
      </c>
      <c r="AP752" s="91">
        <v>23328.550780000001</v>
      </c>
      <c r="AQ752" s="91">
        <v>23328.550780000001</v>
      </c>
      <c r="AR752" s="91">
        <v>388300</v>
      </c>
      <c r="AS752" s="91">
        <v>2.1899999999999999E-2</v>
      </c>
    </row>
    <row r="753" spans="1:45" x14ac:dyDescent="0.55000000000000004">
      <c r="A753" s="90">
        <v>45763</v>
      </c>
      <c r="B753" s="91">
        <v>4948</v>
      </c>
      <c r="C753" s="91">
        <v>4929</v>
      </c>
      <c r="D753" s="91">
        <v>4873.8657229999999</v>
      </c>
      <c r="E753" s="91">
        <v>333482</v>
      </c>
      <c r="F753" s="91">
        <v>-4.0000000000000002E-4</v>
      </c>
      <c r="H753" s="90">
        <v>45763</v>
      </c>
      <c r="I753" s="91">
        <v>1234.099976</v>
      </c>
      <c r="J753" s="91">
        <v>1239.3000489999999</v>
      </c>
      <c r="K753" s="91">
        <v>1234.3701169999999</v>
      </c>
      <c r="L753" s="91">
        <v>8248464</v>
      </c>
      <c r="M753" s="91">
        <v>-5.9999999999999995E-4</v>
      </c>
      <c r="O753" s="90">
        <v>45763</v>
      </c>
      <c r="P753" s="91">
        <v>941.90002440000001</v>
      </c>
      <c r="Q753" s="91">
        <v>939</v>
      </c>
      <c r="R753" s="91">
        <v>926.47686769999996</v>
      </c>
      <c r="S753" s="91">
        <v>19136820</v>
      </c>
      <c r="T753" s="91">
        <v>7.0000000000000001E-3</v>
      </c>
      <c r="V753" s="90">
        <v>45763</v>
      </c>
      <c r="W753" s="91">
        <v>1425</v>
      </c>
      <c r="X753" s="91">
        <v>1413.099976</v>
      </c>
      <c r="Y753" s="91">
        <v>1372.4822999999999</v>
      </c>
      <c r="Z753" s="91">
        <v>12022740</v>
      </c>
      <c r="AA753" s="91">
        <v>-8.9999999999999993E-3</v>
      </c>
      <c r="AB753" s="91"/>
      <c r="AC753" s="90">
        <v>45763</v>
      </c>
      <c r="AD753" s="91">
        <v>4922</v>
      </c>
      <c r="AE753" s="91">
        <v>5035.5</v>
      </c>
      <c r="AF753" s="91">
        <v>5031.1416019999997</v>
      </c>
      <c r="AG753" s="91">
        <v>1589998</v>
      </c>
      <c r="AH753" s="91">
        <v>3.2500000000000001E-2</v>
      </c>
      <c r="AI753" s="91"/>
      <c r="AJ753" s="91">
        <f>(F753*'Part 3 Portfolio Analysis'!$B$8+M753*'Part 3 Portfolio Analysis'!$C$8+T753*'Part 3 Portfolio Analysis'!$D$8+AA753*'Part 3 Portfolio Analysis'!$E$8+AH753*'Part 3 Portfolio Analysis'!$F$8)/100</f>
        <v>-3.0055940958766158E-4</v>
      </c>
      <c r="AK753" s="91">
        <f>'Part 3 Portfolio Analysis'!$B$107*F753+M753*'Part 3 Portfolio Analysis'!$C$107+T753*'Part 3 Portfolio Analysis'!$D$107+AA753*'Part 3 Portfolio Analysis'!$E$107+AH753*'Part 3 Portfolio Analysis'!$F$107</f>
        <v>8.1152000000000012E-3</v>
      </c>
      <c r="AL753" s="91">
        <f>F753*'Part 3 Portfolio Analysis'!$B$121+M753*'Part 3 Portfolio Analysis'!$C$121+'Part 3 Portfolio Analysis'!$D$121*T753+AA753*'Part 3 Portfolio Analysis'!$E$121+'Part 3 Portfolio Analysis'!$F$121*AH753</f>
        <v>6.7086000000000034E-4</v>
      </c>
      <c r="AM753" s="91"/>
      <c r="AN753" s="90">
        <v>45763</v>
      </c>
      <c r="AO753" s="91">
        <v>23344.099610000001</v>
      </c>
      <c r="AP753" s="91">
        <v>23437.199219999999</v>
      </c>
      <c r="AQ753" s="91">
        <v>23437.199219999999</v>
      </c>
      <c r="AR753" s="91">
        <v>348400</v>
      </c>
      <c r="AS753" s="91">
        <v>4.7000000000000002E-3</v>
      </c>
    </row>
    <row r="754" spans="1:45" x14ac:dyDescent="0.55000000000000004">
      <c r="A754" s="90">
        <v>45764</v>
      </c>
      <c r="B754" s="91">
        <v>4906</v>
      </c>
      <c r="C754" s="91">
        <v>4900.5</v>
      </c>
      <c r="D754" s="91">
        <v>4845.6845700000003</v>
      </c>
      <c r="E754" s="91">
        <v>363566</v>
      </c>
      <c r="F754" s="91">
        <v>-5.7999999999999996E-3</v>
      </c>
      <c r="H754" s="90">
        <v>45764</v>
      </c>
      <c r="I754" s="91">
        <v>1240.1999510000001</v>
      </c>
      <c r="J754" s="91">
        <v>1274.5</v>
      </c>
      <c r="K754" s="91">
        <v>1269.4300539999999</v>
      </c>
      <c r="L754" s="91">
        <v>15398401</v>
      </c>
      <c r="M754" s="91">
        <v>2.8400000000000002E-2</v>
      </c>
      <c r="O754" s="90">
        <v>45764</v>
      </c>
      <c r="P754" s="91">
        <v>941</v>
      </c>
      <c r="Q754" s="91">
        <v>953.34997559999999</v>
      </c>
      <c r="R754" s="91">
        <v>940.63543700000002</v>
      </c>
      <c r="S754" s="91">
        <v>35703084</v>
      </c>
      <c r="T754" s="91">
        <v>1.5299999999999999E-2</v>
      </c>
      <c r="V754" s="90">
        <v>45764</v>
      </c>
      <c r="W754" s="91">
        <v>1398</v>
      </c>
      <c r="X754" s="91">
        <v>1419.5</v>
      </c>
      <c r="Y754" s="91">
        <v>1378.6982419999999</v>
      </c>
      <c r="Z754" s="91">
        <v>14264227</v>
      </c>
      <c r="AA754" s="91">
        <v>4.4999999999999997E-3</v>
      </c>
      <c r="AB754" s="91"/>
      <c r="AC754" s="90">
        <v>45764</v>
      </c>
      <c r="AD754" s="91">
        <v>5052</v>
      </c>
      <c r="AE754" s="91">
        <v>5130.5</v>
      </c>
      <c r="AF754" s="91">
        <v>5126.0590819999998</v>
      </c>
      <c r="AG754" s="91">
        <v>1464066</v>
      </c>
      <c r="AH754" s="91">
        <v>1.89E-2</v>
      </c>
      <c r="AI754" s="91"/>
      <c r="AJ754" s="91">
        <f>(F754*'Part 3 Portfolio Analysis'!$B$8+M754*'Part 3 Portfolio Analysis'!$C$8+T754*'Part 3 Portfolio Analysis'!$D$8+AA754*'Part 3 Portfolio Analysis'!$E$8+AH754*'Part 3 Portfolio Analysis'!$F$8)/100</f>
        <v>1.2015592134229007E-2</v>
      </c>
      <c r="AK754" s="91">
        <f>'Part 3 Portfolio Analysis'!$B$107*F754+M754*'Part 3 Portfolio Analysis'!$C$107+T754*'Part 3 Portfolio Analysis'!$D$107+AA754*'Part 3 Portfolio Analysis'!$E$107+AH754*'Part 3 Portfolio Analysis'!$F$107</f>
        <v>1.5429500000000002E-2</v>
      </c>
      <c r="AL754" s="91">
        <f>F754*'Part 3 Portfolio Analysis'!$B$121+M754*'Part 3 Portfolio Analysis'!$C$121+'Part 3 Portfolio Analysis'!$D$121*T754+AA754*'Part 3 Portfolio Analysis'!$E$121+'Part 3 Portfolio Analysis'!$F$121*AH754</f>
        <v>1.6996660000000004E-2</v>
      </c>
      <c r="AM754" s="91"/>
      <c r="AN754" s="90">
        <v>45764</v>
      </c>
      <c r="AO754" s="91">
        <v>23401.849610000001</v>
      </c>
      <c r="AP754" s="91">
        <v>23851.650389999999</v>
      </c>
      <c r="AQ754" s="91">
        <v>23851.650389999999</v>
      </c>
      <c r="AR754" s="91">
        <v>505300</v>
      </c>
      <c r="AS754" s="91">
        <v>1.77E-2</v>
      </c>
    </row>
    <row r="755" spans="1:45" x14ac:dyDescent="0.55000000000000004">
      <c r="A755" s="90">
        <v>45768</v>
      </c>
      <c r="B755" s="91">
        <v>4805</v>
      </c>
      <c r="C755" s="91">
        <v>5342</v>
      </c>
      <c r="D755" s="91">
        <v>5282.2460940000001</v>
      </c>
      <c r="E755" s="91">
        <v>2852407</v>
      </c>
      <c r="F755" s="91">
        <v>9.01E-2</v>
      </c>
      <c r="H755" s="90">
        <v>45768</v>
      </c>
      <c r="I755" s="91">
        <v>1270</v>
      </c>
      <c r="J755" s="91">
        <v>1295.5</v>
      </c>
      <c r="K755" s="91">
        <v>1290.346436</v>
      </c>
      <c r="L755" s="91">
        <v>10429964</v>
      </c>
      <c r="M755" s="91">
        <v>1.6500000000000001E-2</v>
      </c>
      <c r="O755" s="90">
        <v>45768</v>
      </c>
      <c r="P755" s="91">
        <v>962</v>
      </c>
      <c r="Q755" s="91">
        <v>963.54998780000005</v>
      </c>
      <c r="R755" s="91">
        <v>950.6994019</v>
      </c>
      <c r="S755" s="91">
        <v>34247298</v>
      </c>
      <c r="T755" s="91">
        <v>1.0699999999999999E-2</v>
      </c>
      <c r="V755" s="90">
        <v>45768</v>
      </c>
      <c r="W755" s="91">
        <v>1410</v>
      </c>
      <c r="X755" s="91">
        <v>1451</v>
      </c>
      <c r="Y755" s="91">
        <v>1409.2929690000001</v>
      </c>
      <c r="Z755" s="91">
        <v>15648970</v>
      </c>
      <c r="AA755" s="91">
        <v>2.2200000000000001E-2</v>
      </c>
      <c r="AB755" s="91"/>
      <c r="AC755" s="90">
        <v>45768</v>
      </c>
      <c r="AD755" s="91">
        <v>5180</v>
      </c>
      <c r="AE755" s="91">
        <v>5360</v>
      </c>
      <c r="AF755" s="91">
        <v>5355.3603519999997</v>
      </c>
      <c r="AG755" s="91">
        <v>1309441</v>
      </c>
      <c r="AH755" s="91">
        <v>4.4699999999999997E-2</v>
      </c>
      <c r="AI755" s="91"/>
      <c r="AJ755" s="91">
        <f>(F755*'Part 3 Portfolio Analysis'!$B$8+M755*'Part 3 Portfolio Analysis'!$C$8+T755*'Part 3 Portfolio Analysis'!$D$8+AA755*'Part 3 Portfolio Analysis'!$E$8+AH755*'Part 3 Portfolio Analysis'!$F$8)/100</f>
        <v>3.880542311576482E-2</v>
      </c>
      <c r="AK755" s="91">
        <f>'Part 3 Portfolio Analysis'!$B$107*F755+M755*'Part 3 Portfolio Analysis'!$C$107+T755*'Part 3 Portfolio Analysis'!$D$107+AA755*'Part 3 Portfolio Analysis'!$E$107+AH755*'Part 3 Portfolio Analysis'!$F$107</f>
        <v>3.65254E-2</v>
      </c>
      <c r="AL755" s="91">
        <f>F755*'Part 3 Portfolio Analysis'!$B$121+M755*'Part 3 Portfolio Analysis'!$C$121+'Part 3 Portfolio Analysis'!$D$121*T755+AA755*'Part 3 Portfolio Analysis'!$E$121+'Part 3 Portfolio Analysis'!$F$121*AH755</f>
        <v>2.2851159999999999E-2</v>
      </c>
      <c r="AM755" s="91"/>
      <c r="AN755" s="90">
        <v>45768</v>
      </c>
      <c r="AO755" s="91">
        <v>23949.150389999999</v>
      </c>
      <c r="AP755" s="91">
        <v>24125.550780000001</v>
      </c>
      <c r="AQ755" s="91">
        <v>24125.550780000001</v>
      </c>
      <c r="AR755" s="91">
        <v>406100</v>
      </c>
      <c r="AS755" s="91">
        <v>1.15E-2</v>
      </c>
    </row>
    <row r="756" spans="1:45" x14ac:dyDescent="0.55000000000000004">
      <c r="A756" s="90">
        <v>45769</v>
      </c>
      <c r="B756" s="91">
        <v>5335</v>
      </c>
      <c r="C756" s="91">
        <v>5480</v>
      </c>
      <c r="D756" s="91">
        <v>5418.7021480000003</v>
      </c>
      <c r="E756" s="91">
        <v>888502</v>
      </c>
      <c r="F756" s="91">
        <v>2.58E-2</v>
      </c>
      <c r="H756" s="90">
        <v>45769</v>
      </c>
      <c r="I756" s="91">
        <v>1300</v>
      </c>
      <c r="J756" s="91">
        <v>1291.1999510000001</v>
      </c>
      <c r="K756" s="91">
        <v>1286.0635990000001</v>
      </c>
      <c r="L756" s="91">
        <v>13051707</v>
      </c>
      <c r="M756" s="91">
        <v>-3.3E-3</v>
      </c>
      <c r="O756" s="90">
        <v>45769</v>
      </c>
      <c r="P756" s="91">
        <v>967.5</v>
      </c>
      <c r="Q756" s="91">
        <v>980.84997559999999</v>
      </c>
      <c r="R756" s="91">
        <v>967.76867679999998</v>
      </c>
      <c r="S756" s="91">
        <v>45961750</v>
      </c>
      <c r="T756" s="91">
        <v>1.7999999999999999E-2</v>
      </c>
      <c r="V756" s="90">
        <v>45769</v>
      </c>
      <c r="W756" s="91">
        <v>1440</v>
      </c>
      <c r="X756" s="91">
        <v>1422.8000489999999</v>
      </c>
      <c r="Y756" s="91">
        <v>1381.903564</v>
      </c>
      <c r="Z756" s="91">
        <v>9399738</v>
      </c>
      <c r="AA756" s="91">
        <v>-1.9400000000000001E-2</v>
      </c>
      <c r="AB756" s="91"/>
      <c r="AC756" s="90">
        <v>45769</v>
      </c>
      <c r="AD756" s="91">
        <v>5379</v>
      </c>
      <c r="AE756" s="91">
        <v>5323</v>
      </c>
      <c r="AF756" s="91">
        <v>5318.392578</v>
      </c>
      <c r="AG756" s="91">
        <v>1166872</v>
      </c>
      <c r="AH756" s="91">
        <v>-6.8999999999999999E-3</v>
      </c>
      <c r="AI756" s="91"/>
      <c r="AJ756" s="91">
        <f>(F756*'Part 3 Portfolio Analysis'!$B$8+M756*'Part 3 Portfolio Analysis'!$C$8+T756*'Part 3 Portfolio Analysis'!$D$8+AA756*'Part 3 Portfolio Analysis'!$E$8+AH756*'Part 3 Portfolio Analysis'!$F$8)/100</f>
        <v>6.3568950954450551E-3</v>
      </c>
      <c r="AK756" s="91">
        <f>'Part 3 Portfolio Analysis'!$B$107*F756+M756*'Part 3 Portfolio Analysis'!$C$107+T756*'Part 3 Portfolio Analysis'!$D$107+AA756*'Part 3 Portfolio Analysis'!$E$107+AH756*'Part 3 Portfolio Analysis'!$F$107</f>
        <v>2.7223E-3</v>
      </c>
      <c r="AL756" s="91">
        <f>F756*'Part 3 Portfolio Analysis'!$B$121+M756*'Part 3 Portfolio Analysis'!$C$121+'Part 3 Portfolio Analysis'!$D$121*T756+AA756*'Part 3 Portfolio Analysis'!$E$121+'Part 3 Portfolio Analysis'!$F$121*AH756</f>
        <v>1.5713000000000001E-3</v>
      </c>
      <c r="AM756" s="91"/>
      <c r="AN756" s="90">
        <v>45769</v>
      </c>
      <c r="AO756" s="91">
        <v>24185.400389999999</v>
      </c>
      <c r="AP756" s="91">
        <v>24167.25</v>
      </c>
      <c r="AQ756" s="91">
        <v>24167.25</v>
      </c>
      <c r="AR756" s="91">
        <v>440900</v>
      </c>
      <c r="AS756" s="91">
        <v>1.6999999999999999E-3</v>
      </c>
    </row>
    <row r="757" spans="1:45" x14ac:dyDescent="0.55000000000000004">
      <c r="A757" s="90">
        <v>45770</v>
      </c>
      <c r="B757" s="91">
        <v>5480</v>
      </c>
      <c r="C757" s="91">
        <v>5664.5</v>
      </c>
      <c r="D757" s="91">
        <v>5601.138672</v>
      </c>
      <c r="E757" s="91">
        <v>820053</v>
      </c>
      <c r="F757" s="91">
        <v>3.3700000000000001E-2</v>
      </c>
      <c r="H757" s="90">
        <v>45770</v>
      </c>
      <c r="I757" s="91">
        <v>1297</v>
      </c>
      <c r="J757" s="91">
        <v>1300</v>
      </c>
      <c r="K757" s="91">
        <v>1294.8286129999999</v>
      </c>
      <c r="L757" s="91">
        <v>10480888</v>
      </c>
      <c r="M757" s="91">
        <v>6.7999999999999996E-3</v>
      </c>
      <c r="O757" s="90">
        <v>45770</v>
      </c>
      <c r="P757" s="91">
        <v>989.45001219999995</v>
      </c>
      <c r="Q757" s="91">
        <v>961.95001219999995</v>
      </c>
      <c r="R757" s="91">
        <v>949.12072750000004</v>
      </c>
      <c r="S757" s="91">
        <v>30570642</v>
      </c>
      <c r="T757" s="91">
        <v>-1.9300000000000001E-2</v>
      </c>
      <c r="V757" s="90">
        <v>45770</v>
      </c>
      <c r="W757" s="91">
        <v>1446</v>
      </c>
      <c r="X757" s="91">
        <v>1474.900024</v>
      </c>
      <c r="Y757" s="91">
        <v>1432.5058590000001</v>
      </c>
      <c r="Z757" s="91">
        <v>11136642</v>
      </c>
      <c r="AA757" s="91">
        <v>3.6600000000000001E-2</v>
      </c>
      <c r="AB757" s="91"/>
      <c r="AC757" s="90">
        <v>45770</v>
      </c>
      <c r="AD757" s="91">
        <v>5350.5</v>
      </c>
      <c r="AE757" s="91">
        <v>5329</v>
      </c>
      <c r="AF757" s="91">
        <v>5324.3872069999998</v>
      </c>
      <c r="AG757" s="91">
        <v>970478</v>
      </c>
      <c r="AH757" s="91">
        <v>1.1000000000000001E-3</v>
      </c>
      <c r="AI757" s="91"/>
      <c r="AJ757" s="91">
        <f>(F757*'Part 3 Portfolio Analysis'!$B$8+M757*'Part 3 Portfolio Analysis'!$C$8+T757*'Part 3 Portfolio Analysis'!$D$8+AA757*'Part 3 Portfolio Analysis'!$E$8+AH757*'Part 3 Portfolio Analysis'!$F$8)/100</f>
        <v>1.525629939973583E-2</v>
      </c>
      <c r="AK757" s="91">
        <f>'Part 3 Portfolio Analysis'!$B$107*F757+M757*'Part 3 Portfolio Analysis'!$C$107+T757*'Part 3 Portfolio Analysis'!$D$107+AA757*'Part 3 Portfolio Analysis'!$E$107+AH757*'Part 3 Portfolio Analysis'!$F$107</f>
        <v>9.1401E-3</v>
      </c>
      <c r="AL757" s="91">
        <f>F757*'Part 3 Portfolio Analysis'!$B$121+M757*'Part 3 Portfolio Analysis'!$C$121+'Part 3 Portfolio Analysis'!$D$121*T757+AA757*'Part 3 Portfolio Analysis'!$E$121+'Part 3 Portfolio Analysis'!$F$121*AH757</f>
        <v>7.7226399999999985E-3</v>
      </c>
      <c r="AM757" s="91"/>
      <c r="AN757" s="90">
        <v>45770</v>
      </c>
      <c r="AO757" s="91">
        <v>24357.599610000001</v>
      </c>
      <c r="AP757" s="91">
        <v>24328.949219999999</v>
      </c>
      <c r="AQ757" s="91">
        <v>24328.949219999999</v>
      </c>
      <c r="AR757" s="91">
        <v>415000</v>
      </c>
      <c r="AS757" s="91">
        <v>6.7000000000000002E-3</v>
      </c>
    </row>
    <row r="758" spans="1:45" x14ac:dyDescent="0.55000000000000004">
      <c r="A758" s="90">
        <v>45771</v>
      </c>
      <c r="B758" s="91">
        <v>5678</v>
      </c>
      <c r="C758" s="91">
        <v>5918</v>
      </c>
      <c r="D758" s="91">
        <v>5851.8032229999999</v>
      </c>
      <c r="E758" s="91">
        <v>1253303</v>
      </c>
      <c r="F758" s="91">
        <v>4.48E-2</v>
      </c>
      <c r="H758" s="90">
        <v>45771</v>
      </c>
      <c r="I758" s="91">
        <v>1292.400024</v>
      </c>
      <c r="J758" s="91">
        <v>1301.599976</v>
      </c>
      <c r="K758" s="91">
        <v>1296.422241</v>
      </c>
      <c r="L758" s="91">
        <v>10468940</v>
      </c>
      <c r="M758" s="91">
        <v>1.1999999999999999E-3</v>
      </c>
      <c r="O758" s="90">
        <v>45771</v>
      </c>
      <c r="P758" s="91">
        <v>955</v>
      </c>
      <c r="Q758" s="91">
        <v>958.40002440000001</v>
      </c>
      <c r="R758" s="91">
        <v>945.61810300000002</v>
      </c>
      <c r="S758" s="91">
        <v>25931754</v>
      </c>
      <c r="T758" s="91">
        <v>-3.7000000000000002E-3</v>
      </c>
      <c r="V758" s="90">
        <v>45771</v>
      </c>
      <c r="W758" s="91">
        <v>1469.900024</v>
      </c>
      <c r="X758" s="91">
        <v>1471.400024</v>
      </c>
      <c r="Y758" s="91">
        <v>1429.106567</v>
      </c>
      <c r="Z758" s="91">
        <v>7114292</v>
      </c>
      <c r="AA758" s="91">
        <v>-2.3999999999999998E-3</v>
      </c>
      <c r="AB758" s="91"/>
      <c r="AC758" s="90">
        <v>45771</v>
      </c>
      <c r="AD758" s="91">
        <v>5311</v>
      </c>
      <c r="AE758" s="91">
        <v>5323.5</v>
      </c>
      <c r="AF758" s="91">
        <v>5318.8920900000003</v>
      </c>
      <c r="AG758" s="91">
        <v>1039905</v>
      </c>
      <c r="AH758" s="91">
        <v>-1E-3</v>
      </c>
      <c r="AI758" s="91"/>
      <c r="AJ758" s="91">
        <f>(F758*'Part 3 Portfolio Analysis'!$B$8+M758*'Part 3 Portfolio Analysis'!$C$8+T758*'Part 3 Portfolio Analysis'!$D$8+AA758*'Part 3 Portfolio Analysis'!$E$8+AH758*'Part 3 Portfolio Analysis'!$F$8)/100</f>
        <v>1.2861755003291208E-2</v>
      </c>
      <c r="AK758" s="91">
        <f>'Part 3 Portfolio Analysis'!$B$107*F758+M758*'Part 3 Portfolio Analysis'!$C$107+T758*'Part 3 Portfolio Analysis'!$D$107+AA758*'Part 3 Portfolio Analysis'!$E$107+AH758*'Part 3 Portfolio Analysis'!$F$107</f>
        <v>7.3741000000000015E-3</v>
      </c>
      <c r="AL758" s="91">
        <f>F758*'Part 3 Portfolio Analysis'!$B$121+M758*'Part 3 Portfolio Analysis'!$C$121+'Part 3 Portfolio Analysis'!$D$121*T758+AA758*'Part 3 Portfolio Analysis'!$E$121+'Part 3 Portfolio Analysis'!$F$121*AH758</f>
        <v>2.6734799999999998E-3</v>
      </c>
      <c r="AM758" s="91"/>
      <c r="AN758" s="90">
        <v>45771</v>
      </c>
      <c r="AO758" s="91">
        <v>24277.900389999999</v>
      </c>
      <c r="AP758" s="91">
        <v>24246.699219999999</v>
      </c>
      <c r="AQ758" s="91">
        <v>24246.699219999999</v>
      </c>
      <c r="AR758" s="91">
        <v>358800</v>
      </c>
      <c r="AS758" s="91">
        <v>-3.3999999999999998E-3</v>
      </c>
    </row>
    <row r="759" spans="1:45" x14ac:dyDescent="0.55000000000000004">
      <c r="A759" s="90">
        <v>45772</v>
      </c>
      <c r="B759" s="91">
        <v>5949.5</v>
      </c>
      <c r="C759" s="91">
        <v>5612.5</v>
      </c>
      <c r="D759" s="91">
        <v>5549.7202150000003</v>
      </c>
      <c r="E759" s="91">
        <v>610205</v>
      </c>
      <c r="F759" s="91">
        <v>-5.16E-2</v>
      </c>
      <c r="H759" s="90">
        <v>45772</v>
      </c>
      <c r="I759" s="91">
        <v>1303.5</v>
      </c>
      <c r="J759" s="91">
        <v>1300.400024</v>
      </c>
      <c r="K759" s="91">
        <v>1295.2270510000001</v>
      </c>
      <c r="L759" s="91">
        <v>14431012</v>
      </c>
      <c r="M759" s="91">
        <v>-8.9999999999999998E-4</v>
      </c>
      <c r="O759" s="90">
        <v>45772</v>
      </c>
      <c r="P759" s="91">
        <v>962.40002440000001</v>
      </c>
      <c r="Q759" s="91">
        <v>955.59997559999999</v>
      </c>
      <c r="R759" s="91">
        <v>942.8554077</v>
      </c>
      <c r="S759" s="91">
        <v>18500878</v>
      </c>
      <c r="T759" s="91">
        <v>-2.8999999999999998E-3</v>
      </c>
      <c r="V759" s="90">
        <v>45772</v>
      </c>
      <c r="W759" s="91">
        <v>1475.5</v>
      </c>
      <c r="X759" s="91">
        <v>1480.1999510000001</v>
      </c>
      <c r="Y759" s="91">
        <v>1437.653564</v>
      </c>
      <c r="Z759" s="91">
        <v>8329979</v>
      </c>
      <c r="AA759" s="91">
        <v>6.0000000000000001E-3</v>
      </c>
      <c r="AB759" s="91"/>
      <c r="AC759" s="90">
        <v>45772</v>
      </c>
      <c r="AD759" s="91">
        <v>5334</v>
      </c>
      <c r="AE759" s="91">
        <v>5145</v>
      </c>
      <c r="AF759" s="91">
        <v>5140.5463870000003</v>
      </c>
      <c r="AG759" s="91">
        <v>1030377</v>
      </c>
      <c r="AH759" s="91">
        <v>-3.3500000000000002E-2</v>
      </c>
      <c r="AI759" s="91"/>
      <c r="AJ759" s="91">
        <f>(F759*'Part 3 Portfolio Analysis'!$B$8+M759*'Part 3 Portfolio Analysis'!$C$8+T759*'Part 3 Portfolio Analysis'!$D$8+AA759*'Part 3 Portfolio Analysis'!$E$8+AH759*'Part 3 Portfolio Analysis'!$F$8)/100</f>
        <v>-1.565180302442469E-2</v>
      </c>
      <c r="AK759" s="91">
        <f>'Part 3 Portfolio Analysis'!$B$107*F759+M759*'Part 3 Portfolio Analysis'!$C$107+T759*'Part 3 Portfolio Analysis'!$D$107+AA759*'Part 3 Portfolio Analysis'!$E$107+AH759*'Part 3 Portfolio Analysis'!$F$107</f>
        <v>-1.7861200000000001E-2</v>
      </c>
      <c r="AL759" s="91">
        <f>F759*'Part 3 Portfolio Analysis'!$B$121+M759*'Part 3 Portfolio Analysis'!$C$121+'Part 3 Portfolio Analysis'!$D$121*T759+AA759*'Part 3 Portfolio Analysis'!$E$121+'Part 3 Portfolio Analysis'!$F$121*AH759</f>
        <v>-5.0856600000000005E-3</v>
      </c>
      <c r="AM759" s="91"/>
      <c r="AN759" s="90">
        <v>45772</v>
      </c>
      <c r="AO759" s="91">
        <v>24289</v>
      </c>
      <c r="AP759" s="91">
        <v>24039.349610000001</v>
      </c>
      <c r="AQ759" s="91">
        <v>24039.349610000001</v>
      </c>
      <c r="AR759" s="91">
        <v>387700</v>
      </c>
      <c r="AS759" s="91">
        <v>-8.6E-3</v>
      </c>
    </row>
    <row r="760" spans="1:45" x14ac:dyDescent="0.55000000000000004">
      <c r="A760" s="90">
        <v>45775</v>
      </c>
      <c r="B760" s="91">
        <v>5612.5</v>
      </c>
      <c r="C760" s="91">
        <v>5689</v>
      </c>
      <c r="D760" s="91">
        <v>5625.3647460000002</v>
      </c>
      <c r="E760" s="91">
        <v>332068</v>
      </c>
      <c r="F760" s="91">
        <v>1.3599999999999999E-2</v>
      </c>
      <c r="H760" s="90">
        <v>45775</v>
      </c>
      <c r="I760" s="91">
        <v>1340</v>
      </c>
      <c r="J760" s="91">
        <v>1368.8000489999999</v>
      </c>
      <c r="K760" s="91">
        <v>1363.3549800000001</v>
      </c>
      <c r="L760" s="91">
        <v>31104496</v>
      </c>
      <c r="M760" s="91">
        <v>5.2600000000000001E-2</v>
      </c>
      <c r="O760" s="90">
        <v>45775</v>
      </c>
      <c r="P760" s="91">
        <v>955.59997559999999</v>
      </c>
      <c r="Q760" s="91">
        <v>960.09997559999999</v>
      </c>
      <c r="R760" s="91">
        <v>947.29541019999999</v>
      </c>
      <c r="S760" s="91">
        <v>13920492</v>
      </c>
      <c r="T760" s="91">
        <v>4.7000000000000002E-3</v>
      </c>
      <c r="V760" s="90">
        <v>45775</v>
      </c>
      <c r="W760" s="91">
        <v>1480.1999510000001</v>
      </c>
      <c r="X760" s="91">
        <v>1482.099976</v>
      </c>
      <c r="Y760" s="91">
        <v>1439.4989009999999</v>
      </c>
      <c r="Z760" s="91">
        <v>5886253</v>
      </c>
      <c r="AA760" s="91">
        <v>1.2999999999999999E-3</v>
      </c>
      <c r="AB760" s="91"/>
      <c r="AC760" s="90">
        <v>45775</v>
      </c>
      <c r="AD760" s="91">
        <v>5124.5</v>
      </c>
      <c r="AE760" s="91">
        <v>5209.5</v>
      </c>
      <c r="AF760" s="91">
        <v>5204.9907229999999</v>
      </c>
      <c r="AG760" s="91">
        <v>982085</v>
      </c>
      <c r="AH760" s="91">
        <v>1.2500000000000001E-2</v>
      </c>
      <c r="AI760" s="91"/>
      <c r="AJ760" s="91">
        <f>(F760*'Part 3 Portfolio Analysis'!$B$8+M760*'Part 3 Portfolio Analysis'!$C$8+T760*'Part 3 Portfolio Analysis'!$D$8+AA760*'Part 3 Portfolio Analysis'!$E$8+AH760*'Part 3 Portfolio Analysis'!$F$8)/100</f>
        <v>2.4261858281858246E-2</v>
      </c>
      <c r="AK760" s="91">
        <f>'Part 3 Portfolio Analysis'!$B$107*F760+M760*'Part 3 Portfolio Analysis'!$C$107+T760*'Part 3 Portfolio Analysis'!$D$107+AA760*'Part 3 Portfolio Analysis'!$E$107+AH760*'Part 3 Portfolio Analysis'!$F$107</f>
        <v>2.2920300000000001E-2</v>
      </c>
      <c r="AL760" s="91">
        <f>F760*'Part 3 Portfolio Analysis'!$B$121+M760*'Part 3 Portfolio Analysis'!$C$121+'Part 3 Portfolio Analysis'!$D$121*T760+AA760*'Part 3 Portfolio Analysis'!$E$121+'Part 3 Portfolio Analysis'!$F$121*AH760</f>
        <v>2.5054780000000002E-2</v>
      </c>
      <c r="AM760" s="91"/>
      <c r="AN760" s="90">
        <v>45775</v>
      </c>
      <c r="AO760" s="91">
        <v>24070.25</v>
      </c>
      <c r="AP760" s="91">
        <v>24328.5</v>
      </c>
      <c r="AQ760" s="91">
        <v>24328.5</v>
      </c>
      <c r="AR760" s="91">
        <v>320500</v>
      </c>
      <c r="AS760" s="91">
        <v>1.2E-2</v>
      </c>
    </row>
    <row r="761" spans="1:45" x14ac:dyDescent="0.55000000000000004">
      <c r="A761" s="90">
        <v>45776</v>
      </c>
      <c r="B761" s="91">
        <v>5702.5</v>
      </c>
      <c r="C761" s="91">
        <v>5764</v>
      </c>
      <c r="D761" s="91">
        <v>5699.5253910000001</v>
      </c>
      <c r="E761" s="91">
        <v>246518</v>
      </c>
      <c r="F761" s="91">
        <v>1.32E-2</v>
      </c>
      <c r="H761" s="90">
        <v>45776</v>
      </c>
      <c r="I761" s="91">
        <v>1371</v>
      </c>
      <c r="J761" s="91">
        <v>1399.6999510000001</v>
      </c>
      <c r="K761" s="91">
        <v>1394.1319579999999</v>
      </c>
      <c r="L761" s="91">
        <v>32538970</v>
      </c>
      <c r="M761" s="91">
        <v>2.2599999999999999E-2</v>
      </c>
      <c r="O761" s="90">
        <v>45776</v>
      </c>
      <c r="P761" s="91">
        <v>959.40002440000001</v>
      </c>
      <c r="Q761" s="91">
        <v>954.40002440000001</v>
      </c>
      <c r="R761" s="91">
        <v>941.67144780000001</v>
      </c>
      <c r="S761" s="91">
        <v>18918308</v>
      </c>
      <c r="T761" s="91">
        <v>-5.8999999999999999E-3</v>
      </c>
      <c r="V761" s="90">
        <v>45776</v>
      </c>
      <c r="W761" s="91">
        <v>1482</v>
      </c>
      <c r="X761" s="91">
        <v>1497.5</v>
      </c>
      <c r="Y761" s="91">
        <v>1454.4564210000001</v>
      </c>
      <c r="Z761" s="91">
        <v>8056743</v>
      </c>
      <c r="AA761" s="91">
        <v>1.04E-2</v>
      </c>
      <c r="AB761" s="91"/>
      <c r="AC761" s="90">
        <v>45776</v>
      </c>
      <c r="AD761" s="91">
        <v>5221</v>
      </c>
      <c r="AE761" s="91">
        <v>5391.5</v>
      </c>
      <c r="AF761" s="91">
        <v>5386.8330079999996</v>
      </c>
      <c r="AG761" s="91">
        <v>1420743</v>
      </c>
      <c r="AH761" s="91">
        <v>3.49E-2</v>
      </c>
      <c r="AI761" s="91"/>
      <c r="AJ761" s="91">
        <f>(F761*'Part 3 Portfolio Analysis'!$B$8+M761*'Part 3 Portfolio Analysis'!$C$8+T761*'Part 3 Portfolio Analysis'!$D$8+AA761*'Part 3 Portfolio Analysis'!$E$8+AH761*'Part 3 Portfolio Analysis'!$F$8)/100</f>
        <v>1.3182663725648323E-2</v>
      </c>
      <c r="AK761" s="91">
        <f>'Part 3 Portfolio Analysis'!$B$107*F761+M761*'Part 3 Portfolio Analysis'!$C$107+T761*'Part 3 Portfolio Analysis'!$D$107+AA761*'Part 3 Portfolio Analysis'!$E$107+AH761*'Part 3 Portfolio Analysis'!$F$107</f>
        <v>1.83701E-2</v>
      </c>
      <c r="AL761" s="91">
        <f>F761*'Part 3 Portfolio Analysis'!$B$121+M761*'Part 3 Portfolio Analysis'!$C$121+'Part 3 Portfolio Analysis'!$D$121*T761+AA761*'Part 3 Portfolio Analysis'!$E$121+'Part 3 Portfolio Analysis'!$F$121*AH761</f>
        <v>1.1957579999999999E-2</v>
      </c>
      <c r="AM761" s="91"/>
      <c r="AN761" s="90">
        <v>45776</v>
      </c>
      <c r="AO761" s="91">
        <v>24370.699219999999</v>
      </c>
      <c r="AP761" s="91">
        <v>24335.949219999999</v>
      </c>
      <c r="AQ761" s="91">
        <v>24335.949219999999</v>
      </c>
      <c r="AR761" s="91">
        <v>357600</v>
      </c>
      <c r="AS761" s="91">
        <v>2.9999999999999997E-4</v>
      </c>
    </row>
    <row r="762" spans="1:45" x14ac:dyDescent="0.55000000000000004">
      <c r="A762" s="90">
        <v>45777</v>
      </c>
      <c r="B762" s="91">
        <v>5765</v>
      </c>
      <c r="C762" s="91">
        <v>5766</v>
      </c>
      <c r="D762" s="91">
        <v>5701.5034180000002</v>
      </c>
      <c r="E762" s="91">
        <v>216288</v>
      </c>
      <c r="F762" s="91">
        <v>2.9999999999999997E-4</v>
      </c>
      <c r="H762" s="90">
        <v>45777</v>
      </c>
      <c r="I762" s="91">
        <v>1402</v>
      </c>
      <c r="J762" s="91">
        <v>1405</v>
      </c>
      <c r="K762" s="91">
        <v>1399.410889</v>
      </c>
      <c r="L762" s="91">
        <v>25480745</v>
      </c>
      <c r="M762" s="91">
        <v>3.8E-3</v>
      </c>
      <c r="O762" s="90">
        <v>45777</v>
      </c>
      <c r="P762" s="91">
        <v>956.5</v>
      </c>
      <c r="Q762" s="91">
        <v>962.5</v>
      </c>
      <c r="R762" s="91">
        <v>949.66339110000001</v>
      </c>
      <c r="S762" s="91">
        <v>31936870</v>
      </c>
      <c r="T762" s="91">
        <v>8.5000000000000006E-3</v>
      </c>
      <c r="V762" s="90">
        <v>45777</v>
      </c>
      <c r="W762" s="91">
        <v>1496.8000489999999</v>
      </c>
      <c r="X762" s="91">
        <v>1500.099976</v>
      </c>
      <c r="Y762" s="91">
        <v>1456.981567</v>
      </c>
      <c r="Z762" s="91">
        <v>7704183</v>
      </c>
      <c r="AA762" s="91">
        <v>1.6999999999999999E-3</v>
      </c>
      <c r="AB762" s="91"/>
      <c r="AC762" s="90">
        <v>45777</v>
      </c>
      <c r="AD762" s="91">
        <v>5435</v>
      </c>
      <c r="AE762" s="91">
        <v>5172.5</v>
      </c>
      <c r="AF762" s="91">
        <v>5168.0229490000002</v>
      </c>
      <c r="AG762" s="91">
        <v>2709549</v>
      </c>
      <c r="AH762" s="91">
        <v>-4.0599999999999997E-2</v>
      </c>
      <c r="AI762" s="91"/>
      <c r="AJ762" s="91">
        <f>(F762*'Part 3 Portfolio Analysis'!$B$8+M762*'Part 3 Portfolio Analysis'!$C$8+T762*'Part 3 Portfolio Analysis'!$D$8+AA762*'Part 3 Portfolio Analysis'!$E$8+AH762*'Part 3 Portfolio Analysis'!$F$8)/100</f>
        <v>2.7621114971439868E-3</v>
      </c>
      <c r="AK762" s="91">
        <f>'Part 3 Portfolio Analysis'!$B$107*F762+M762*'Part 3 Portfolio Analysis'!$C$107+T762*'Part 3 Portfolio Analysis'!$D$107+AA762*'Part 3 Portfolio Analysis'!$E$107+AH762*'Part 3 Portfolio Analysis'!$F$107</f>
        <v>-7.5002999999999997E-3</v>
      </c>
      <c r="AL762" s="91">
        <f>F762*'Part 3 Portfolio Analysis'!$B$121+M762*'Part 3 Portfolio Analysis'!$C$121+'Part 3 Portfolio Analysis'!$D$121*T762+AA762*'Part 3 Portfolio Analysis'!$E$121+'Part 3 Portfolio Analysis'!$F$121*AH762</f>
        <v>3.2074199999999999E-3</v>
      </c>
      <c r="AM762" s="91"/>
      <c r="AN762" s="90">
        <v>45777</v>
      </c>
      <c r="AO762" s="91">
        <v>24342.050780000001</v>
      </c>
      <c r="AP762" s="91">
        <v>24334.199219999999</v>
      </c>
      <c r="AQ762" s="91">
        <v>24334.199219999999</v>
      </c>
      <c r="AR762" s="91">
        <v>424500</v>
      </c>
      <c r="AS762" s="91">
        <v>-1E-4</v>
      </c>
    </row>
    <row r="763" spans="1:45" x14ac:dyDescent="0.55000000000000004">
      <c r="A763" s="90">
        <v>45779</v>
      </c>
      <c r="B763" s="91">
        <v>5750</v>
      </c>
      <c r="C763" s="91">
        <v>5820</v>
      </c>
      <c r="D763" s="91">
        <v>5754.8994140000004</v>
      </c>
      <c r="E763" s="91">
        <v>203862</v>
      </c>
      <c r="F763" s="91">
        <v>9.4000000000000004E-3</v>
      </c>
      <c r="H763" s="90">
        <v>45779</v>
      </c>
      <c r="I763" s="91">
        <v>1414</v>
      </c>
      <c r="J763" s="91">
        <v>1419.8000489999999</v>
      </c>
      <c r="K763" s="91">
        <v>1414.1521</v>
      </c>
      <c r="L763" s="91">
        <v>13007841</v>
      </c>
      <c r="M763" s="91">
        <v>1.0500000000000001E-2</v>
      </c>
      <c r="O763" s="90">
        <v>45779</v>
      </c>
      <c r="P763" s="91">
        <v>964.90002440000001</v>
      </c>
      <c r="Q763" s="91">
        <v>960.95001219999995</v>
      </c>
      <c r="R763" s="91">
        <v>948.13415529999997</v>
      </c>
      <c r="S763" s="91">
        <v>17840404</v>
      </c>
      <c r="T763" s="91">
        <v>-1.6000000000000001E-3</v>
      </c>
      <c r="V763" s="90">
        <v>45779</v>
      </c>
      <c r="W763" s="91">
        <v>1499.6999510000001</v>
      </c>
      <c r="X763" s="91">
        <v>1506.900024</v>
      </c>
      <c r="Y763" s="91">
        <v>1463.586182</v>
      </c>
      <c r="Z763" s="91">
        <v>7402310</v>
      </c>
      <c r="AA763" s="91">
        <v>4.4999999999999997E-3</v>
      </c>
      <c r="AB763" s="91"/>
      <c r="AC763" s="90">
        <v>45779</v>
      </c>
      <c r="AD763" s="91">
        <v>5172.5</v>
      </c>
      <c r="AE763" s="91">
        <v>5154</v>
      </c>
      <c r="AF763" s="91">
        <v>5149.5385740000002</v>
      </c>
      <c r="AG763" s="91">
        <v>756554</v>
      </c>
      <c r="AH763" s="91">
        <v>-3.5999999999999999E-3</v>
      </c>
      <c r="AI763" s="91"/>
      <c r="AJ763" s="91">
        <f>(F763*'Part 3 Portfolio Analysis'!$B$8+M763*'Part 3 Portfolio Analysis'!$C$8+T763*'Part 3 Portfolio Analysis'!$D$8+AA763*'Part 3 Portfolio Analysis'!$E$8+AH763*'Part 3 Portfolio Analysis'!$F$8)/100</f>
        <v>7.0481571904556402E-3</v>
      </c>
      <c r="AK763" s="91">
        <f>'Part 3 Portfolio Analysis'!$B$107*F763+M763*'Part 3 Portfolio Analysis'!$C$107+T763*'Part 3 Portfolio Analysis'!$D$107+AA763*'Part 3 Portfolio Analysis'!$E$107+AH763*'Part 3 Portfolio Analysis'!$F$107</f>
        <v>4.2733000000000007E-3</v>
      </c>
      <c r="AL763" s="91">
        <f>F763*'Part 3 Portfolio Analysis'!$B$121+M763*'Part 3 Portfolio Analysis'!$C$121+'Part 3 Portfolio Analysis'!$D$121*T763+AA763*'Part 3 Portfolio Analysis'!$E$121+'Part 3 Portfolio Analysis'!$F$121*AH763</f>
        <v>5.5489599999999986E-3</v>
      </c>
      <c r="AM763" s="91"/>
      <c r="AN763" s="90">
        <v>45779</v>
      </c>
      <c r="AO763" s="91">
        <v>24311.900389999999</v>
      </c>
      <c r="AP763" s="91">
        <v>24346.699219999999</v>
      </c>
      <c r="AQ763" s="91">
        <v>24346.699219999999</v>
      </c>
      <c r="AR763" s="91">
        <v>421100</v>
      </c>
      <c r="AS763" s="91">
        <v>5.0000000000000001E-4</v>
      </c>
    </row>
    <row r="764" spans="1:45" x14ac:dyDescent="0.55000000000000004">
      <c r="A764" s="90">
        <v>45782</v>
      </c>
      <c r="B764" s="91">
        <v>5845</v>
      </c>
      <c r="C764" s="91">
        <v>5817</v>
      </c>
      <c r="D764" s="91">
        <v>5751.9326170000004</v>
      </c>
      <c r="E764" s="91">
        <v>118811</v>
      </c>
      <c r="F764" s="91">
        <v>-5.0000000000000001E-4</v>
      </c>
      <c r="H764" s="90">
        <v>45782</v>
      </c>
      <c r="I764" s="91">
        <v>1431</v>
      </c>
      <c r="J764" s="91">
        <v>1431.3000489999999</v>
      </c>
      <c r="K764" s="91">
        <v>1425.606323</v>
      </c>
      <c r="L764" s="91">
        <v>12685649</v>
      </c>
      <c r="M764" s="91">
        <v>8.0999999999999996E-3</v>
      </c>
      <c r="O764" s="90">
        <v>45782</v>
      </c>
      <c r="P764" s="91">
        <v>969.5</v>
      </c>
      <c r="Q764" s="91">
        <v>968.40002440000001</v>
      </c>
      <c r="R764" s="91">
        <v>955.48474120000003</v>
      </c>
      <c r="S764" s="91">
        <v>15068024</v>
      </c>
      <c r="T764" s="91">
        <v>7.7999999999999996E-3</v>
      </c>
      <c r="V764" s="90">
        <v>45782</v>
      </c>
      <c r="W764" s="91">
        <v>1515</v>
      </c>
      <c r="X764" s="91">
        <v>1508.599976</v>
      </c>
      <c r="Y764" s="91">
        <v>1465.2373050000001</v>
      </c>
      <c r="Z764" s="91">
        <v>4282493</v>
      </c>
      <c r="AA764" s="91">
        <v>1.1000000000000001E-3</v>
      </c>
      <c r="AB764" s="91"/>
      <c r="AC764" s="90">
        <v>45782</v>
      </c>
      <c r="AD764" s="91">
        <v>5175</v>
      </c>
      <c r="AE764" s="91">
        <v>5370.5</v>
      </c>
      <c r="AF764" s="91">
        <v>5365.8515630000002</v>
      </c>
      <c r="AG764" s="91">
        <v>1310015</v>
      </c>
      <c r="AH764" s="91">
        <v>4.2000000000000003E-2</v>
      </c>
      <c r="AI764" s="91"/>
      <c r="AJ764" s="91">
        <f>(F764*'Part 3 Portfolio Analysis'!$B$8+M764*'Part 3 Portfolio Analysis'!$C$8+T764*'Part 3 Portfolio Analysis'!$D$8+AA764*'Part 3 Portfolio Analysis'!$E$8+AH764*'Part 3 Portfolio Analysis'!$F$8)/100</f>
        <v>4.6747461322847964E-3</v>
      </c>
      <c r="AK764" s="91">
        <f>'Part 3 Portfolio Analysis'!$B$107*F764+M764*'Part 3 Portfolio Analysis'!$C$107+T764*'Part 3 Portfolio Analysis'!$D$107+AA764*'Part 3 Portfolio Analysis'!$E$107+AH764*'Part 3 Portfolio Analysis'!$F$107</f>
        <v>1.4348300000000001E-2</v>
      </c>
      <c r="AL764" s="91">
        <f>F764*'Part 3 Portfolio Analysis'!$B$121+M764*'Part 3 Portfolio Analysis'!$C$121+'Part 3 Portfolio Analysis'!$D$121*T764+AA764*'Part 3 Portfolio Analysis'!$E$121+'Part 3 Portfolio Analysis'!$F$121*AH764</f>
        <v>6.799659999999999E-3</v>
      </c>
      <c r="AM764" s="91"/>
      <c r="AN764" s="90">
        <v>45782</v>
      </c>
      <c r="AO764" s="91">
        <v>24419.5</v>
      </c>
      <c r="AP764" s="91">
        <v>24461.150389999999</v>
      </c>
      <c r="AQ764" s="91">
        <v>24461.150389999999</v>
      </c>
      <c r="AR764" s="91">
        <v>291500</v>
      </c>
      <c r="AS764" s="91">
        <v>4.7000000000000002E-3</v>
      </c>
    </row>
    <row r="765" spans="1:45" x14ac:dyDescent="0.55000000000000004">
      <c r="A765" s="90">
        <v>45783</v>
      </c>
      <c r="B765" s="91">
        <v>5830</v>
      </c>
      <c r="C765" s="91">
        <v>5700</v>
      </c>
      <c r="D765" s="91">
        <v>5636.2416990000002</v>
      </c>
      <c r="E765" s="91">
        <v>148067</v>
      </c>
      <c r="F765" s="91">
        <v>-2.01E-2</v>
      </c>
      <c r="H765" s="90">
        <v>45783</v>
      </c>
      <c r="I765" s="91">
        <v>1431</v>
      </c>
      <c r="J765" s="91">
        <v>1420.900024</v>
      </c>
      <c r="K765" s="91">
        <v>1415.2476810000001</v>
      </c>
      <c r="L765" s="91">
        <v>14084117</v>
      </c>
      <c r="M765" s="91">
        <v>-7.3000000000000001E-3</v>
      </c>
      <c r="O765" s="90">
        <v>45783</v>
      </c>
      <c r="P765" s="91">
        <v>965</v>
      </c>
      <c r="Q765" s="91">
        <v>965.84997559999999</v>
      </c>
      <c r="R765" s="91">
        <v>952.96868900000004</v>
      </c>
      <c r="S765" s="91">
        <v>17490156</v>
      </c>
      <c r="T765" s="91">
        <v>-2.5999999999999999E-3</v>
      </c>
      <c r="V765" s="90">
        <v>45783</v>
      </c>
      <c r="W765" s="91">
        <v>1506</v>
      </c>
      <c r="X765" s="91">
        <v>1511.5</v>
      </c>
      <c r="Y765" s="91">
        <v>1468.0538329999999</v>
      </c>
      <c r="Z765" s="91">
        <v>4270530</v>
      </c>
      <c r="AA765" s="91">
        <v>1.9E-3</v>
      </c>
      <c r="AB765" s="91"/>
      <c r="AC765" s="90">
        <v>45783</v>
      </c>
      <c r="AD765" s="91">
        <v>5381</v>
      </c>
      <c r="AE765" s="91">
        <v>5224</v>
      </c>
      <c r="AF765" s="91">
        <v>5219.4780270000001</v>
      </c>
      <c r="AG765" s="91">
        <v>709414</v>
      </c>
      <c r="AH765" s="91">
        <v>-2.7300000000000001E-2</v>
      </c>
      <c r="AI765" s="91"/>
      <c r="AJ765" s="91">
        <f>(F765*'Part 3 Portfolio Analysis'!$B$8+M765*'Part 3 Portfolio Analysis'!$C$8+T765*'Part 3 Portfolio Analysis'!$D$8+AA765*'Part 3 Portfolio Analysis'!$E$8+AH765*'Part 3 Portfolio Analysis'!$F$8)/100</f>
        <v>-9.0708634010319717E-3</v>
      </c>
      <c r="AK765" s="91">
        <f>'Part 3 Portfolio Analysis'!$B$107*F765+M765*'Part 3 Portfolio Analysis'!$C$107+T765*'Part 3 Portfolio Analysis'!$D$107+AA765*'Part 3 Portfolio Analysis'!$E$107+AH765*'Part 3 Portfolio Analysis'!$F$107</f>
        <v>-1.29955E-2</v>
      </c>
      <c r="AL765" s="91">
        <f>F765*'Part 3 Portfolio Analysis'!$B$121+M765*'Part 3 Portfolio Analysis'!$C$121+'Part 3 Portfolio Analysis'!$D$121*T765+AA765*'Part 3 Portfolio Analysis'!$E$121+'Part 3 Portfolio Analysis'!$F$121*AH765</f>
        <v>-5.7577599999999989E-3</v>
      </c>
      <c r="AM765" s="91"/>
      <c r="AN765" s="90">
        <v>45783</v>
      </c>
      <c r="AO765" s="91">
        <v>24500.75</v>
      </c>
      <c r="AP765" s="91">
        <v>24379.599610000001</v>
      </c>
      <c r="AQ765" s="91">
        <v>24379.599610000001</v>
      </c>
      <c r="AR765" s="91">
        <v>302400</v>
      </c>
      <c r="AS765" s="91">
        <v>-3.3E-3</v>
      </c>
    </row>
    <row r="766" spans="1:45" x14ac:dyDescent="0.55000000000000004">
      <c r="A766" s="90">
        <v>45784</v>
      </c>
      <c r="B766" s="91">
        <v>5589</v>
      </c>
      <c r="C766" s="91">
        <v>5758</v>
      </c>
      <c r="D766" s="91">
        <v>5693.5927730000003</v>
      </c>
      <c r="E766" s="91">
        <v>132215</v>
      </c>
      <c r="F766" s="91">
        <v>1.0200000000000001E-2</v>
      </c>
      <c r="H766" s="90">
        <v>45784</v>
      </c>
      <c r="I766" s="91">
        <v>1420.900024</v>
      </c>
      <c r="J766" s="91">
        <v>1406</v>
      </c>
      <c r="K766" s="91">
        <v>1400.4068600000001</v>
      </c>
      <c r="L766" s="91">
        <v>13440169</v>
      </c>
      <c r="M766" s="91">
        <v>-1.0500000000000001E-2</v>
      </c>
      <c r="O766" s="90">
        <v>45784</v>
      </c>
      <c r="P766" s="91">
        <v>967</v>
      </c>
      <c r="Q766" s="91">
        <v>972.79998780000005</v>
      </c>
      <c r="R766" s="91">
        <v>959.82604979999996</v>
      </c>
      <c r="S766" s="91">
        <v>21420778</v>
      </c>
      <c r="T766" s="91">
        <v>7.1999999999999998E-3</v>
      </c>
      <c r="V766" s="90">
        <v>45784</v>
      </c>
      <c r="W766" s="91">
        <v>1500</v>
      </c>
      <c r="X766" s="91">
        <v>1508.3000489999999</v>
      </c>
      <c r="Y766" s="91">
        <v>1464.945923</v>
      </c>
      <c r="Z766" s="91">
        <v>5691799</v>
      </c>
      <c r="AA766" s="91">
        <v>-2.0999999999999999E-3</v>
      </c>
      <c r="AB766" s="91"/>
      <c r="AC766" s="90">
        <v>45784</v>
      </c>
      <c r="AD766" s="91">
        <v>5145</v>
      </c>
      <c r="AE766" s="91">
        <v>5233</v>
      </c>
      <c r="AF766" s="91">
        <v>5228.4702150000003</v>
      </c>
      <c r="AG766" s="91">
        <v>711009</v>
      </c>
      <c r="AH766" s="91">
        <v>1.6999999999999999E-3</v>
      </c>
      <c r="AI766" s="91"/>
      <c r="AJ766" s="91">
        <f>(F766*'Part 3 Portfolio Analysis'!$B$8+M766*'Part 3 Portfolio Analysis'!$C$8+T766*'Part 3 Portfolio Analysis'!$D$8+AA766*'Part 3 Portfolio Analysis'!$E$8+AH766*'Part 3 Portfolio Analysis'!$F$8)/100</f>
        <v>1.336646657861055E-4</v>
      </c>
      <c r="AK766" s="91">
        <f>'Part 3 Portfolio Analysis'!$B$107*F766+M766*'Part 3 Portfolio Analysis'!$C$107+T766*'Part 3 Portfolio Analysis'!$D$107+AA766*'Part 3 Portfolio Analysis'!$E$107+AH766*'Part 3 Portfolio Analysis'!$F$107</f>
        <v>-1.1610000000000038E-4</v>
      </c>
      <c r="AL766" s="91">
        <f>F766*'Part 3 Portfolio Analysis'!$B$121+M766*'Part 3 Portfolio Analysis'!$C$121+'Part 3 Portfolio Analysis'!$D$121*T766+AA766*'Part 3 Portfolio Analysis'!$E$121+'Part 3 Portfolio Analysis'!$F$121*AH766</f>
        <v>-1.9844199999999998E-3</v>
      </c>
      <c r="AM766" s="91"/>
      <c r="AN766" s="90">
        <v>45784</v>
      </c>
      <c r="AO766" s="91">
        <v>24233.300780000001</v>
      </c>
      <c r="AP766" s="91">
        <v>24414.400389999999</v>
      </c>
      <c r="AQ766" s="91">
        <v>24414.400389999999</v>
      </c>
      <c r="AR766" s="91">
        <v>330100</v>
      </c>
      <c r="AS766" s="91">
        <v>1.4E-3</v>
      </c>
    </row>
    <row r="767" spans="1:45" x14ac:dyDescent="0.55000000000000004">
      <c r="A767" s="90">
        <v>45785</v>
      </c>
      <c r="B767" s="91">
        <v>5758</v>
      </c>
      <c r="C767" s="91">
        <v>5711.5</v>
      </c>
      <c r="D767" s="91">
        <v>5647.6127930000002</v>
      </c>
      <c r="E767" s="91">
        <v>235617</v>
      </c>
      <c r="F767" s="91">
        <v>-8.0999999999999996E-3</v>
      </c>
      <c r="H767" s="90">
        <v>45785</v>
      </c>
      <c r="I767" s="91">
        <v>1404.099976</v>
      </c>
      <c r="J767" s="91">
        <v>1407</v>
      </c>
      <c r="K767" s="91">
        <v>1401.4029539999999</v>
      </c>
      <c r="L767" s="91">
        <v>16106175</v>
      </c>
      <c r="M767" s="91">
        <v>6.9999999999999999E-4</v>
      </c>
      <c r="O767" s="90">
        <v>45785</v>
      </c>
      <c r="P767" s="91">
        <v>977.40002440000001</v>
      </c>
      <c r="Q767" s="91">
        <v>964.25</v>
      </c>
      <c r="R767" s="91">
        <v>951.39007570000001</v>
      </c>
      <c r="S767" s="91">
        <v>34803430</v>
      </c>
      <c r="T767" s="91">
        <v>-8.8000000000000005E-3</v>
      </c>
      <c r="V767" s="90">
        <v>45785</v>
      </c>
      <c r="W767" s="91">
        <v>1508</v>
      </c>
      <c r="X767" s="91">
        <v>1511.400024</v>
      </c>
      <c r="Y767" s="91">
        <v>1467.956909</v>
      </c>
      <c r="Z767" s="91">
        <v>8424409</v>
      </c>
      <c r="AA767" s="91">
        <v>2.0999999999999999E-3</v>
      </c>
      <c r="AB767" s="91"/>
      <c r="AC767" s="90">
        <v>45785</v>
      </c>
      <c r="AD767" s="91">
        <v>5233</v>
      </c>
      <c r="AE767" s="91">
        <v>5226.5</v>
      </c>
      <c r="AF767" s="91">
        <v>5221.9760740000002</v>
      </c>
      <c r="AG767" s="91">
        <v>926044</v>
      </c>
      <c r="AH767" s="91">
        <v>-1.1999999999999999E-3</v>
      </c>
      <c r="AI767" s="91"/>
      <c r="AJ767" s="91">
        <f>(F767*'Part 3 Portfolio Analysis'!$B$8+M767*'Part 3 Portfolio Analysis'!$C$8+T767*'Part 3 Portfolio Analysis'!$D$8+AA767*'Part 3 Portfolio Analysis'!$E$8+AH767*'Part 3 Portfolio Analysis'!$F$8)/100</f>
        <v>-3.3179834901924886E-3</v>
      </c>
      <c r="AK767" s="91">
        <f>'Part 3 Portfolio Analysis'!$B$107*F767+M767*'Part 3 Portfolio Analysis'!$C$107+T767*'Part 3 Portfolio Analysis'!$D$107+AA767*'Part 3 Portfolio Analysis'!$E$107+AH767*'Part 3 Portfolio Analysis'!$F$107</f>
        <v>-2.6952999999999999E-3</v>
      </c>
      <c r="AL767" s="91">
        <f>F767*'Part 3 Portfolio Analysis'!$B$121+M767*'Part 3 Portfolio Analysis'!$C$121+'Part 3 Portfolio Analysis'!$D$121*T767+AA767*'Part 3 Portfolio Analysis'!$E$121+'Part 3 Portfolio Analysis'!$F$121*AH767</f>
        <v>-2.3771400000000002E-3</v>
      </c>
      <c r="AM767" s="91"/>
      <c r="AN767" s="90">
        <v>45785</v>
      </c>
      <c r="AO767" s="91">
        <v>24431.5</v>
      </c>
      <c r="AP767" s="91">
        <v>24273.800780000001</v>
      </c>
      <c r="AQ767" s="91">
        <v>24273.800780000001</v>
      </c>
      <c r="AR767" s="91">
        <v>411400</v>
      </c>
      <c r="AS767" s="91">
        <v>-5.7999999999999996E-3</v>
      </c>
    </row>
    <row r="768" spans="1:45" x14ac:dyDescent="0.55000000000000004">
      <c r="A768" s="90">
        <v>45786</v>
      </c>
      <c r="B768" s="91">
        <v>5400</v>
      </c>
      <c r="C768" s="91">
        <v>5738</v>
      </c>
      <c r="D768" s="91">
        <v>5673.8164059999999</v>
      </c>
      <c r="E768" s="91">
        <v>311908</v>
      </c>
      <c r="F768" s="91">
        <v>4.5999999999999999E-3</v>
      </c>
      <c r="H768" s="90">
        <v>45786</v>
      </c>
      <c r="I768" s="91">
        <v>1385.5</v>
      </c>
      <c r="J768" s="91">
        <v>1377.1999510000001</v>
      </c>
      <c r="K768" s="91">
        <v>1371.721436</v>
      </c>
      <c r="L768" s="91">
        <v>13668904</v>
      </c>
      <c r="M768" s="91">
        <v>-2.12E-2</v>
      </c>
      <c r="O768" s="90">
        <v>45786</v>
      </c>
      <c r="P768" s="91">
        <v>955.04998780000005</v>
      </c>
      <c r="Q768" s="91">
        <v>944.84997559999999</v>
      </c>
      <c r="R768" s="91">
        <v>932.24877930000002</v>
      </c>
      <c r="S768" s="91">
        <v>17188796</v>
      </c>
      <c r="T768" s="91">
        <v>-2.01E-2</v>
      </c>
      <c r="V768" s="90">
        <v>45786</v>
      </c>
      <c r="W768" s="91">
        <v>1500.6999510000001</v>
      </c>
      <c r="X768" s="91">
        <v>1507.599976</v>
      </c>
      <c r="Y768" s="91">
        <v>1464.265991</v>
      </c>
      <c r="Z768" s="91">
        <v>4478653</v>
      </c>
      <c r="AA768" s="91">
        <v>-2.5000000000000001E-3</v>
      </c>
      <c r="AB768" s="91"/>
      <c r="AC768" s="90">
        <v>45786</v>
      </c>
      <c r="AD768" s="91">
        <v>5063.5</v>
      </c>
      <c r="AE768" s="91">
        <v>5113</v>
      </c>
      <c r="AF768" s="91">
        <v>5108.5742190000001</v>
      </c>
      <c r="AG768" s="91">
        <v>778167</v>
      </c>
      <c r="AH768" s="91">
        <v>-2.1700000000000001E-2</v>
      </c>
      <c r="AI768" s="91"/>
      <c r="AJ768" s="91">
        <f>(F768*'Part 3 Portfolio Analysis'!$B$8+M768*'Part 3 Portfolio Analysis'!$C$8+T768*'Part 3 Portfolio Analysis'!$D$8+AA768*'Part 3 Portfolio Analysis'!$E$8+AH768*'Part 3 Portfolio Analysis'!$F$8)/100</f>
        <v>-1.0271935070917193E-2</v>
      </c>
      <c r="AK768" s="91">
        <f>'Part 3 Portfolio Analysis'!$B$107*F768+M768*'Part 3 Portfolio Analysis'!$C$107+T768*'Part 3 Portfolio Analysis'!$D$107+AA768*'Part 3 Portfolio Analysis'!$E$107+AH768*'Part 3 Portfolio Analysis'!$F$107</f>
        <v>-1.46415E-2</v>
      </c>
      <c r="AL768" s="91">
        <f>F768*'Part 3 Portfolio Analysis'!$B$121+M768*'Part 3 Portfolio Analysis'!$C$121+'Part 3 Portfolio Analysis'!$D$121*T768+AA768*'Part 3 Portfolio Analysis'!$E$121+'Part 3 Portfolio Analysis'!$F$121*AH768</f>
        <v>-1.505314E-2</v>
      </c>
      <c r="AM768" s="91"/>
      <c r="AN768" s="90">
        <v>45786</v>
      </c>
      <c r="AO768" s="91">
        <v>23935.75</v>
      </c>
      <c r="AP768" s="91">
        <v>24008</v>
      </c>
      <c r="AQ768" s="91">
        <v>24008</v>
      </c>
      <c r="AR768" s="91">
        <v>335600</v>
      </c>
      <c r="AS768" s="91">
        <v>-1.0999999999999999E-2</v>
      </c>
    </row>
    <row r="769" spans="1:45" x14ac:dyDescent="0.55000000000000004">
      <c r="A769" s="90">
        <v>45789</v>
      </c>
      <c r="B769" s="91">
        <v>5851.5</v>
      </c>
      <c r="C769" s="91">
        <v>6100</v>
      </c>
      <c r="D769" s="91">
        <v>6031.7670900000003</v>
      </c>
      <c r="E769" s="91">
        <v>462268</v>
      </c>
      <c r="F769" s="91">
        <v>6.3100000000000003E-2</v>
      </c>
      <c r="H769" s="90">
        <v>45789</v>
      </c>
      <c r="I769" s="91">
        <v>1400</v>
      </c>
      <c r="J769" s="91">
        <v>1436.5</v>
      </c>
      <c r="K769" s="91">
        <v>1430.7855219999999</v>
      </c>
      <c r="L769" s="91">
        <v>10674081</v>
      </c>
      <c r="M769" s="91">
        <v>4.3099999999999999E-2</v>
      </c>
      <c r="O769" s="90">
        <v>45789</v>
      </c>
      <c r="P769" s="91">
        <v>958.79998780000005</v>
      </c>
      <c r="Q769" s="91">
        <v>978.59997559999999</v>
      </c>
      <c r="R769" s="91">
        <v>965.5487061</v>
      </c>
      <c r="S769" s="91">
        <v>18618972</v>
      </c>
      <c r="T769" s="91">
        <v>3.5700000000000003E-2</v>
      </c>
      <c r="V769" s="90">
        <v>45789</v>
      </c>
      <c r="W769" s="91">
        <v>1537</v>
      </c>
      <c r="X769" s="91">
        <v>1626.900024</v>
      </c>
      <c r="Y769" s="91">
        <v>1580.1369629999999</v>
      </c>
      <c r="Z769" s="91">
        <v>11372857</v>
      </c>
      <c r="AA769" s="91">
        <v>7.9100000000000004E-2</v>
      </c>
      <c r="AB769" s="91"/>
      <c r="AC769" s="90">
        <v>45789</v>
      </c>
      <c r="AD769" s="91">
        <v>5330</v>
      </c>
      <c r="AE769" s="91">
        <v>5441</v>
      </c>
      <c r="AF769" s="91">
        <v>5436.2905270000001</v>
      </c>
      <c r="AG769" s="91">
        <v>1203631</v>
      </c>
      <c r="AH769" s="91">
        <v>6.4199999999999993E-2</v>
      </c>
      <c r="AI769" s="91"/>
      <c r="AJ769" s="91">
        <f>(F769*'Part 3 Portfolio Analysis'!$B$8+M769*'Part 3 Portfolio Analysis'!$C$8+T769*'Part 3 Portfolio Analysis'!$D$8+AA769*'Part 3 Portfolio Analysis'!$E$8+AH769*'Part 3 Portfolio Analysis'!$F$8)/100</f>
        <v>5.3865417425533677E-2</v>
      </c>
      <c r="AK769" s="91">
        <f>'Part 3 Portfolio Analysis'!$B$107*F769+M769*'Part 3 Portfolio Analysis'!$C$107+T769*'Part 3 Portfolio Analysis'!$D$107+AA769*'Part 3 Portfolio Analysis'!$E$107+AH769*'Part 3 Portfolio Analysis'!$F$107</f>
        <v>5.4470199999999996E-2</v>
      </c>
      <c r="AL769" s="91">
        <f>F769*'Part 3 Portfolio Analysis'!$B$121+M769*'Part 3 Portfolio Analysis'!$C$121+'Part 3 Portfolio Analysis'!$D$121*T769+AA769*'Part 3 Portfolio Analysis'!$E$121+'Part 3 Portfolio Analysis'!$F$121*AH769</f>
        <v>5.0484020000000004E-2</v>
      </c>
      <c r="AM769" s="91"/>
      <c r="AN769" s="90">
        <v>45789</v>
      </c>
      <c r="AO769" s="91">
        <v>24420.099610000001</v>
      </c>
      <c r="AP769" s="91">
        <v>24924.699219999999</v>
      </c>
      <c r="AQ769" s="91">
        <v>24924.699219999999</v>
      </c>
      <c r="AR769" s="91">
        <v>368700</v>
      </c>
      <c r="AS769" s="91">
        <v>3.8199999999999998E-2</v>
      </c>
    </row>
    <row r="770" spans="1:45" x14ac:dyDescent="0.55000000000000004">
      <c r="A770" s="90">
        <v>45790</v>
      </c>
      <c r="B770" s="91">
        <v>6109.5</v>
      </c>
      <c r="C770" s="91">
        <v>5986</v>
      </c>
      <c r="D770" s="91">
        <v>5919.0424800000001</v>
      </c>
      <c r="E770" s="91">
        <v>222313</v>
      </c>
      <c r="F770" s="91">
        <v>-1.8700000000000001E-2</v>
      </c>
      <c r="H770" s="90">
        <v>45790</v>
      </c>
      <c r="I770" s="91">
        <v>1433.5</v>
      </c>
      <c r="J770" s="91">
        <v>1415.6999510000001</v>
      </c>
      <c r="K770" s="91">
        <v>1410.068237</v>
      </c>
      <c r="L770" s="91">
        <v>11407896</v>
      </c>
      <c r="M770" s="91">
        <v>-1.4500000000000001E-2</v>
      </c>
      <c r="O770" s="90">
        <v>45790</v>
      </c>
      <c r="P770" s="91">
        <v>975</v>
      </c>
      <c r="Q770" s="91">
        <v>961.29998780000005</v>
      </c>
      <c r="R770" s="91">
        <v>948.47937009999998</v>
      </c>
      <c r="S770" s="91">
        <v>24242102</v>
      </c>
      <c r="T770" s="91">
        <v>-1.77E-2</v>
      </c>
      <c r="V770" s="90">
        <v>45790</v>
      </c>
      <c r="W770" s="91">
        <v>1609</v>
      </c>
      <c r="X770" s="91">
        <v>1568.599976</v>
      </c>
      <c r="Y770" s="91">
        <v>1523.512573</v>
      </c>
      <c r="Z770" s="91">
        <v>12846210</v>
      </c>
      <c r="AA770" s="91">
        <v>-3.5799999999999998E-2</v>
      </c>
      <c r="AB770" s="91"/>
      <c r="AC770" s="90">
        <v>45790</v>
      </c>
      <c r="AD770" s="91">
        <v>5444</v>
      </c>
      <c r="AE770" s="91">
        <v>5326.5</v>
      </c>
      <c r="AF770" s="91">
        <v>5321.8896480000003</v>
      </c>
      <c r="AG770" s="91">
        <v>728870</v>
      </c>
      <c r="AH770" s="91">
        <v>-2.1000000000000001E-2</v>
      </c>
      <c r="AI770" s="91"/>
      <c r="AJ770" s="91">
        <f>(F770*'Part 3 Portfolio Analysis'!$B$8+M770*'Part 3 Portfolio Analysis'!$C$8+T770*'Part 3 Portfolio Analysis'!$D$8+AA770*'Part 3 Portfolio Analysis'!$E$8+AH770*'Part 3 Portfolio Analysis'!$F$8)/100</f>
        <v>-1.9785214059346381E-2</v>
      </c>
      <c r="AK770" s="91">
        <f>'Part 3 Portfolio Analysis'!$B$107*F770+M770*'Part 3 Portfolio Analysis'!$C$107+T770*'Part 3 Portfolio Analysis'!$D$107+AA770*'Part 3 Portfolio Analysis'!$E$107+AH770*'Part 3 Portfolio Analysis'!$F$107</f>
        <v>-1.9519999999999999E-2</v>
      </c>
      <c r="AL770" s="91">
        <f>F770*'Part 3 Portfolio Analysis'!$B$121+M770*'Part 3 Portfolio Analysis'!$C$121+'Part 3 Portfolio Analysis'!$D$121*T770+AA770*'Part 3 Portfolio Analysis'!$E$121+'Part 3 Portfolio Analysis'!$F$121*AH770</f>
        <v>-2.0145940000000001E-2</v>
      </c>
      <c r="AM770" s="91"/>
      <c r="AN770" s="90">
        <v>45790</v>
      </c>
      <c r="AO770" s="91">
        <v>24864.050780000001</v>
      </c>
      <c r="AP770" s="91">
        <v>24578.349610000001</v>
      </c>
      <c r="AQ770" s="91">
        <v>24578.349610000001</v>
      </c>
      <c r="AR770" s="91">
        <v>423000</v>
      </c>
      <c r="AS770" s="91">
        <v>-1.3899999999999999E-2</v>
      </c>
    </row>
    <row r="771" spans="1:45" x14ac:dyDescent="0.55000000000000004">
      <c r="A771" s="90">
        <v>45791</v>
      </c>
      <c r="B771" s="91">
        <v>6040.5</v>
      </c>
      <c r="C771" s="91">
        <v>6100.5</v>
      </c>
      <c r="D771" s="91">
        <v>6032.2617190000001</v>
      </c>
      <c r="E771" s="91">
        <v>419269</v>
      </c>
      <c r="F771" s="91">
        <v>1.9099999999999999E-2</v>
      </c>
      <c r="H771" s="90">
        <v>45791</v>
      </c>
      <c r="I771" s="91">
        <v>1420</v>
      </c>
      <c r="J771" s="91">
        <v>1424.400024</v>
      </c>
      <c r="K771" s="91">
        <v>1418.7337649999999</v>
      </c>
      <c r="L771" s="91">
        <v>5570160</v>
      </c>
      <c r="M771" s="91">
        <v>6.1000000000000004E-3</v>
      </c>
      <c r="O771" s="90">
        <v>45791</v>
      </c>
      <c r="P771" s="91">
        <v>961.04998780000005</v>
      </c>
      <c r="Q771" s="91">
        <v>955.29998780000005</v>
      </c>
      <c r="R771" s="91">
        <v>942.55944820000002</v>
      </c>
      <c r="S771" s="91">
        <v>15445308</v>
      </c>
      <c r="T771" s="91">
        <v>-6.1999999999999998E-3</v>
      </c>
      <c r="V771" s="90">
        <v>45791</v>
      </c>
      <c r="W771" s="91">
        <v>1574</v>
      </c>
      <c r="X771" s="91">
        <v>1592.400024</v>
      </c>
      <c r="Y771" s="91">
        <v>1546.6285399999999</v>
      </c>
      <c r="Z771" s="91">
        <v>4870057</v>
      </c>
      <c r="AA771" s="91">
        <v>1.52E-2</v>
      </c>
      <c r="AB771" s="91"/>
      <c r="AC771" s="90">
        <v>45791</v>
      </c>
      <c r="AD771" s="91">
        <v>5340</v>
      </c>
      <c r="AE771" s="91">
        <v>5362</v>
      </c>
      <c r="AF771" s="91">
        <v>5357.3588870000003</v>
      </c>
      <c r="AG771" s="91">
        <v>557468</v>
      </c>
      <c r="AH771" s="91">
        <v>6.7000000000000002E-3</v>
      </c>
      <c r="AI771" s="91"/>
      <c r="AJ771" s="91">
        <f>(F771*'Part 3 Portfolio Analysis'!$B$8+M771*'Part 3 Portfolio Analysis'!$C$8+T771*'Part 3 Portfolio Analysis'!$D$8+AA771*'Part 3 Portfolio Analysis'!$E$8+AH771*'Part 3 Portfolio Analysis'!$F$8)/100</f>
        <v>9.4185634287856541E-3</v>
      </c>
      <c r="AK771" s="91">
        <f>'Part 3 Portfolio Analysis'!$B$107*F771+M771*'Part 3 Portfolio Analysis'!$C$107+T771*'Part 3 Portfolio Analysis'!$D$107+AA771*'Part 3 Portfolio Analysis'!$E$107+AH771*'Part 3 Portfolio Analysis'!$F$107</f>
        <v>7.5946999999999994E-3</v>
      </c>
      <c r="AL771" s="91">
        <f>F771*'Part 3 Portfolio Analysis'!$B$121+M771*'Part 3 Portfolio Analysis'!$C$121+'Part 3 Portfolio Analysis'!$D$121*T771+AA771*'Part 3 Portfolio Analysis'!$E$121+'Part 3 Portfolio Analysis'!$F$121*AH771</f>
        <v>5.6587199999999999E-3</v>
      </c>
      <c r="AM771" s="91"/>
      <c r="AN771" s="90">
        <v>45791</v>
      </c>
      <c r="AO771" s="91">
        <v>24613.800780000001</v>
      </c>
      <c r="AP771" s="91">
        <v>24666.900389999999</v>
      </c>
      <c r="AQ771" s="91">
        <v>24666.900389999999</v>
      </c>
      <c r="AR771" s="91">
        <v>345500</v>
      </c>
      <c r="AS771" s="91">
        <v>3.5999999999999999E-3</v>
      </c>
    </row>
    <row r="772" spans="1:45" x14ac:dyDescent="0.55000000000000004">
      <c r="A772" s="90">
        <v>45792</v>
      </c>
      <c r="B772" s="91">
        <v>6100.5</v>
      </c>
      <c r="C772" s="91">
        <v>6180.5</v>
      </c>
      <c r="D772" s="91">
        <v>6111.3666990000002</v>
      </c>
      <c r="E772" s="91">
        <v>257339</v>
      </c>
      <c r="F772" s="91">
        <v>1.3100000000000001E-2</v>
      </c>
      <c r="H772" s="90">
        <v>45792</v>
      </c>
      <c r="I772" s="91">
        <v>1425</v>
      </c>
      <c r="J772" s="91">
        <v>1454.1999510000001</v>
      </c>
      <c r="K772" s="91">
        <v>1448.4151609999999</v>
      </c>
      <c r="L772" s="91">
        <v>20177211</v>
      </c>
      <c r="M772" s="91">
        <v>2.0899999999999998E-2</v>
      </c>
      <c r="O772" s="90">
        <v>45792</v>
      </c>
      <c r="P772" s="91">
        <v>956.75</v>
      </c>
      <c r="Q772" s="91">
        <v>966.90002440000001</v>
      </c>
      <c r="R772" s="91">
        <v>954.00476070000002</v>
      </c>
      <c r="S772" s="91">
        <v>32241458</v>
      </c>
      <c r="T772" s="91">
        <v>1.21E-2</v>
      </c>
      <c r="V772" s="90">
        <v>45792</v>
      </c>
      <c r="W772" s="91">
        <v>1589.8000489999999</v>
      </c>
      <c r="X772" s="91">
        <v>1613</v>
      </c>
      <c r="Y772" s="91">
        <v>1566.6363530000001</v>
      </c>
      <c r="Z772" s="91">
        <v>11151167</v>
      </c>
      <c r="AA772" s="91">
        <v>1.29E-2</v>
      </c>
      <c r="AB772" s="91"/>
      <c r="AC772" s="90">
        <v>45792</v>
      </c>
      <c r="AD772" s="91">
        <v>5362</v>
      </c>
      <c r="AE772" s="91">
        <v>5577.5</v>
      </c>
      <c r="AF772" s="91">
        <v>5572.6723629999997</v>
      </c>
      <c r="AG772" s="91">
        <v>1521892</v>
      </c>
      <c r="AH772" s="91">
        <v>4.02E-2</v>
      </c>
      <c r="AI772" s="91"/>
      <c r="AJ772" s="91">
        <f>(F772*'Part 3 Portfolio Analysis'!$B$8+M772*'Part 3 Portfolio Analysis'!$C$8+T772*'Part 3 Portfolio Analysis'!$D$8+AA772*'Part 3 Portfolio Analysis'!$E$8+AH772*'Part 3 Portfolio Analysis'!$F$8)/100</f>
        <v>1.5993210095365137E-2</v>
      </c>
      <c r="AK772" s="91">
        <f>'Part 3 Portfolio Analysis'!$B$107*F772+M772*'Part 3 Portfolio Analysis'!$C$107+T772*'Part 3 Portfolio Analysis'!$D$107+AA772*'Part 3 Portfolio Analysis'!$E$107+AH772*'Part 3 Portfolio Analysis'!$F$107</f>
        <v>2.2195599999999999E-2</v>
      </c>
      <c r="AL772" s="91">
        <f>F772*'Part 3 Portfolio Analysis'!$B$121+M772*'Part 3 Portfolio Analysis'!$C$121+'Part 3 Portfolio Analysis'!$D$121*T772+AA772*'Part 3 Portfolio Analysis'!$E$121+'Part 3 Portfolio Analysis'!$F$121*AH772</f>
        <v>1.6770899999999998E-2</v>
      </c>
      <c r="AM772" s="91"/>
      <c r="AN772" s="90">
        <v>45792</v>
      </c>
      <c r="AO772" s="91">
        <v>24694.449219999999</v>
      </c>
      <c r="AP772" s="91">
        <v>25062.099610000001</v>
      </c>
      <c r="AQ772" s="91">
        <v>25062.099610000001</v>
      </c>
      <c r="AR772" s="91">
        <v>500800</v>
      </c>
      <c r="AS772" s="91">
        <v>1.6E-2</v>
      </c>
    </row>
    <row r="773" spans="1:45" x14ac:dyDescent="0.55000000000000004">
      <c r="A773" s="90">
        <v>45793</v>
      </c>
      <c r="B773" s="91">
        <v>6219.5</v>
      </c>
      <c r="C773" s="91">
        <v>6212</v>
      </c>
      <c r="D773" s="91">
        <v>6142.5141599999997</v>
      </c>
      <c r="E773" s="91">
        <v>140760</v>
      </c>
      <c r="F773" s="91">
        <v>5.1000000000000004E-3</v>
      </c>
      <c r="H773" s="90">
        <v>45793</v>
      </c>
      <c r="I773" s="91">
        <v>1453.1999510000001</v>
      </c>
      <c r="J773" s="91">
        <v>1456.400024</v>
      </c>
      <c r="K773" s="91">
        <v>1450.6064449999999</v>
      </c>
      <c r="L773" s="91">
        <v>9036695</v>
      </c>
      <c r="M773" s="91">
        <v>1.5E-3</v>
      </c>
      <c r="O773" s="90">
        <v>45793</v>
      </c>
      <c r="P773" s="91">
        <v>966.90002440000001</v>
      </c>
      <c r="Q773" s="91">
        <v>967.34997559999999</v>
      </c>
      <c r="R773" s="91">
        <v>954.44873050000001</v>
      </c>
      <c r="S773" s="91">
        <v>15868010</v>
      </c>
      <c r="T773" s="91">
        <v>5.0000000000000001E-4</v>
      </c>
      <c r="V773" s="90">
        <v>45793</v>
      </c>
      <c r="W773" s="91">
        <v>1612.599976</v>
      </c>
      <c r="X773" s="91">
        <v>1589.900024</v>
      </c>
      <c r="Y773" s="91">
        <v>1544.200439</v>
      </c>
      <c r="Z773" s="91">
        <v>4576751</v>
      </c>
      <c r="AA773" s="91">
        <v>-1.43E-2</v>
      </c>
      <c r="AB773" s="91"/>
      <c r="AC773" s="90">
        <v>45793</v>
      </c>
      <c r="AD773" s="91">
        <v>5594</v>
      </c>
      <c r="AE773" s="91">
        <v>5583</v>
      </c>
      <c r="AF773" s="91">
        <v>5578.1674800000001</v>
      </c>
      <c r="AG773" s="91">
        <v>808195</v>
      </c>
      <c r="AH773" s="91">
        <v>1E-3</v>
      </c>
      <c r="AI773" s="91"/>
      <c r="AJ773" s="91">
        <f>(F773*'Part 3 Portfolio Analysis'!$B$8+M773*'Part 3 Portfolio Analysis'!$C$8+T773*'Part 3 Portfolio Analysis'!$D$8+AA773*'Part 3 Portfolio Analysis'!$E$8+AH773*'Part 3 Portfolio Analysis'!$F$8)/100</f>
        <v>-1.3444990315273063E-4</v>
      </c>
      <c r="AK773" s="91">
        <f>'Part 3 Portfolio Analysis'!$B$107*F773+M773*'Part 3 Portfolio Analysis'!$C$107+T773*'Part 3 Portfolio Analysis'!$D$107+AA773*'Part 3 Portfolio Analysis'!$E$107+AH773*'Part 3 Portfolio Analysis'!$F$107</f>
        <v>2.8700000000000009E-4</v>
      </c>
      <c r="AL773" s="91">
        <f>F773*'Part 3 Portfolio Analysis'!$B$121+M773*'Part 3 Portfolio Analysis'!$C$121+'Part 3 Portfolio Analysis'!$D$121*T773+AA773*'Part 3 Portfolio Analysis'!$E$121+'Part 3 Portfolio Analysis'!$F$121*AH773</f>
        <v>-1.6491799999999999E-3</v>
      </c>
      <c r="AM773" s="91"/>
      <c r="AN773" s="90">
        <v>45793</v>
      </c>
      <c r="AO773" s="91">
        <v>25064.650389999999</v>
      </c>
      <c r="AP773" s="91">
        <v>25019.800780000001</v>
      </c>
      <c r="AQ773" s="91">
        <v>25019.800780000001</v>
      </c>
      <c r="AR773" s="91">
        <v>432700</v>
      </c>
      <c r="AS773" s="91">
        <v>-1.6999999999999999E-3</v>
      </c>
    </row>
    <row r="774" spans="1:45" x14ac:dyDescent="0.55000000000000004">
      <c r="A774" s="90">
        <v>45796</v>
      </c>
      <c r="B774" s="91">
        <v>6229.5</v>
      </c>
      <c r="C774" s="91">
        <v>6245</v>
      </c>
      <c r="D774" s="91">
        <v>6175.1455079999996</v>
      </c>
      <c r="E774" s="91">
        <v>145251</v>
      </c>
      <c r="F774" s="91">
        <v>5.3E-3</v>
      </c>
      <c r="H774" s="90">
        <v>45796</v>
      </c>
      <c r="I774" s="91">
        <v>1452.099976</v>
      </c>
      <c r="J774" s="91">
        <v>1440.8000489999999</v>
      </c>
      <c r="K774" s="91">
        <v>1435.068481</v>
      </c>
      <c r="L774" s="91">
        <v>6195791</v>
      </c>
      <c r="M774" s="91">
        <v>-1.0699999999999999E-2</v>
      </c>
      <c r="O774" s="90">
        <v>45796</v>
      </c>
      <c r="P774" s="91">
        <v>968.5</v>
      </c>
      <c r="Q774" s="91">
        <v>969.34997559999999</v>
      </c>
      <c r="R774" s="91">
        <v>956.42205809999996</v>
      </c>
      <c r="S774" s="91">
        <v>10202964</v>
      </c>
      <c r="T774" s="91">
        <v>2.0999999999999999E-3</v>
      </c>
      <c r="V774" s="90">
        <v>45796</v>
      </c>
      <c r="W774" s="91">
        <v>1576.5</v>
      </c>
      <c r="X774" s="91">
        <v>1559.8000489999999</v>
      </c>
      <c r="Y774" s="91">
        <v>1514.9655760000001</v>
      </c>
      <c r="Z774" s="91">
        <v>8855798</v>
      </c>
      <c r="AA774" s="91">
        <v>-1.89E-2</v>
      </c>
      <c r="AB774" s="91"/>
      <c r="AC774" s="90">
        <v>45796</v>
      </c>
      <c r="AD774" s="91">
        <v>5610</v>
      </c>
      <c r="AE774" s="91">
        <v>5551</v>
      </c>
      <c r="AF774" s="91">
        <v>5546.1953130000002</v>
      </c>
      <c r="AG774" s="91">
        <v>604580</v>
      </c>
      <c r="AH774" s="91">
        <v>-5.7000000000000002E-3</v>
      </c>
      <c r="AI774" s="91"/>
      <c r="AJ774" s="91">
        <f>(F774*'Part 3 Portfolio Analysis'!$B$8+M774*'Part 3 Portfolio Analysis'!$C$8+T774*'Part 3 Portfolio Analysis'!$D$8+AA774*'Part 3 Portfolio Analysis'!$E$8+AH774*'Part 3 Portfolio Analysis'!$F$8)/100</f>
        <v>-5.0355847235602595E-3</v>
      </c>
      <c r="AK774" s="91">
        <f>'Part 3 Portfolio Analysis'!$B$107*F774+M774*'Part 3 Portfolio Analysis'!$C$107+T774*'Part 3 Portfolio Analysis'!$D$107+AA774*'Part 3 Portfolio Analysis'!$E$107+AH774*'Part 3 Portfolio Analysis'!$F$107</f>
        <v>-5.3960000000000006E-3</v>
      </c>
      <c r="AL774" s="91">
        <f>F774*'Part 3 Portfolio Analysis'!$B$121+M774*'Part 3 Portfolio Analysis'!$C$121+'Part 3 Portfolio Analysis'!$D$121*T774+AA774*'Part 3 Portfolio Analysis'!$E$121+'Part 3 Portfolio Analysis'!$F$121*AH774</f>
        <v>-7.4121999999999999E-3</v>
      </c>
      <c r="AM774" s="91"/>
      <c r="AN774" s="90">
        <v>45796</v>
      </c>
      <c r="AO774" s="91">
        <v>25005.349610000001</v>
      </c>
      <c r="AP774" s="91">
        <v>24945.449219999999</v>
      </c>
      <c r="AQ774" s="91">
        <v>24945.449219999999</v>
      </c>
      <c r="AR774" s="91">
        <v>255300</v>
      </c>
      <c r="AS774" s="91">
        <v>-3.0000000000000001E-3</v>
      </c>
    </row>
    <row r="775" spans="1:45" x14ac:dyDescent="0.55000000000000004">
      <c r="A775" s="90">
        <v>45797</v>
      </c>
      <c r="B775" s="91">
        <v>6309</v>
      </c>
      <c r="C775" s="91">
        <v>6195.5</v>
      </c>
      <c r="D775" s="91">
        <v>6126.1987300000001</v>
      </c>
      <c r="E775" s="91">
        <v>250930</v>
      </c>
      <c r="F775" s="91">
        <v>-7.9000000000000008E-3</v>
      </c>
      <c r="H775" s="90">
        <v>45797</v>
      </c>
      <c r="I775" s="91">
        <v>1438.1999510000001</v>
      </c>
      <c r="J775" s="91">
        <v>1424.599976</v>
      </c>
      <c r="K775" s="91">
        <v>1418.932861</v>
      </c>
      <c r="L775" s="91">
        <v>11270560</v>
      </c>
      <c r="M775" s="91">
        <v>-1.12E-2</v>
      </c>
      <c r="O775" s="90">
        <v>45797</v>
      </c>
      <c r="P775" s="91">
        <v>964.04998780000005</v>
      </c>
      <c r="Q775" s="91">
        <v>957.45001219999995</v>
      </c>
      <c r="R775" s="91">
        <v>944.68078609999998</v>
      </c>
      <c r="S775" s="91">
        <v>23879090</v>
      </c>
      <c r="T775" s="91">
        <v>-1.23E-2</v>
      </c>
      <c r="V775" s="90">
        <v>45797</v>
      </c>
      <c r="W775" s="91">
        <v>1570</v>
      </c>
      <c r="X775" s="91">
        <v>1560.599976</v>
      </c>
      <c r="Y775" s="91">
        <v>1515.7425539999999</v>
      </c>
      <c r="Z775" s="91">
        <v>7143998</v>
      </c>
      <c r="AA775" s="91">
        <v>5.0000000000000001E-4</v>
      </c>
      <c r="AB775" s="91"/>
      <c r="AC775" s="90">
        <v>45797</v>
      </c>
      <c r="AD775" s="91">
        <v>5604</v>
      </c>
      <c r="AE775" s="91">
        <v>5449.5</v>
      </c>
      <c r="AF775" s="91">
        <v>5444.783203</v>
      </c>
      <c r="AG775" s="91">
        <v>748551</v>
      </c>
      <c r="AH775" s="91">
        <v>-1.83E-2</v>
      </c>
      <c r="AI775" s="91"/>
      <c r="AJ775" s="91">
        <f>(F775*'Part 3 Portfolio Analysis'!$B$8+M775*'Part 3 Portfolio Analysis'!$C$8+T775*'Part 3 Portfolio Analysis'!$D$8+AA775*'Part 3 Portfolio Analysis'!$E$8+AH775*'Part 3 Portfolio Analysis'!$F$8)/100</f>
        <v>-8.5799637400337404E-3</v>
      </c>
      <c r="AK775" s="91">
        <f>'Part 3 Portfolio Analysis'!$B$107*F775+M775*'Part 3 Portfolio Analysis'!$C$107+T775*'Part 3 Portfolio Analysis'!$D$107+AA775*'Part 3 Portfolio Analysis'!$E$107+AH775*'Part 3 Portfolio Analysis'!$F$107</f>
        <v>-1.1395700000000002E-2</v>
      </c>
      <c r="AL775" s="91">
        <f>F775*'Part 3 Portfolio Analysis'!$B$121+M775*'Part 3 Portfolio Analysis'!$C$121+'Part 3 Portfolio Analysis'!$D$121*T775+AA775*'Part 3 Portfolio Analysis'!$E$121+'Part 3 Portfolio Analysis'!$F$121*AH775</f>
        <v>-9.073959999999999E-3</v>
      </c>
      <c r="AM775" s="91"/>
      <c r="AN775" s="90">
        <v>45797</v>
      </c>
      <c r="AO775" s="91">
        <v>24996.199219999999</v>
      </c>
      <c r="AP775" s="91">
        <v>24683.900389999999</v>
      </c>
      <c r="AQ775" s="91">
        <v>24683.900389999999</v>
      </c>
      <c r="AR775" s="91">
        <v>414800</v>
      </c>
      <c r="AS775" s="91">
        <v>-1.0500000000000001E-2</v>
      </c>
    </row>
    <row r="776" spans="1:45" x14ac:dyDescent="0.55000000000000004">
      <c r="A776" s="90">
        <v>45798</v>
      </c>
      <c r="B776" s="91">
        <v>6195.5</v>
      </c>
      <c r="C776" s="91">
        <v>6184.5</v>
      </c>
      <c r="D776" s="91">
        <v>6115.3217770000001</v>
      </c>
      <c r="E776" s="91">
        <v>105149</v>
      </c>
      <c r="F776" s="91">
        <v>-1.8E-3</v>
      </c>
      <c r="H776" s="90">
        <v>45798</v>
      </c>
      <c r="I776" s="91">
        <v>1423.900024</v>
      </c>
      <c r="J776" s="91">
        <v>1429.1999510000001</v>
      </c>
      <c r="K776" s="91">
        <v>1423.5145259999999</v>
      </c>
      <c r="L776" s="91">
        <v>6136364</v>
      </c>
      <c r="M776" s="91">
        <v>3.2000000000000002E-3</v>
      </c>
      <c r="O776" s="90">
        <v>45798</v>
      </c>
      <c r="P776" s="91">
        <v>963.5</v>
      </c>
      <c r="Q776" s="91">
        <v>963.40002440000001</v>
      </c>
      <c r="R776" s="91">
        <v>950.55145259999995</v>
      </c>
      <c r="S776" s="91">
        <v>15132040</v>
      </c>
      <c r="T776" s="91">
        <v>6.1999999999999998E-3</v>
      </c>
      <c r="V776" s="90">
        <v>45798</v>
      </c>
      <c r="W776" s="91">
        <v>1567.900024</v>
      </c>
      <c r="X776" s="91">
        <v>1568.5</v>
      </c>
      <c r="Y776" s="91">
        <v>1523.4155270000001</v>
      </c>
      <c r="Z776" s="91">
        <v>4157309</v>
      </c>
      <c r="AA776" s="91">
        <v>5.1000000000000004E-3</v>
      </c>
      <c r="AB776" s="91"/>
      <c r="AC776" s="90">
        <v>45798</v>
      </c>
      <c r="AD776" s="91">
        <v>5450.5</v>
      </c>
      <c r="AE776" s="91">
        <v>5443.5</v>
      </c>
      <c r="AF776" s="91">
        <v>5438.7880859999996</v>
      </c>
      <c r="AG776" s="91">
        <v>607763</v>
      </c>
      <c r="AH776" s="91">
        <v>-1.1000000000000001E-3</v>
      </c>
      <c r="AI776" s="91"/>
      <c r="AJ776" s="91">
        <f>(F776*'Part 3 Portfolio Analysis'!$B$8+M776*'Part 3 Portfolio Analysis'!$C$8+T776*'Part 3 Portfolio Analysis'!$D$8+AA776*'Part 3 Portfolio Analysis'!$E$8+AH776*'Part 3 Portfolio Analysis'!$F$8)/100</f>
        <v>2.4641854178382066E-3</v>
      </c>
      <c r="AK776" s="91">
        <f>'Part 3 Portfolio Analysis'!$B$107*F776+M776*'Part 3 Portfolio Analysis'!$C$107+T776*'Part 3 Portfolio Analysis'!$D$107+AA776*'Part 3 Portfolio Analysis'!$E$107+AH776*'Part 3 Portfolio Analysis'!$F$107</f>
        <v>1.8714000000000001E-3</v>
      </c>
      <c r="AL776" s="91">
        <f>F776*'Part 3 Portfolio Analysis'!$B$121+M776*'Part 3 Portfolio Analysis'!$C$121+'Part 3 Portfolio Analysis'!$D$121*T776+AA776*'Part 3 Portfolio Analysis'!$E$121+'Part 3 Portfolio Analysis'!$F$121*AH776</f>
        <v>3.8723399999999997E-3</v>
      </c>
      <c r="AM776" s="91"/>
      <c r="AN776" s="90">
        <v>45798</v>
      </c>
      <c r="AO776" s="91">
        <v>24744.25</v>
      </c>
      <c r="AP776" s="91">
        <v>24813.449219999999</v>
      </c>
      <c r="AQ776" s="91">
        <v>24813.449219999999</v>
      </c>
      <c r="AR776" s="91">
        <v>332700</v>
      </c>
      <c r="AS776" s="91">
        <v>5.1999999999999998E-3</v>
      </c>
    </row>
    <row r="777" spans="1:45" x14ac:dyDescent="0.55000000000000004">
      <c r="A777" s="90">
        <v>45799</v>
      </c>
      <c r="B777" s="91">
        <v>6180</v>
      </c>
      <c r="C777" s="91">
        <v>6202.5</v>
      </c>
      <c r="D777" s="91">
        <v>6133.1206050000001</v>
      </c>
      <c r="E777" s="91">
        <v>104618</v>
      </c>
      <c r="F777" s="91">
        <v>2.8999999999999998E-3</v>
      </c>
      <c r="H777" s="90">
        <v>45799</v>
      </c>
      <c r="I777" s="91">
        <v>1421.1999510000001</v>
      </c>
      <c r="J777" s="91">
        <v>1409.400024</v>
      </c>
      <c r="K777" s="91">
        <v>1403.793457</v>
      </c>
      <c r="L777" s="91">
        <v>12134466</v>
      </c>
      <c r="M777" s="91">
        <v>-1.3899999999999999E-2</v>
      </c>
      <c r="O777" s="90">
        <v>45799</v>
      </c>
      <c r="P777" s="91">
        <v>957.59997559999999</v>
      </c>
      <c r="Q777" s="91">
        <v>959.95001219999995</v>
      </c>
      <c r="R777" s="91">
        <v>947.14746090000006</v>
      </c>
      <c r="S777" s="91">
        <v>21306670</v>
      </c>
      <c r="T777" s="91">
        <v>-3.5999999999999999E-3</v>
      </c>
      <c r="V777" s="90">
        <v>45799</v>
      </c>
      <c r="W777" s="91">
        <v>1555.5</v>
      </c>
      <c r="X777" s="91">
        <v>1547.5</v>
      </c>
      <c r="Y777" s="91">
        <v>1503.019043</v>
      </c>
      <c r="Z777" s="91">
        <v>6158990</v>
      </c>
      <c r="AA777" s="91">
        <v>-1.34E-2</v>
      </c>
      <c r="AB777" s="91"/>
      <c r="AC777" s="90">
        <v>45799</v>
      </c>
      <c r="AD777" s="91">
        <v>5441</v>
      </c>
      <c r="AE777" s="91">
        <v>5342</v>
      </c>
      <c r="AF777" s="91">
        <v>5337.3759769999997</v>
      </c>
      <c r="AG777" s="91">
        <v>962354</v>
      </c>
      <c r="AH777" s="91">
        <v>-1.8599999999999998E-2</v>
      </c>
      <c r="AI777" s="91"/>
      <c r="AJ777" s="91">
        <f>(F777*'Part 3 Portfolio Analysis'!$B$8+M777*'Part 3 Portfolio Analysis'!$C$8+T777*'Part 3 Portfolio Analysis'!$D$8+AA777*'Part 3 Portfolio Analysis'!$E$8+AH777*'Part 3 Portfolio Analysis'!$F$8)/100</f>
        <v>-7.1072983055723874E-3</v>
      </c>
      <c r="AK777" s="91">
        <f>'Part 3 Portfolio Analysis'!$B$107*F777+M777*'Part 3 Portfolio Analysis'!$C$107+T777*'Part 3 Portfolio Analysis'!$D$107+AA777*'Part 3 Portfolio Analysis'!$E$107+AH777*'Part 3 Portfolio Analysis'!$F$107</f>
        <v>-1.04139E-2</v>
      </c>
      <c r="AL777" s="91">
        <f>F777*'Part 3 Portfolio Analysis'!$B$121+M777*'Part 3 Portfolio Analysis'!$C$121+'Part 3 Portfolio Analysis'!$D$121*T777+AA777*'Part 3 Portfolio Analysis'!$E$121+'Part 3 Portfolio Analysis'!$F$121*AH777</f>
        <v>-9.7405799999999987E-3</v>
      </c>
      <c r="AM777" s="91"/>
      <c r="AN777" s="90">
        <v>45799</v>
      </c>
      <c r="AO777" s="91">
        <v>24733.949219999999</v>
      </c>
      <c r="AP777" s="91">
        <v>24609.699219999999</v>
      </c>
      <c r="AQ777" s="91">
        <v>24609.699219999999</v>
      </c>
      <c r="AR777" s="91">
        <v>403300</v>
      </c>
      <c r="AS777" s="91">
        <v>-8.2000000000000007E-3</v>
      </c>
    </row>
    <row r="778" spans="1:45" x14ac:dyDescent="0.55000000000000004">
      <c r="A778" s="90">
        <v>45800</v>
      </c>
      <c r="B778" s="91">
        <v>6210</v>
      </c>
      <c r="C778" s="91">
        <v>6290.5</v>
      </c>
      <c r="D778" s="91">
        <v>6220.1362300000001</v>
      </c>
      <c r="E778" s="91">
        <v>158757</v>
      </c>
      <c r="F778" s="91">
        <v>1.4200000000000001E-2</v>
      </c>
      <c r="H778" s="90">
        <v>45800</v>
      </c>
      <c r="I778" s="91">
        <v>1406.599976</v>
      </c>
      <c r="J778" s="91">
        <v>1426.8000489999999</v>
      </c>
      <c r="K778" s="91">
        <v>1421.124268</v>
      </c>
      <c r="L778" s="91">
        <v>6474883</v>
      </c>
      <c r="M778" s="91">
        <v>1.23E-2</v>
      </c>
      <c r="O778" s="90">
        <v>45800</v>
      </c>
      <c r="P778" s="91">
        <v>960.04998780000005</v>
      </c>
      <c r="Q778" s="91">
        <v>966.79998780000005</v>
      </c>
      <c r="R778" s="91">
        <v>953.90606690000004</v>
      </c>
      <c r="S778" s="91">
        <v>9566072</v>
      </c>
      <c r="T778" s="91">
        <v>7.1000000000000004E-3</v>
      </c>
      <c r="V778" s="90">
        <v>45800</v>
      </c>
      <c r="W778" s="91">
        <v>1550</v>
      </c>
      <c r="X778" s="91">
        <v>1564.8000489999999</v>
      </c>
      <c r="Y778" s="91">
        <v>1519.821899</v>
      </c>
      <c r="Z778" s="91">
        <v>5038421</v>
      </c>
      <c r="AA778" s="91">
        <v>1.12E-2</v>
      </c>
      <c r="AB778" s="91"/>
      <c r="AC778" s="90">
        <v>45800</v>
      </c>
      <c r="AD778" s="91">
        <v>5405</v>
      </c>
      <c r="AE778" s="91">
        <v>5435.5</v>
      </c>
      <c r="AF778" s="91">
        <v>5430.794922</v>
      </c>
      <c r="AG778" s="91">
        <v>1127412</v>
      </c>
      <c r="AH778" s="91">
        <v>1.7500000000000002E-2</v>
      </c>
      <c r="AI778" s="91"/>
      <c r="AJ778" s="91">
        <f>(F778*'Part 3 Portfolio Analysis'!$B$8+M778*'Part 3 Portfolio Analysis'!$C$8+T778*'Part 3 Portfolio Analysis'!$D$8+AA778*'Part 3 Portfolio Analysis'!$E$8+AH778*'Part 3 Portfolio Analysis'!$F$8)/100</f>
        <v>1.1876369734247607E-2</v>
      </c>
      <c r="AK778" s="91">
        <f>'Part 3 Portfolio Analysis'!$B$107*F778+M778*'Part 3 Portfolio Analysis'!$C$107+T778*'Part 3 Portfolio Analysis'!$D$107+AA778*'Part 3 Portfolio Analysis'!$E$107+AH778*'Part 3 Portfolio Analysis'!$F$107</f>
        <v>1.30364E-2</v>
      </c>
      <c r="AL778" s="91">
        <f>F778*'Part 3 Portfolio Analysis'!$B$121+M778*'Part 3 Portfolio Analysis'!$C$121+'Part 3 Portfolio Analysis'!$D$121*T778+AA778*'Part 3 Portfolio Analysis'!$E$121+'Part 3 Portfolio Analysis'!$F$121*AH778</f>
        <v>1.0958020000000001E-2</v>
      </c>
      <c r="AM778" s="91"/>
      <c r="AN778" s="90">
        <v>45800</v>
      </c>
      <c r="AO778" s="91">
        <v>24639.5</v>
      </c>
      <c r="AP778" s="91">
        <v>24853.150389999999</v>
      </c>
      <c r="AQ778" s="91">
        <v>24853.150389999999</v>
      </c>
      <c r="AR778" s="91">
        <v>270500</v>
      </c>
      <c r="AS778" s="91">
        <v>9.9000000000000008E-3</v>
      </c>
    </row>
    <row r="779" spans="1:45" x14ac:dyDescent="0.55000000000000004">
      <c r="A779" s="90">
        <v>45803</v>
      </c>
      <c r="B779" s="91">
        <v>6300</v>
      </c>
      <c r="C779" s="91">
        <v>6431.5</v>
      </c>
      <c r="D779" s="91">
        <v>6359.5590819999998</v>
      </c>
      <c r="E779" s="91">
        <v>211742</v>
      </c>
      <c r="F779" s="91">
        <v>2.24E-2</v>
      </c>
      <c r="H779" s="90">
        <v>45803</v>
      </c>
      <c r="I779" s="91">
        <v>1432</v>
      </c>
      <c r="J779" s="91">
        <v>1434.8000489999999</v>
      </c>
      <c r="K779" s="91">
        <v>1429.0924070000001</v>
      </c>
      <c r="L779" s="91">
        <v>4842944</v>
      </c>
      <c r="M779" s="91">
        <v>5.5999999999999999E-3</v>
      </c>
      <c r="O779" s="90">
        <v>45803</v>
      </c>
      <c r="P779" s="91">
        <v>967.5</v>
      </c>
      <c r="Q779" s="91">
        <v>970.09997559999999</v>
      </c>
      <c r="R779" s="91">
        <v>957.16198729999996</v>
      </c>
      <c r="S779" s="91">
        <v>10802860</v>
      </c>
      <c r="T779" s="91">
        <v>3.3999999999999998E-3</v>
      </c>
      <c r="V779" s="90">
        <v>45803</v>
      </c>
      <c r="W779" s="91">
        <v>1566.599976</v>
      </c>
      <c r="X779" s="91">
        <v>1580.5</v>
      </c>
      <c r="Y779" s="91">
        <v>1535.070557</v>
      </c>
      <c r="Z779" s="91">
        <v>3170102</v>
      </c>
      <c r="AA779" s="91">
        <v>0.01</v>
      </c>
      <c r="AB779" s="91"/>
      <c r="AC779" s="90">
        <v>45803</v>
      </c>
      <c r="AD779" s="91">
        <v>5455</v>
      </c>
      <c r="AE779" s="91">
        <v>5526</v>
      </c>
      <c r="AF779" s="91">
        <v>5521.216797</v>
      </c>
      <c r="AG779" s="91">
        <v>640440</v>
      </c>
      <c r="AH779" s="91">
        <v>1.66E-2</v>
      </c>
      <c r="AI779" s="91"/>
      <c r="AJ779" s="91">
        <f>(F779*'Part 3 Portfolio Analysis'!$B$8+M779*'Part 3 Portfolio Analysis'!$C$8+T779*'Part 3 Portfolio Analysis'!$D$8+AA779*'Part 3 Portfolio Analysis'!$E$8+AH779*'Part 3 Portfolio Analysis'!$F$8)/100</f>
        <v>1.1088629331426904E-2</v>
      </c>
      <c r="AK779" s="91">
        <f>'Part 3 Portfolio Analysis'!$B$107*F779+M779*'Part 3 Portfolio Analysis'!$C$107+T779*'Part 3 Portfolio Analysis'!$D$107+AA779*'Part 3 Portfolio Analysis'!$E$107+AH779*'Part 3 Portfolio Analysis'!$F$107</f>
        <v>1.1494999999999998E-2</v>
      </c>
      <c r="AL779" s="91">
        <f>F779*'Part 3 Portfolio Analysis'!$B$121+M779*'Part 3 Portfolio Analysis'!$C$121+'Part 3 Portfolio Analysis'!$D$121*T779+AA779*'Part 3 Portfolio Analysis'!$E$121+'Part 3 Portfolio Analysis'!$F$121*AH779</f>
        <v>7.5507600000000001E-3</v>
      </c>
      <c r="AM779" s="91"/>
      <c r="AN779" s="90">
        <v>45803</v>
      </c>
      <c r="AO779" s="91">
        <v>24919.349610000001</v>
      </c>
      <c r="AP779" s="91">
        <v>25001.150389999999</v>
      </c>
      <c r="AQ779" s="91">
        <v>25001.150389999999</v>
      </c>
      <c r="AR779" s="91">
        <v>302800</v>
      </c>
      <c r="AS779" s="91">
        <v>6.0000000000000001E-3</v>
      </c>
    </row>
    <row r="780" spans="1:45" x14ac:dyDescent="0.55000000000000004">
      <c r="A780" s="90">
        <v>45804</v>
      </c>
      <c r="B780" s="91">
        <v>6445</v>
      </c>
      <c r="C780" s="91">
        <v>6410</v>
      </c>
      <c r="D780" s="91">
        <v>6338.2998049999997</v>
      </c>
      <c r="E780" s="91">
        <v>148800</v>
      </c>
      <c r="F780" s="91">
        <v>-3.3E-3</v>
      </c>
      <c r="H780" s="90">
        <v>45804</v>
      </c>
      <c r="I780" s="91">
        <v>1426.099976</v>
      </c>
      <c r="J780" s="91">
        <v>1422.099976</v>
      </c>
      <c r="K780" s="91">
        <v>1416.442871</v>
      </c>
      <c r="L780" s="91">
        <v>12640414</v>
      </c>
      <c r="M780" s="91">
        <v>-8.8999999999999999E-3</v>
      </c>
      <c r="O780" s="90">
        <v>45804</v>
      </c>
      <c r="P780" s="91">
        <v>965.79998780000005</v>
      </c>
      <c r="Q780" s="91">
        <v>963.15002440000001</v>
      </c>
      <c r="R780" s="91">
        <v>950.30474849999996</v>
      </c>
      <c r="S780" s="91">
        <v>26162148</v>
      </c>
      <c r="T780" s="91">
        <v>-7.1999999999999998E-3</v>
      </c>
      <c r="V780" s="90">
        <v>45804</v>
      </c>
      <c r="W780" s="91">
        <v>1579.900024</v>
      </c>
      <c r="X780" s="91">
        <v>1570.099976</v>
      </c>
      <c r="Y780" s="91">
        <v>1524.9696039999999</v>
      </c>
      <c r="Z780" s="91">
        <v>7775714</v>
      </c>
      <c r="AA780" s="91">
        <v>-6.6E-3</v>
      </c>
      <c r="AB780" s="91"/>
      <c r="AC780" s="90">
        <v>45804</v>
      </c>
      <c r="AD780" s="91">
        <v>5525</v>
      </c>
      <c r="AE780" s="91">
        <v>5573</v>
      </c>
      <c r="AF780" s="91">
        <v>5568.1762699999999</v>
      </c>
      <c r="AG780" s="91">
        <v>1019222</v>
      </c>
      <c r="AH780" s="91">
        <v>8.5000000000000006E-3</v>
      </c>
      <c r="AI780" s="91"/>
      <c r="AJ780" s="91">
        <f>(F780*'Part 3 Portfolio Analysis'!$B$8+M780*'Part 3 Portfolio Analysis'!$C$8+T780*'Part 3 Portfolio Analysis'!$D$8+AA780*'Part 3 Portfolio Analysis'!$E$8+AH780*'Part 3 Portfolio Analysis'!$F$8)/100</f>
        <v>-6.3962106141119465E-3</v>
      </c>
      <c r="AK780" s="91">
        <f>'Part 3 Portfolio Analysis'!$B$107*F780+M780*'Part 3 Portfolio Analysis'!$C$107+T780*'Part 3 Portfolio Analysis'!$D$107+AA780*'Part 3 Portfolio Analysis'!$E$107+AH780*'Part 3 Portfolio Analysis'!$F$107</f>
        <v>-3.0136999999999998E-3</v>
      </c>
      <c r="AL780" s="91">
        <f>F780*'Part 3 Portfolio Analysis'!$B$121+M780*'Part 3 Portfolio Analysis'!$C$121+'Part 3 Portfolio Analysis'!$D$121*T780+AA780*'Part 3 Portfolio Analysis'!$E$121+'Part 3 Portfolio Analysis'!$F$121*AH780</f>
        <v>-7.0613999999999998E-3</v>
      </c>
      <c r="AM780" s="91"/>
      <c r="AN780" s="90">
        <v>45804</v>
      </c>
      <c r="AO780" s="91">
        <v>24956.650389999999</v>
      </c>
      <c r="AP780" s="91">
        <v>24826.199219999999</v>
      </c>
      <c r="AQ780" s="91">
        <v>24826.199219999999</v>
      </c>
      <c r="AR780" s="91">
        <v>525700</v>
      </c>
      <c r="AS780" s="91">
        <v>-7.0000000000000001E-3</v>
      </c>
    </row>
    <row r="781" spans="1:45" x14ac:dyDescent="0.55000000000000004">
      <c r="A781" s="90">
        <v>45805</v>
      </c>
      <c r="B781" s="91">
        <v>6420</v>
      </c>
      <c r="C781" s="91">
        <v>6471</v>
      </c>
      <c r="D781" s="91">
        <v>6398.6171880000002</v>
      </c>
      <c r="E781" s="91">
        <v>175553</v>
      </c>
      <c r="F781" s="91">
        <v>9.4999999999999998E-3</v>
      </c>
      <c r="H781" s="90">
        <v>45805</v>
      </c>
      <c r="I781" s="91">
        <v>1420.099976</v>
      </c>
      <c r="J781" s="91">
        <v>1412.900024</v>
      </c>
      <c r="K781" s="91">
        <v>1407.2795410000001</v>
      </c>
      <c r="L781" s="91">
        <v>5944611</v>
      </c>
      <c r="M781" s="91">
        <v>-6.4999999999999997E-3</v>
      </c>
      <c r="O781" s="90">
        <v>45805</v>
      </c>
      <c r="P781" s="91">
        <v>960.09997559999999</v>
      </c>
      <c r="Q781" s="91">
        <v>961.75</v>
      </c>
      <c r="R781" s="91">
        <v>948.92340090000005</v>
      </c>
      <c r="S781" s="91">
        <v>18157594</v>
      </c>
      <c r="T781" s="91">
        <v>-1.5E-3</v>
      </c>
      <c r="V781" s="90">
        <v>45805</v>
      </c>
      <c r="W781" s="91">
        <v>1581</v>
      </c>
      <c r="X781" s="91">
        <v>1571.8000489999999</v>
      </c>
      <c r="Y781" s="91">
        <v>1526.6207280000001</v>
      </c>
      <c r="Z781" s="91">
        <v>3623370</v>
      </c>
      <c r="AA781" s="91">
        <v>1.1000000000000001E-3</v>
      </c>
      <c r="AB781" s="91"/>
      <c r="AC781" s="90">
        <v>45805</v>
      </c>
      <c r="AD781" s="91">
        <v>5587</v>
      </c>
      <c r="AE781" s="91">
        <v>5559</v>
      </c>
      <c r="AF781" s="91">
        <v>5554.1884769999997</v>
      </c>
      <c r="AG781" s="91">
        <v>452258</v>
      </c>
      <c r="AH781" s="91">
        <v>-2.5000000000000001E-3</v>
      </c>
      <c r="AI781" s="91"/>
      <c r="AJ781" s="91">
        <f>(F781*'Part 3 Portfolio Analysis'!$B$8+M781*'Part 3 Portfolio Analysis'!$C$8+T781*'Part 3 Portfolio Analysis'!$D$8+AA781*'Part 3 Portfolio Analysis'!$E$8+AH781*'Part 3 Portfolio Analysis'!$F$8)/100</f>
        <v>3.962530205740506E-4</v>
      </c>
      <c r="AK781" s="91">
        <f>'Part 3 Portfolio Analysis'!$B$107*F781+M781*'Part 3 Portfolio Analysis'!$C$107+T781*'Part 3 Portfolio Analysis'!$D$107+AA781*'Part 3 Portfolio Analysis'!$E$107+AH781*'Part 3 Portfolio Analysis'!$F$107</f>
        <v>-1.077E-3</v>
      </c>
      <c r="AL781" s="91">
        <f>F781*'Part 3 Portfolio Analysis'!$B$121+M781*'Part 3 Portfolio Analysis'!$C$121+'Part 3 Portfolio Analysis'!$D$121*T781+AA781*'Part 3 Portfolio Analysis'!$E$121+'Part 3 Portfolio Analysis'!$F$121*AH781</f>
        <v>-2.1999999999999997E-3</v>
      </c>
      <c r="AM781" s="91"/>
      <c r="AN781" s="90">
        <v>45805</v>
      </c>
      <c r="AO781" s="91">
        <v>24832.5</v>
      </c>
      <c r="AP781" s="91">
        <v>24752.449219999999</v>
      </c>
      <c r="AQ781" s="91">
        <v>24752.449219999999</v>
      </c>
      <c r="AR781" s="91">
        <v>684400</v>
      </c>
      <c r="AS781" s="91">
        <v>-3.0000000000000001E-3</v>
      </c>
    </row>
    <row r="782" spans="1:45" x14ac:dyDescent="0.55000000000000004">
      <c r="A782" s="90">
        <v>45806</v>
      </c>
      <c r="B782" s="91">
        <v>6475</v>
      </c>
      <c r="C782" s="91">
        <v>6499.5</v>
      </c>
      <c r="D782" s="91">
        <v>6426.7983400000003</v>
      </c>
      <c r="E782" s="91">
        <v>171811</v>
      </c>
      <c r="F782" s="91">
        <v>4.4000000000000003E-3</v>
      </c>
      <c r="H782" s="90">
        <v>45806</v>
      </c>
      <c r="I782" s="91">
        <v>1412.099976</v>
      </c>
      <c r="J782" s="91">
        <v>1417.8000489999999</v>
      </c>
      <c r="K782" s="91">
        <v>1412.160034</v>
      </c>
      <c r="L782" s="91">
        <v>13771917</v>
      </c>
      <c r="M782" s="91">
        <v>3.5000000000000001E-3</v>
      </c>
      <c r="O782" s="90">
        <v>45806</v>
      </c>
      <c r="P782" s="91">
        <v>964</v>
      </c>
      <c r="Q782" s="91">
        <v>963.75</v>
      </c>
      <c r="R782" s="91">
        <v>950.89672849999999</v>
      </c>
      <c r="S782" s="91">
        <v>28917794</v>
      </c>
      <c r="T782" s="91">
        <v>2.0999999999999999E-3</v>
      </c>
      <c r="V782" s="90">
        <v>45806</v>
      </c>
      <c r="W782" s="91">
        <v>1589</v>
      </c>
      <c r="X782" s="91">
        <v>1585.599976</v>
      </c>
      <c r="Y782" s="91">
        <v>1540.024048</v>
      </c>
      <c r="Z782" s="91">
        <v>8609500</v>
      </c>
      <c r="AA782" s="91">
        <v>8.8000000000000005E-3</v>
      </c>
      <c r="AB782" s="91"/>
      <c r="AC782" s="90">
        <v>45806</v>
      </c>
      <c r="AD782" s="91">
        <v>5570</v>
      </c>
      <c r="AE782" s="91">
        <v>5657</v>
      </c>
      <c r="AF782" s="91">
        <v>5652.1035160000001</v>
      </c>
      <c r="AG782" s="91">
        <v>1192069</v>
      </c>
      <c r="AH782" s="91">
        <v>1.7600000000000001E-2</v>
      </c>
      <c r="AI782" s="91"/>
      <c r="AJ782" s="91">
        <f>(F782*'Part 3 Portfolio Analysis'!$B$8+M782*'Part 3 Portfolio Analysis'!$C$8+T782*'Part 3 Portfolio Analysis'!$D$8+AA782*'Part 3 Portfolio Analysis'!$E$8+AH782*'Part 3 Portfolio Analysis'!$F$8)/100</f>
        <v>4.5272178547712356E-3</v>
      </c>
      <c r="AK782" s="91">
        <f>'Part 3 Portfolio Analysis'!$B$107*F782+M782*'Part 3 Portfolio Analysis'!$C$107+T782*'Part 3 Portfolio Analysis'!$D$107+AA782*'Part 3 Portfolio Analysis'!$E$107+AH782*'Part 3 Portfolio Analysis'!$F$107</f>
        <v>7.5282000000000005E-3</v>
      </c>
      <c r="AL782" s="91">
        <f>F782*'Part 3 Portfolio Analysis'!$B$121+M782*'Part 3 Portfolio Analysis'!$C$121+'Part 3 Portfolio Analysis'!$D$121*T782+AA782*'Part 3 Portfolio Analysis'!$E$121+'Part 3 Portfolio Analysis'!$F$121*AH782</f>
        <v>4.6226000000000001E-3</v>
      </c>
      <c r="AM782" s="91"/>
      <c r="AN782" s="90">
        <v>45806</v>
      </c>
      <c r="AO782" s="91">
        <v>24825.099610000001</v>
      </c>
      <c r="AP782" s="91">
        <v>24833.599610000001</v>
      </c>
      <c r="AQ782" s="91">
        <v>24833.599610000001</v>
      </c>
      <c r="AR782" s="91">
        <v>345400</v>
      </c>
      <c r="AS782" s="91">
        <v>3.3E-3</v>
      </c>
    </row>
    <row r="783" spans="1:45" x14ac:dyDescent="0.55000000000000004">
      <c r="A783" s="90">
        <v>45807</v>
      </c>
      <c r="B783" s="91">
        <v>6512.5</v>
      </c>
      <c r="C783" s="91">
        <v>6439.5</v>
      </c>
      <c r="D783" s="91">
        <v>6367.4697269999997</v>
      </c>
      <c r="E783" s="91">
        <v>209158</v>
      </c>
      <c r="F783" s="91">
        <v>-9.1999999999999998E-3</v>
      </c>
      <c r="H783" s="90">
        <v>45807</v>
      </c>
      <c r="I783" s="91">
        <v>1418</v>
      </c>
      <c r="J783" s="91">
        <v>1420.900024</v>
      </c>
      <c r="K783" s="91">
        <v>1415.2476810000001</v>
      </c>
      <c r="L783" s="91">
        <v>13788484</v>
      </c>
      <c r="M783" s="91">
        <v>2.2000000000000001E-3</v>
      </c>
      <c r="O783" s="90">
        <v>45807</v>
      </c>
      <c r="P783" s="91">
        <v>965.95001219999995</v>
      </c>
      <c r="Q783" s="91">
        <v>972.45001219999995</v>
      </c>
      <c r="R783" s="91">
        <v>959.48071289999996</v>
      </c>
      <c r="S783" s="91">
        <v>28748078</v>
      </c>
      <c r="T783" s="91">
        <v>8.9999999999999993E-3</v>
      </c>
      <c r="V783" s="90">
        <v>45807</v>
      </c>
      <c r="W783" s="91">
        <v>1571</v>
      </c>
      <c r="X783" s="91">
        <v>1562.6999510000001</v>
      </c>
      <c r="Y783" s="91">
        <v>1539.137573</v>
      </c>
      <c r="Z783" s="91">
        <v>13148092</v>
      </c>
      <c r="AA783" s="91">
        <v>-5.9999999999999995E-4</v>
      </c>
      <c r="AB783" s="91"/>
      <c r="AC783" s="90">
        <v>45807</v>
      </c>
      <c r="AD783" s="91">
        <v>5656</v>
      </c>
      <c r="AE783" s="91">
        <v>5643.5</v>
      </c>
      <c r="AF783" s="91">
        <v>5638.6152339999999</v>
      </c>
      <c r="AG783" s="91">
        <v>1440608</v>
      </c>
      <c r="AH783" s="91">
        <v>-2.3999999999999998E-3</v>
      </c>
      <c r="AI783" s="91"/>
      <c r="AJ783" s="91">
        <f>(F783*'Part 3 Portfolio Analysis'!$B$8+M783*'Part 3 Portfolio Analysis'!$C$8+T783*'Part 3 Portfolio Analysis'!$D$8+AA783*'Part 3 Portfolio Analysis'!$E$8+AH783*'Part 3 Portfolio Analysis'!$F$8)/100</f>
        <v>-5.8124617805657415E-4</v>
      </c>
      <c r="AK783" s="91">
        <f>'Part 3 Portfolio Analysis'!$B$107*F783+M783*'Part 3 Portfolio Analysis'!$C$107+T783*'Part 3 Portfolio Analysis'!$D$107+AA783*'Part 3 Portfolio Analysis'!$E$107+AH783*'Part 3 Portfolio Analysis'!$F$107</f>
        <v>-2.3719999999999986E-4</v>
      </c>
      <c r="AL783" s="91">
        <f>F783*'Part 3 Portfolio Analysis'!$B$121+M783*'Part 3 Portfolio Analysis'!$C$121+'Part 3 Portfolio Analysis'!$D$121*T783+AA783*'Part 3 Portfolio Analysis'!$E$121+'Part 3 Portfolio Analysis'!$F$121*AH783</f>
        <v>2.4320000000000001E-3</v>
      </c>
      <c r="AM783" s="91"/>
      <c r="AN783" s="90">
        <v>45807</v>
      </c>
      <c r="AO783" s="91">
        <v>24812.599610000001</v>
      </c>
      <c r="AP783" s="91">
        <v>24750.699219999999</v>
      </c>
      <c r="AQ783" s="91">
        <v>24750.699219999999</v>
      </c>
      <c r="AR783" s="91">
        <v>853900</v>
      </c>
      <c r="AS783" s="91">
        <v>-3.3E-3</v>
      </c>
    </row>
    <row r="784" spans="1:45" x14ac:dyDescent="0.55000000000000004">
      <c r="A784" s="90">
        <v>45810</v>
      </c>
      <c r="B784" s="91">
        <v>6412.5</v>
      </c>
      <c r="C784" s="91">
        <v>6417</v>
      </c>
      <c r="D784" s="91">
        <v>6345.2211909999996</v>
      </c>
      <c r="E784" s="91">
        <v>114010</v>
      </c>
      <c r="F784" s="91">
        <v>-3.5000000000000001E-3</v>
      </c>
      <c r="H784" s="90">
        <v>45810</v>
      </c>
      <c r="I784" s="91">
        <v>1412.099976</v>
      </c>
      <c r="J784" s="91">
        <v>1413.6999510000001</v>
      </c>
      <c r="K784" s="91">
        <v>1408.076294</v>
      </c>
      <c r="L784" s="91">
        <v>8098668</v>
      </c>
      <c r="M784" s="91">
        <v>-5.1000000000000004E-3</v>
      </c>
      <c r="O784" s="90">
        <v>45810</v>
      </c>
      <c r="P784" s="91">
        <v>965.04998780000005</v>
      </c>
      <c r="Q784" s="91">
        <v>966.04998780000005</v>
      </c>
      <c r="R784" s="91">
        <v>953.16601560000004</v>
      </c>
      <c r="S784" s="91">
        <v>14668822</v>
      </c>
      <c r="T784" s="91">
        <v>-6.6E-3</v>
      </c>
      <c r="V784" s="90">
        <v>45810</v>
      </c>
      <c r="W784" s="91">
        <v>1560</v>
      </c>
      <c r="X784" s="91">
        <v>1553.8000489999999</v>
      </c>
      <c r="Y784" s="91">
        <v>1530.3718260000001</v>
      </c>
      <c r="Z784" s="91">
        <v>4374509</v>
      </c>
      <c r="AA784" s="91">
        <v>-5.7000000000000002E-3</v>
      </c>
      <c r="AB784" s="91"/>
      <c r="AC784" s="90">
        <v>45810</v>
      </c>
      <c r="AD784" s="91">
        <v>5681</v>
      </c>
      <c r="AE784" s="91">
        <v>5621.5</v>
      </c>
      <c r="AF784" s="91">
        <v>5616.6342770000001</v>
      </c>
      <c r="AG784" s="91">
        <v>504095</v>
      </c>
      <c r="AH784" s="91">
        <v>-3.8999999999999998E-3</v>
      </c>
      <c r="AI784" s="91"/>
      <c r="AJ784" s="91">
        <f>(F784*'Part 3 Portfolio Analysis'!$B$8+M784*'Part 3 Portfolio Analysis'!$C$8+T784*'Part 3 Portfolio Analysis'!$D$8+AA784*'Part 3 Portfolio Analysis'!$E$8+AH784*'Part 3 Portfolio Analysis'!$F$8)/100</f>
        <v>-4.9550508764205602E-3</v>
      </c>
      <c r="AK784" s="91">
        <f>'Part 3 Portfolio Analysis'!$B$107*F784+M784*'Part 3 Portfolio Analysis'!$C$107+T784*'Part 3 Portfolio Analysis'!$D$107+AA784*'Part 3 Portfolio Analysis'!$E$107+AH784*'Part 3 Portfolio Analysis'!$F$107</f>
        <v>-4.8021000000000001E-3</v>
      </c>
      <c r="AL784" s="91">
        <f>F784*'Part 3 Portfolio Analysis'!$B$121+M784*'Part 3 Portfolio Analysis'!$C$121+'Part 3 Portfolio Analysis'!$D$121*T784+AA784*'Part 3 Portfolio Analysis'!$E$121+'Part 3 Portfolio Analysis'!$F$121*AH784</f>
        <v>-5.4650400000000009E-3</v>
      </c>
      <c r="AM784" s="91"/>
      <c r="AN784" s="90">
        <v>45810</v>
      </c>
      <c r="AO784" s="91">
        <v>24669.699219999999</v>
      </c>
      <c r="AP784" s="91">
        <v>24716.599610000001</v>
      </c>
      <c r="AQ784" s="91">
        <v>24716.599610000001</v>
      </c>
      <c r="AR784" s="91">
        <v>311100</v>
      </c>
      <c r="AS784" s="91">
        <v>-1.4E-3</v>
      </c>
    </row>
    <row r="785" spans="1:45" x14ac:dyDescent="0.55000000000000004">
      <c r="A785" s="90">
        <v>45811</v>
      </c>
      <c r="B785" s="91">
        <v>6417</v>
      </c>
      <c r="C785" s="91">
        <v>6407</v>
      </c>
      <c r="D785" s="91">
        <v>6335.3330079999996</v>
      </c>
      <c r="E785" s="91">
        <v>127200</v>
      </c>
      <c r="F785" s="91">
        <v>-1.6000000000000001E-3</v>
      </c>
      <c r="H785" s="90">
        <v>45811</v>
      </c>
      <c r="I785" s="91">
        <v>1422.3000489999999</v>
      </c>
      <c r="J785" s="91">
        <v>1405.5</v>
      </c>
      <c r="K785" s="91">
        <v>1399.908936</v>
      </c>
      <c r="L785" s="91">
        <v>11252626</v>
      </c>
      <c r="M785" s="91">
        <v>-5.7999999999999996E-3</v>
      </c>
      <c r="O785" s="90">
        <v>45811</v>
      </c>
      <c r="P785" s="91">
        <v>969</v>
      </c>
      <c r="Q785" s="91">
        <v>962.29998780000005</v>
      </c>
      <c r="R785" s="91">
        <v>949.46606450000002</v>
      </c>
      <c r="S785" s="91">
        <v>24377584</v>
      </c>
      <c r="T785" s="91">
        <v>-3.8999999999999998E-3</v>
      </c>
      <c r="V785" s="90">
        <v>45811</v>
      </c>
      <c r="W785" s="91">
        <v>1559</v>
      </c>
      <c r="X785" s="91">
        <v>1543</v>
      </c>
      <c r="Y785" s="91">
        <v>1519.7346190000001</v>
      </c>
      <c r="Z785" s="91">
        <v>6853403</v>
      </c>
      <c r="AA785" s="91">
        <v>-7.0000000000000001E-3</v>
      </c>
      <c r="AB785" s="91"/>
      <c r="AC785" s="90">
        <v>45811</v>
      </c>
      <c r="AD785" s="91">
        <v>5646.5</v>
      </c>
      <c r="AE785" s="91">
        <v>5590</v>
      </c>
      <c r="AF785" s="91">
        <v>5585.1616210000002</v>
      </c>
      <c r="AG785" s="91">
        <v>510323</v>
      </c>
      <c r="AH785" s="91">
        <v>-5.5999999999999999E-3</v>
      </c>
      <c r="AI785" s="91"/>
      <c r="AJ785" s="91">
        <f>(F785*'Part 3 Portfolio Analysis'!$B$8+M785*'Part 3 Portfolio Analysis'!$C$8+T785*'Part 3 Portfolio Analysis'!$D$8+AA785*'Part 3 Portfolio Analysis'!$E$8+AH785*'Part 3 Portfolio Analysis'!$F$8)/100</f>
        <v>-4.4142214336883182E-3</v>
      </c>
      <c r="AK785" s="91">
        <f>'Part 3 Portfolio Analysis'!$B$107*F785+M785*'Part 3 Portfolio Analysis'!$C$107+T785*'Part 3 Portfolio Analysis'!$D$107+AA785*'Part 3 Portfolio Analysis'!$E$107+AH785*'Part 3 Portfolio Analysis'!$F$107</f>
        <v>-4.8190999999999998E-3</v>
      </c>
      <c r="AL785" s="91">
        <f>F785*'Part 3 Portfolio Analysis'!$B$121+M785*'Part 3 Portfolio Analysis'!$C$121+'Part 3 Portfolio Analysis'!$D$121*T785+AA785*'Part 3 Portfolio Analysis'!$E$121+'Part 3 Portfolio Analysis'!$F$121*AH785</f>
        <v>-5.1727200000000004E-3</v>
      </c>
      <c r="AM785" s="91"/>
      <c r="AN785" s="90">
        <v>45811</v>
      </c>
      <c r="AO785" s="91">
        <v>24786.300780000001</v>
      </c>
      <c r="AP785" s="91">
        <v>24542.5</v>
      </c>
      <c r="AQ785" s="91">
        <v>24542.5</v>
      </c>
      <c r="AR785" s="91">
        <v>349300</v>
      </c>
      <c r="AS785" s="91">
        <v>-7.0000000000000001E-3</v>
      </c>
    </row>
    <row r="786" spans="1:45" x14ac:dyDescent="0.55000000000000004">
      <c r="A786" s="90">
        <v>45812</v>
      </c>
      <c r="B786" s="91">
        <v>6418</v>
      </c>
      <c r="C786" s="91">
        <v>6447.5</v>
      </c>
      <c r="D786" s="91">
        <v>6375.3803710000002</v>
      </c>
      <c r="E786" s="91">
        <v>81617</v>
      </c>
      <c r="F786" s="91">
        <v>6.3E-3</v>
      </c>
      <c r="H786" s="90">
        <v>45812</v>
      </c>
      <c r="I786" s="91">
        <v>1414.6999510000001</v>
      </c>
      <c r="J786" s="91">
        <v>1423.5</v>
      </c>
      <c r="K786" s="91">
        <v>1417.83728</v>
      </c>
      <c r="L786" s="91">
        <v>8126827</v>
      </c>
      <c r="M786" s="91">
        <v>1.2800000000000001E-2</v>
      </c>
      <c r="O786" s="90">
        <v>45812</v>
      </c>
      <c r="P786" s="91">
        <v>960.5</v>
      </c>
      <c r="Q786" s="91">
        <v>970.59997559999999</v>
      </c>
      <c r="R786" s="91">
        <v>957.65533449999998</v>
      </c>
      <c r="S786" s="91">
        <v>12961542</v>
      </c>
      <c r="T786" s="91">
        <v>8.6E-3</v>
      </c>
      <c r="V786" s="90">
        <v>45812</v>
      </c>
      <c r="W786" s="91">
        <v>1543</v>
      </c>
      <c r="X786" s="91">
        <v>1551.1999510000001</v>
      </c>
      <c r="Y786" s="91">
        <v>1527.810913</v>
      </c>
      <c r="Z786" s="91">
        <v>4548307</v>
      </c>
      <c r="AA786" s="91">
        <v>5.3E-3</v>
      </c>
      <c r="AB786" s="91"/>
      <c r="AC786" s="90">
        <v>45812</v>
      </c>
      <c r="AD786" s="91">
        <v>5590</v>
      </c>
      <c r="AE786" s="91">
        <v>5506.5</v>
      </c>
      <c r="AF786" s="91">
        <v>5501.7338870000003</v>
      </c>
      <c r="AG786" s="91">
        <v>748937</v>
      </c>
      <c r="AH786" s="91">
        <v>-1.49E-2</v>
      </c>
      <c r="AI786" s="91"/>
      <c r="AJ786" s="91">
        <f>(F786*'Part 3 Portfolio Analysis'!$B$8+M786*'Part 3 Portfolio Analysis'!$C$8+T786*'Part 3 Portfolio Analysis'!$D$8+AA786*'Part 3 Portfolio Analysis'!$E$8+AH786*'Part 3 Portfolio Analysis'!$F$8)/100</f>
        <v>8.6716562524974689E-3</v>
      </c>
      <c r="AK786" s="91">
        <f>'Part 3 Portfolio Analysis'!$B$107*F786+M786*'Part 3 Portfolio Analysis'!$C$107+T786*'Part 3 Portfolio Analysis'!$D$107+AA786*'Part 3 Portfolio Analysis'!$E$107+AH786*'Part 3 Portfolio Analysis'!$F$107</f>
        <v>3.2485999999999999E-3</v>
      </c>
      <c r="AL786" s="91">
        <f>F786*'Part 3 Portfolio Analysis'!$B$121+M786*'Part 3 Portfolio Analysis'!$C$121+'Part 3 Portfolio Analysis'!$D$121*T786+AA786*'Part 3 Portfolio Analysis'!$E$121+'Part 3 Portfolio Analysis'!$F$121*AH786</f>
        <v>8.8975600000000005E-3</v>
      </c>
      <c r="AM786" s="91"/>
      <c r="AN786" s="90">
        <v>45812</v>
      </c>
      <c r="AO786" s="91">
        <v>24560.449219999999</v>
      </c>
      <c r="AP786" s="91">
        <v>24620.199219999999</v>
      </c>
      <c r="AQ786" s="91">
        <v>24620.199219999999</v>
      </c>
      <c r="AR786" s="91">
        <v>280900</v>
      </c>
      <c r="AS786" s="91">
        <v>3.2000000000000002E-3</v>
      </c>
    </row>
    <row r="787" spans="1:45" x14ac:dyDescent="0.55000000000000004">
      <c r="A787" s="90">
        <v>45813</v>
      </c>
      <c r="B787" s="91">
        <v>6467</v>
      </c>
      <c r="C787" s="91">
        <v>6491.5</v>
      </c>
      <c r="D787" s="91">
        <v>6418.8881840000004</v>
      </c>
      <c r="E787" s="91">
        <v>91106</v>
      </c>
      <c r="F787" s="91">
        <v>6.7999999999999996E-3</v>
      </c>
      <c r="H787" s="90">
        <v>45813</v>
      </c>
      <c r="I787" s="91">
        <v>1428</v>
      </c>
      <c r="J787" s="91">
        <v>1442.400024</v>
      </c>
      <c r="K787" s="91">
        <v>1436.6621090000001</v>
      </c>
      <c r="L787" s="91">
        <v>13716817</v>
      </c>
      <c r="M787" s="91">
        <v>1.3299999999999999E-2</v>
      </c>
      <c r="O787" s="90">
        <v>45813</v>
      </c>
      <c r="P787" s="91">
        <v>974</v>
      </c>
      <c r="Q787" s="91">
        <v>974.79998780000005</v>
      </c>
      <c r="R787" s="91">
        <v>961.79931639999995</v>
      </c>
      <c r="S787" s="91">
        <v>22255418</v>
      </c>
      <c r="T787" s="91">
        <v>4.3E-3</v>
      </c>
      <c r="V787" s="90">
        <v>45813</v>
      </c>
      <c r="W787" s="91">
        <v>1547.900024</v>
      </c>
      <c r="X787" s="91">
        <v>1554.3000489999999</v>
      </c>
      <c r="Y787" s="91">
        <v>1530.8642580000001</v>
      </c>
      <c r="Z787" s="91">
        <v>6948539</v>
      </c>
      <c r="AA787" s="91">
        <v>2E-3</v>
      </c>
      <c r="AB787" s="91"/>
      <c r="AC787" s="90">
        <v>45813</v>
      </c>
      <c r="AD787" s="91">
        <v>5539</v>
      </c>
      <c r="AE787" s="91">
        <v>5673</v>
      </c>
      <c r="AF787" s="91">
        <v>5668.0893550000001</v>
      </c>
      <c r="AG787" s="91">
        <v>1212876</v>
      </c>
      <c r="AH787" s="91">
        <v>3.0200000000000001E-2</v>
      </c>
      <c r="AI787" s="91"/>
      <c r="AJ787" s="91">
        <f>(F787*'Part 3 Portfolio Analysis'!$B$8+M787*'Part 3 Portfolio Analysis'!$C$8+T787*'Part 3 Portfolio Analysis'!$D$8+AA787*'Part 3 Portfolio Analysis'!$E$8+AH787*'Part 3 Portfolio Analysis'!$F$8)/100</f>
        <v>8.195310142299371E-3</v>
      </c>
      <c r="AK787" s="91">
        <f>'Part 3 Portfolio Analysis'!$B$107*F787+M787*'Part 3 Portfolio Analysis'!$C$107+T787*'Part 3 Portfolio Analysis'!$D$107+AA787*'Part 3 Portfolio Analysis'!$E$107+AH787*'Part 3 Portfolio Analysis'!$F$107</f>
        <v>1.3863800000000001E-2</v>
      </c>
      <c r="AL787" s="91">
        <f>F787*'Part 3 Portfolio Analysis'!$B$121+M787*'Part 3 Portfolio Analysis'!$C$121+'Part 3 Portfolio Analysis'!$D$121*T787+AA787*'Part 3 Portfolio Analysis'!$E$121+'Part 3 Portfolio Analysis'!$F$121*AH787</f>
        <v>8.5004799999999995E-3</v>
      </c>
      <c r="AM787" s="91"/>
      <c r="AN787" s="90">
        <v>45813</v>
      </c>
      <c r="AO787" s="91">
        <v>24691.199219999999</v>
      </c>
      <c r="AP787" s="91">
        <v>24750.900389999999</v>
      </c>
      <c r="AQ787" s="91">
        <v>24750.900389999999</v>
      </c>
      <c r="AR787" s="91">
        <v>388400</v>
      </c>
      <c r="AS787" s="91">
        <v>5.3E-3</v>
      </c>
    </row>
    <row r="788" spans="1:45" x14ac:dyDescent="0.55000000000000004">
      <c r="A788" s="90">
        <v>45814</v>
      </c>
      <c r="B788" s="91">
        <v>6520</v>
      </c>
      <c r="C788" s="91">
        <v>6473</v>
      </c>
      <c r="D788" s="91">
        <v>6400.5947269999997</v>
      </c>
      <c r="E788" s="91">
        <v>71389</v>
      </c>
      <c r="F788" s="91">
        <v>-2.8E-3</v>
      </c>
      <c r="H788" s="90">
        <v>45814</v>
      </c>
      <c r="I788" s="91">
        <v>1441</v>
      </c>
      <c r="J788" s="91">
        <v>1443.5</v>
      </c>
      <c r="K788" s="91">
        <v>1437.7576899999999</v>
      </c>
      <c r="L788" s="91">
        <v>8182161</v>
      </c>
      <c r="M788" s="91">
        <v>8.0000000000000004E-4</v>
      </c>
      <c r="O788" s="90">
        <v>45814</v>
      </c>
      <c r="P788" s="91">
        <v>972</v>
      </c>
      <c r="Q788" s="91">
        <v>989.34997559999999</v>
      </c>
      <c r="R788" s="91">
        <v>976.15527340000006</v>
      </c>
      <c r="S788" s="91">
        <v>30127008</v>
      </c>
      <c r="T788" s="91">
        <v>1.49E-2</v>
      </c>
      <c r="V788" s="90">
        <v>45814</v>
      </c>
      <c r="W788" s="91">
        <v>1554.6999510000001</v>
      </c>
      <c r="X788" s="91">
        <v>1563.8000489999999</v>
      </c>
      <c r="Y788" s="91">
        <v>1540.2210689999999</v>
      </c>
      <c r="Z788" s="91">
        <v>3960020</v>
      </c>
      <c r="AA788" s="91">
        <v>6.1000000000000004E-3</v>
      </c>
      <c r="AB788" s="91"/>
      <c r="AC788" s="90">
        <v>45814</v>
      </c>
      <c r="AD788" s="91">
        <v>5700</v>
      </c>
      <c r="AE788" s="91">
        <v>5777</v>
      </c>
      <c r="AF788" s="91">
        <v>5771.9995120000003</v>
      </c>
      <c r="AG788" s="91">
        <v>1034577</v>
      </c>
      <c r="AH788" s="91">
        <v>1.83E-2</v>
      </c>
      <c r="AI788" s="91"/>
      <c r="AJ788" s="91">
        <f>(F788*'Part 3 Portfolio Analysis'!$B$8+M788*'Part 3 Portfolio Analysis'!$C$8+T788*'Part 3 Portfolio Analysis'!$D$8+AA788*'Part 3 Portfolio Analysis'!$E$8+AH788*'Part 3 Portfolio Analysis'!$F$8)/100</f>
        <v>3.0960449406202007E-3</v>
      </c>
      <c r="AK788" s="91">
        <f>'Part 3 Portfolio Analysis'!$B$107*F788+M788*'Part 3 Portfolio Analysis'!$C$107+T788*'Part 3 Portfolio Analysis'!$D$107+AA788*'Part 3 Portfolio Analysis'!$E$107+AH788*'Part 3 Portfolio Analysis'!$F$107</f>
        <v>7.2775000000000001E-3</v>
      </c>
      <c r="AL788" s="91">
        <f>F788*'Part 3 Portfolio Analysis'!$B$121+M788*'Part 3 Portfolio Analysis'!$C$121+'Part 3 Portfolio Analysis'!$D$121*T788+AA788*'Part 3 Portfolio Analysis'!$E$121+'Part 3 Portfolio Analysis'!$F$121*AH788</f>
        <v>5.8577800000000008E-3</v>
      </c>
      <c r="AM788" s="91"/>
      <c r="AN788" s="90">
        <v>45814</v>
      </c>
      <c r="AO788" s="91">
        <v>24748.699219999999</v>
      </c>
      <c r="AP788" s="91">
        <v>25003.050780000001</v>
      </c>
      <c r="AQ788" s="91">
        <v>25003.050780000001</v>
      </c>
      <c r="AR788" s="91">
        <v>335600</v>
      </c>
      <c r="AS788" s="91">
        <v>1.0200000000000001E-2</v>
      </c>
    </row>
    <row r="789" spans="1:45" x14ac:dyDescent="0.55000000000000004">
      <c r="A789" s="90">
        <v>45817</v>
      </c>
      <c r="B789" s="91">
        <v>6505.5</v>
      </c>
      <c r="C789" s="91">
        <v>6631.5</v>
      </c>
      <c r="D789" s="91">
        <v>6557.3217770000001</v>
      </c>
      <c r="E789" s="91">
        <v>161923</v>
      </c>
      <c r="F789" s="91">
        <v>2.4500000000000001E-2</v>
      </c>
      <c r="H789" s="90">
        <v>45817</v>
      </c>
      <c r="I789" s="91">
        <v>1457</v>
      </c>
      <c r="J789" s="91">
        <v>1448.8000489999999</v>
      </c>
      <c r="K789" s="91">
        <v>1443.0367429999999</v>
      </c>
      <c r="L789" s="91">
        <v>7885125</v>
      </c>
      <c r="M789" s="91">
        <v>3.7000000000000002E-3</v>
      </c>
      <c r="O789" s="90">
        <v>45817</v>
      </c>
      <c r="P789" s="91">
        <v>997.5</v>
      </c>
      <c r="Q789" s="91">
        <v>989.45001219999995</v>
      </c>
      <c r="R789" s="91">
        <v>976.25402829999996</v>
      </c>
      <c r="S789" s="91">
        <v>13202588</v>
      </c>
      <c r="T789" s="91">
        <v>1E-4</v>
      </c>
      <c r="V789" s="90">
        <v>45817</v>
      </c>
      <c r="W789" s="91">
        <v>1578</v>
      </c>
      <c r="X789" s="91">
        <v>1572.900024</v>
      </c>
      <c r="Y789" s="91">
        <v>1549.1838379999999</v>
      </c>
      <c r="Z789" s="91">
        <v>2903202</v>
      </c>
      <c r="AA789" s="91">
        <v>5.7999999999999996E-3</v>
      </c>
      <c r="AB789" s="91"/>
      <c r="AC789" s="90">
        <v>45817</v>
      </c>
      <c r="AD789" s="91">
        <v>5818</v>
      </c>
      <c r="AE789" s="91">
        <v>5913.5</v>
      </c>
      <c r="AF789" s="91">
        <v>5908.3813479999999</v>
      </c>
      <c r="AG789" s="91">
        <v>1377600</v>
      </c>
      <c r="AH789" s="91">
        <v>2.3599999999999999E-2</v>
      </c>
      <c r="AI789" s="91"/>
      <c r="AJ789" s="91">
        <f>(F789*'Part 3 Portfolio Analysis'!$B$8+M789*'Part 3 Portfolio Analysis'!$C$8+T789*'Part 3 Portfolio Analysis'!$D$8+AA789*'Part 3 Portfolio Analysis'!$E$8+AH789*'Part 3 Portfolio Analysis'!$F$8)/100</f>
        <v>9.8719293516246059E-3</v>
      </c>
      <c r="AK789" s="91">
        <f>'Part 3 Portfolio Analysis'!$B$107*F789+M789*'Part 3 Portfolio Analysis'!$C$107+T789*'Part 3 Portfolio Analysis'!$D$107+AA789*'Part 3 Portfolio Analysis'!$E$107+AH789*'Part 3 Portfolio Analysis'!$F$107</f>
        <v>1.2110799999999998E-2</v>
      </c>
      <c r="AL789" s="91">
        <f>F789*'Part 3 Portfolio Analysis'!$B$121+M789*'Part 3 Portfolio Analysis'!$C$121+'Part 3 Portfolio Analysis'!$D$121*T789+AA789*'Part 3 Portfolio Analysis'!$E$121+'Part 3 Portfolio Analysis'!$F$121*AH789</f>
        <v>5.3719400000000004E-3</v>
      </c>
      <c r="AM789" s="91"/>
      <c r="AN789" s="90">
        <v>45817</v>
      </c>
      <c r="AO789" s="91">
        <v>25160.099610000001</v>
      </c>
      <c r="AP789" s="91">
        <v>25103.199219999999</v>
      </c>
      <c r="AQ789" s="91">
        <v>25103.199219999999</v>
      </c>
      <c r="AR789" s="91">
        <v>279200</v>
      </c>
      <c r="AS789" s="91">
        <v>4.0000000000000001E-3</v>
      </c>
    </row>
    <row r="790" spans="1:45" x14ac:dyDescent="0.55000000000000004">
      <c r="A790" s="90">
        <v>45818</v>
      </c>
      <c r="B790" s="91">
        <v>6680</v>
      </c>
      <c r="C790" s="91">
        <v>6705</v>
      </c>
      <c r="D790" s="91">
        <v>6630</v>
      </c>
      <c r="E790" s="91">
        <v>223010</v>
      </c>
      <c r="F790" s="91">
        <v>1.11E-2</v>
      </c>
      <c r="H790" s="90">
        <v>45818</v>
      </c>
      <c r="I790" s="91">
        <v>1450</v>
      </c>
      <c r="J790" s="91">
        <v>1438.5</v>
      </c>
      <c r="K790" s="91">
        <v>1432.7775879999999</v>
      </c>
      <c r="L790" s="91">
        <v>7913181</v>
      </c>
      <c r="M790" s="91">
        <v>-7.1000000000000004E-3</v>
      </c>
      <c r="O790" s="90">
        <v>45818</v>
      </c>
      <c r="P790" s="91">
        <v>991.40002440000001</v>
      </c>
      <c r="Q790" s="91">
        <v>982.65002440000001</v>
      </c>
      <c r="R790" s="91">
        <v>969.5447388</v>
      </c>
      <c r="S790" s="91">
        <v>15533126</v>
      </c>
      <c r="T790" s="91">
        <v>-6.8999999999999999E-3</v>
      </c>
      <c r="V790" s="90">
        <v>45818</v>
      </c>
      <c r="W790" s="91">
        <v>1584</v>
      </c>
      <c r="X790" s="91">
        <v>1596</v>
      </c>
      <c r="Y790" s="91">
        <v>1571.935547</v>
      </c>
      <c r="Z790" s="91">
        <v>8591925</v>
      </c>
      <c r="AA790" s="91">
        <v>1.47E-2</v>
      </c>
      <c r="AB790" s="91"/>
      <c r="AC790" s="90">
        <v>45818</v>
      </c>
      <c r="AD790" s="91">
        <v>5929</v>
      </c>
      <c r="AE790" s="91">
        <v>5814</v>
      </c>
      <c r="AF790" s="91">
        <v>5808.9672849999997</v>
      </c>
      <c r="AG790" s="91">
        <v>683305</v>
      </c>
      <c r="AH790" s="91">
        <v>-1.6799999999999999E-2</v>
      </c>
      <c r="AI790" s="91"/>
      <c r="AJ790" s="91">
        <f>(F790*'Part 3 Portfolio Analysis'!$B$8+M790*'Part 3 Portfolio Analysis'!$C$8+T790*'Part 3 Portfolio Analysis'!$D$8+AA790*'Part 3 Portfolio Analysis'!$E$8+AH790*'Part 3 Portfolio Analysis'!$F$8)/100</f>
        <v>1.8069104747623136E-3</v>
      </c>
      <c r="AK790" s="91">
        <f>'Part 3 Portfolio Analysis'!$B$107*F790+M790*'Part 3 Portfolio Analysis'!$C$107+T790*'Part 3 Portfolio Analysis'!$D$107+AA790*'Part 3 Portfolio Analysis'!$E$107+AH790*'Part 3 Portfolio Analysis'!$F$107</f>
        <v>-4.0573999999999992E-3</v>
      </c>
      <c r="AL790" s="91">
        <f>F790*'Part 3 Portfolio Analysis'!$B$121+M790*'Part 3 Portfolio Analysis'!$C$121+'Part 3 Portfolio Analysis'!$D$121*T790+AA790*'Part 3 Portfolio Analysis'!$E$121+'Part 3 Portfolio Analysis'!$F$121*AH790</f>
        <v>-1.4437000000000007E-3</v>
      </c>
      <c r="AM790" s="91"/>
      <c r="AN790" s="90">
        <v>45818</v>
      </c>
      <c r="AO790" s="91">
        <v>25196.050780000001</v>
      </c>
      <c r="AP790" s="91">
        <v>25104.25</v>
      </c>
      <c r="AQ790" s="91">
        <v>25104.25</v>
      </c>
      <c r="AR790" s="91">
        <v>307300</v>
      </c>
      <c r="AS790" s="91">
        <v>0</v>
      </c>
    </row>
    <row r="791" spans="1:45" x14ac:dyDescent="0.55000000000000004">
      <c r="A791" s="90">
        <v>45819</v>
      </c>
      <c r="B791" s="91">
        <v>6670</v>
      </c>
      <c r="C791" s="91">
        <v>6624.5</v>
      </c>
      <c r="D791" s="91">
        <v>6624.5</v>
      </c>
      <c r="E791" s="91">
        <v>167351</v>
      </c>
      <c r="F791" s="91">
        <v>-8.0000000000000004E-4</v>
      </c>
      <c r="H791" s="90">
        <v>45819</v>
      </c>
      <c r="I791" s="91">
        <v>1445.8000489999999</v>
      </c>
      <c r="J791" s="91">
        <v>1448.900024</v>
      </c>
      <c r="K791" s="91">
        <v>1443.1362300000001</v>
      </c>
      <c r="L791" s="91">
        <v>8195700</v>
      </c>
      <c r="M791" s="91">
        <v>7.1999999999999998E-3</v>
      </c>
      <c r="O791" s="90">
        <v>45819</v>
      </c>
      <c r="P791" s="91">
        <v>983.79998780000005</v>
      </c>
      <c r="Q791" s="91">
        <v>975.20001219999995</v>
      </c>
      <c r="R791" s="91">
        <v>962.19403079999995</v>
      </c>
      <c r="S791" s="91">
        <v>11096394</v>
      </c>
      <c r="T791" s="91">
        <v>-7.6E-3</v>
      </c>
      <c r="V791" s="90">
        <v>45819</v>
      </c>
      <c r="W791" s="91">
        <v>1590.099976</v>
      </c>
      <c r="X791" s="91">
        <v>1631.099976</v>
      </c>
      <c r="Y791" s="91">
        <v>1606.506226</v>
      </c>
      <c r="Z791" s="91">
        <v>10597410</v>
      </c>
      <c r="AA791" s="91">
        <v>2.1999999999999999E-2</v>
      </c>
      <c r="AB791" s="91"/>
      <c r="AC791" s="90">
        <v>45819</v>
      </c>
      <c r="AD791" s="91">
        <v>5817</v>
      </c>
      <c r="AE791" s="91">
        <v>5776.5</v>
      </c>
      <c r="AF791" s="91">
        <v>5771.5</v>
      </c>
      <c r="AG791" s="91">
        <v>545428</v>
      </c>
      <c r="AH791" s="91">
        <v>-6.4000000000000003E-3</v>
      </c>
      <c r="AI791" s="91"/>
      <c r="AJ791" s="91">
        <f>(F791*'Part 3 Portfolio Analysis'!$B$8+M791*'Part 3 Portfolio Analysis'!$C$8+T791*'Part 3 Portfolio Analysis'!$D$8+AA791*'Part 3 Portfolio Analysis'!$E$8+AH791*'Part 3 Portfolio Analysis'!$F$8)/100</f>
        <v>4.5800679514731973E-3</v>
      </c>
      <c r="AK791" s="91">
        <f>'Part 3 Portfolio Analysis'!$B$107*F791+M791*'Part 3 Portfolio Analysis'!$C$107+T791*'Part 3 Portfolio Analysis'!$D$107+AA791*'Part 3 Portfolio Analysis'!$E$107+AH791*'Part 3 Portfolio Analysis'!$F$107</f>
        <v>1.5187999999999998E-3</v>
      </c>
      <c r="AL791" s="91">
        <f>F791*'Part 3 Portfolio Analysis'!$B$121+M791*'Part 3 Portfolio Analysis'!$C$121+'Part 3 Portfolio Analysis'!$D$121*T791+AA791*'Part 3 Portfolio Analysis'!$E$121+'Part 3 Portfolio Analysis'!$F$121*AH791</f>
        <v>5.1204800000000002E-3</v>
      </c>
      <c r="AM791" s="91"/>
      <c r="AN791" s="90">
        <v>45819</v>
      </c>
      <c r="AO791" s="91">
        <v>25134.150389999999</v>
      </c>
      <c r="AP791" s="91">
        <v>25141.400389999999</v>
      </c>
      <c r="AQ791" s="91">
        <v>25141.400389999999</v>
      </c>
      <c r="AR791" s="91">
        <v>301200</v>
      </c>
      <c r="AS791" s="91">
        <v>1.5E-3</v>
      </c>
    </row>
    <row r="792" spans="1:45" x14ac:dyDescent="0.55000000000000004">
      <c r="A792" s="90">
        <v>45820</v>
      </c>
      <c r="B792" s="91">
        <v>6647</v>
      </c>
      <c r="C792" s="91">
        <v>6473.5</v>
      </c>
      <c r="D792" s="91">
        <v>6473.5</v>
      </c>
      <c r="E792" s="91">
        <v>173877</v>
      </c>
      <c r="F792" s="91">
        <v>-2.2800000000000001E-2</v>
      </c>
      <c r="H792" s="90">
        <v>45820</v>
      </c>
      <c r="I792" s="91">
        <v>1453.5</v>
      </c>
      <c r="J792" s="91">
        <v>1441.599976</v>
      </c>
      <c r="K792" s="91">
        <v>1435.8652340000001</v>
      </c>
      <c r="L792" s="91">
        <v>8828114</v>
      </c>
      <c r="M792" s="91">
        <v>-5.0000000000000001E-3</v>
      </c>
      <c r="O792" s="90">
        <v>45820</v>
      </c>
      <c r="P792" s="91">
        <v>975</v>
      </c>
      <c r="Q792" s="91">
        <v>971.70001219999995</v>
      </c>
      <c r="R792" s="91">
        <v>958.74072269999999</v>
      </c>
      <c r="S792" s="91">
        <v>16349130</v>
      </c>
      <c r="T792" s="91">
        <v>-3.5999999999999999E-3</v>
      </c>
      <c r="V792" s="90">
        <v>45820</v>
      </c>
      <c r="W792" s="91">
        <v>1617</v>
      </c>
      <c r="X792" s="91">
        <v>1608.599976</v>
      </c>
      <c r="Y792" s="91">
        <v>1584.3454589999999</v>
      </c>
      <c r="Z792" s="91">
        <v>10483574</v>
      </c>
      <c r="AA792" s="91">
        <v>-1.38E-2</v>
      </c>
      <c r="AB792" s="91"/>
      <c r="AC792" s="90">
        <v>45820</v>
      </c>
      <c r="AD792" s="91">
        <v>5776.5</v>
      </c>
      <c r="AE792" s="91">
        <v>5627.5</v>
      </c>
      <c r="AF792" s="91">
        <v>5627.5</v>
      </c>
      <c r="AG792" s="91">
        <v>974013</v>
      </c>
      <c r="AH792" s="91">
        <v>-2.5000000000000001E-2</v>
      </c>
      <c r="AI792" s="91"/>
      <c r="AJ792" s="91">
        <f>(F792*'Part 3 Portfolio Analysis'!$B$8+M792*'Part 3 Portfolio Analysis'!$C$8+T792*'Part 3 Portfolio Analysis'!$D$8+AA792*'Part 3 Portfolio Analysis'!$E$8+AH792*'Part 3 Portfolio Analysis'!$F$8)/100</f>
        <v>-1.171814957054448E-2</v>
      </c>
      <c r="AK792" s="91">
        <f>'Part 3 Portfolio Analysis'!$B$107*F792+M792*'Part 3 Portfolio Analysis'!$C$107+T792*'Part 3 Portfolio Analysis'!$D$107+AA792*'Part 3 Portfolio Analysis'!$E$107+AH792*'Part 3 Portfolio Analysis'!$F$107</f>
        <v>-1.3907000000000001E-2</v>
      </c>
      <c r="AL792" s="91">
        <f>F792*'Part 3 Portfolio Analysis'!$B$121+M792*'Part 3 Portfolio Analysis'!$C$121+'Part 3 Portfolio Analysis'!$D$121*T792+AA792*'Part 3 Portfolio Analysis'!$E$121+'Part 3 Portfolio Analysis'!$F$121*AH792</f>
        <v>-8.3663599999999998E-3</v>
      </c>
      <c r="AM792" s="91"/>
      <c r="AN792" s="90">
        <v>45820</v>
      </c>
      <c r="AO792" s="91">
        <v>25164.449219999999</v>
      </c>
      <c r="AP792" s="91">
        <v>24888.199219999999</v>
      </c>
      <c r="AQ792" s="91">
        <v>24888.199219999999</v>
      </c>
      <c r="AR792" s="91">
        <v>328300</v>
      </c>
      <c r="AS792" s="91">
        <v>-1.01E-2</v>
      </c>
    </row>
    <row r="793" spans="1:45" x14ac:dyDescent="0.55000000000000004">
      <c r="A793" s="90">
        <v>45821</v>
      </c>
      <c r="B793" s="91">
        <v>6300</v>
      </c>
      <c r="C793" s="91">
        <v>6392.5</v>
      </c>
      <c r="D793" s="91">
        <v>6392.5</v>
      </c>
      <c r="E793" s="91">
        <v>90117</v>
      </c>
      <c r="F793" s="91">
        <v>-1.2500000000000001E-2</v>
      </c>
      <c r="H793" s="90">
        <v>45821</v>
      </c>
      <c r="I793" s="91">
        <v>1424</v>
      </c>
      <c r="J793" s="91">
        <v>1427.900024</v>
      </c>
      <c r="K793" s="91">
        <v>1422.2198490000001</v>
      </c>
      <c r="L793" s="91">
        <v>9757276</v>
      </c>
      <c r="M793" s="91">
        <v>-9.4999999999999998E-3</v>
      </c>
      <c r="O793" s="90">
        <v>45821</v>
      </c>
      <c r="P793" s="91">
        <v>960</v>
      </c>
      <c r="Q793" s="91">
        <v>958.79998780000005</v>
      </c>
      <c r="R793" s="91">
        <v>946.01275629999998</v>
      </c>
      <c r="S793" s="91">
        <v>12117762</v>
      </c>
      <c r="T793" s="91">
        <v>-1.3299999999999999E-2</v>
      </c>
      <c r="V793" s="90">
        <v>45821</v>
      </c>
      <c r="W793" s="91">
        <v>1576</v>
      </c>
      <c r="X793" s="91">
        <v>1602</v>
      </c>
      <c r="Y793" s="91">
        <v>1577.844971</v>
      </c>
      <c r="Z793" s="91">
        <v>6968315</v>
      </c>
      <c r="AA793" s="91">
        <v>-4.1000000000000003E-3</v>
      </c>
      <c r="AB793" s="91"/>
      <c r="AC793" s="90">
        <v>45821</v>
      </c>
      <c r="AD793" s="91">
        <v>5505.5</v>
      </c>
      <c r="AE793" s="91">
        <v>5590</v>
      </c>
      <c r="AF793" s="91">
        <v>5590</v>
      </c>
      <c r="AG793" s="91">
        <v>711911</v>
      </c>
      <c r="AH793" s="91">
        <v>-6.7000000000000002E-3</v>
      </c>
      <c r="AI793" s="91"/>
      <c r="AJ793" s="91">
        <f>(F793*'Part 3 Portfolio Analysis'!$B$8+M793*'Part 3 Portfolio Analysis'!$C$8+T793*'Part 3 Portfolio Analysis'!$D$8+AA793*'Part 3 Portfolio Analysis'!$E$8+AH793*'Part 3 Portfolio Analysis'!$F$8)/100</f>
        <v>-1.013748091316876E-2</v>
      </c>
      <c r="AK793" s="91">
        <f>'Part 3 Portfolio Analysis'!$B$107*F793+M793*'Part 3 Portfolio Analysis'!$C$107+T793*'Part 3 Portfolio Analysis'!$D$107+AA793*'Part 3 Portfolio Analysis'!$E$107+AH793*'Part 3 Portfolio Analysis'!$F$107</f>
        <v>-9.3834000000000001E-3</v>
      </c>
      <c r="AL793" s="91">
        <f>F793*'Part 3 Portfolio Analysis'!$B$121+M793*'Part 3 Portfolio Analysis'!$C$121+'Part 3 Portfolio Analysis'!$D$121*T793+AA793*'Part 3 Portfolio Analysis'!$E$121+'Part 3 Portfolio Analysis'!$F$121*AH793</f>
        <v>-9.6268399999999994E-3</v>
      </c>
      <c r="AM793" s="91"/>
      <c r="AN793" s="90">
        <v>45821</v>
      </c>
      <c r="AO793" s="91">
        <v>24473</v>
      </c>
      <c r="AP793" s="91">
        <v>24718.599610000001</v>
      </c>
      <c r="AQ793" s="91">
        <v>24718.599610000001</v>
      </c>
      <c r="AR793" s="91">
        <v>318700</v>
      </c>
      <c r="AS793" s="91">
        <v>-6.7999999999999996E-3</v>
      </c>
    </row>
    <row r="794" spans="1:45" x14ac:dyDescent="0.55000000000000004">
      <c r="A794" s="90">
        <v>45824</v>
      </c>
      <c r="B794" s="91">
        <v>6361</v>
      </c>
      <c r="C794" s="91">
        <v>6377</v>
      </c>
      <c r="D794" s="91">
        <v>6377</v>
      </c>
      <c r="E794" s="91">
        <v>121345</v>
      </c>
      <c r="F794" s="91">
        <v>-2.3999999999999998E-3</v>
      </c>
      <c r="H794" s="90">
        <v>45824</v>
      </c>
      <c r="I794" s="91">
        <v>1426.900024</v>
      </c>
      <c r="J794" s="91">
        <v>1437.8000489999999</v>
      </c>
      <c r="K794" s="91">
        <v>1432.0804439999999</v>
      </c>
      <c r="L794" s="91">
        <v>8458093</v>
      </c>
      <c r="M794" s="91">
        <v>6.8999999999999999E-3</v>
      </c>
      <c r="O794" s="90">
        <v>45824</v>
      </c>
      <c r="P794" s="91">
        <v>962</v>
      </c>
      <c r="Q794" s="91">
        <v>967.70001219999995</v>
      </c>
      <c r="R794" s="91">
        <v>954.79406740000002</v>
      </c>
      <c r="S794" s="91">
        <v>16513746</v>
      </c>
      <c r="T794" s="91">
        <v>9.2999999999999992E-3</v>
      </c>
      <c r="V794" s="90">
        <v>45824</v>
      </c>
      <c r="W794" s="91">
        <v>1600</v>
      </c>
      <c r="X794" s="91">
        <v>1623.8000489999999</v>
      </c>
      <c r="Y794" s="91">
        <v>1599.3164059999999</v>
      </c>
      <c r="Z794" s="91">
        <v>5591842</v>
      </c>
      <c r="AA794" s="91">
        <v>1.3599999999999999E-2</v>
      </c>
      <c r="AB794" s="91"/>
      <c r="AC794" s="90">
        <v>45824</v>
      </c>
      <c r="AD794" s="91">
        <v>5589</v>
      </c>
      <c r="AE794" s="91">
        <v>5679.5</v>
      </c>
      <c r="AF794" s="91">
        <v>5679.5</v>
      </c>
      <c r="AG794" s="91">
        <v>605268</v>
      </c>
      <c r="AH794" s="91">
        <v>1.6E-2</v>
      </c>
      <c r="AI794" s="91"/>
      <c r="AJ794" s="91">
        <f>(F794*'Part 3 Portfolio Analysis'!$B$8+M794*'Part 3 Portfolio Analysis'!$C$8+T794*'Part 3 Portfolio Analysis'!$D$8+AA794*'Part 3 Portfolio Analysis'!$E$8+AH794*'Part 3 Portfolio Analysis'!$F$8)/100</f>
        <v>5.6775451302461359E-3</v>
      </c>
      <c r="AK794" s="91">
        <f>'Part 3 Portfolio Analysis'!$B$107*F794+M794*'Part 3 Portfolio Analysis'!$C$107+T794*'Part 3 Portfolio Analysis'!$D$107+AA794*'Part 3 Portfolio Analysis'!$E$107+AH794*'Part 3 Portfolio Analysis'!$F$107</f>
        <v>8.5612000000000014E-3</v>
      </c>
      <c r="AL794" s="91">
        <f>F794*'Part 3 Portfolio Analysis'!$B$121+M794*'Part 3 Portfolio Analysis'!$C$121+'Part 3 Portfolio Analysis'!$D$121*T794+AA794*'Part 3 Portfolio Analysis'!$E$121+'Part 3 Portfolio Analysis'!$F$121*AH794</f>
        <v>8.3667599999999991E-3</v>
      </c>
      <c r="AM794" s="91"/>
      <c r="AN794" s="90">
        <v>45824</v>
      </c>
      <c r="AO794" s="91">
        <v>24732.349610000001</v>
      </c>
      <c r="AP794" s="91">
        <v>24946.5</v>
      </c>
      <c r="AQ794" s="91">
        <v>24946.5</v>
      </c>
      <c r="AR794" s="91">
        <v>305800</v>
      </c>
      <c r="AS794" s="91">
        <v>9.1999999999999998E-3</v>
      </c>
    </row>
    <row r="795" spans="1:45" x14ac:dyDescent="0.55000000000000004">
      <c r="A795" s="90">
        <v>45825</v>
      </c>
      <c r="B795" s="91">
        <v>6377</v>
      </c>
      <c r="C795" s="91">
        <v>6418</v>
      </c>
      <c r="D795" s="91">
        <v>6418</v>
      </c>
      <c r="E795" s="91">
        <v>112049</v>
      </c>
      <c r="F795" s="91">
        <v>6.4000000000000003E-3</v>
      </c>
      <c r="H795" s="90">
        <v>45825</v>
      </c>
      <c r="I795" s="91">
        <v>1448</v>
      </c>
      <c r="J795" s="91">
        <v>1431.1999510000001</v>
      </c>
      <c r="K795" s="91">
        <v>1425.506592</v>
      </c>
      <c r="L795" s="91">
        <v>10366599</v>
      </c>
      <c r="M795" s="91">
        <v>-4.5999999999999999E-3</v>
      </c>
      <c r="O795" s="90">
        <v>45825</v>
      </c>
      <c r="P795" s="91">
        <v>968.5</v>
      </c>
      <c r="Q795" s="91">
        <v>964.79998780000005</v>
      </c>
      <c r="R795" s="91">
        <v>951.93273929999998</v>
      </c>
      <c r="S795" s="91">
        <v>16978736</v>
      </c>
      <c r="T795" s="91">
        <v>-3.0000000000000001E-3</v>
      </c>
      <c r="V795" s="90">
        <v>45825</v>
      </c>
      <c r="W795" s="91">
        <v>1620.6999510000001</v>
      </c>
      <c r="X795" s="91">
        <v>1639.900024</v>
      </c>
      <c r="Y795" s="91">
        <v>1615.1735839999999</v>
      </c>
      <c r="Z795" s="91">
        <v>7622083</v>
      </c>
      <c r="AA795" s="91">
        <v>9.9000000000000008E-3</v>
      </c>
      <c r="AB795" s="91"/>
      <c r="AC795" s="90">
        <v>45825</v>
      </c>
      <c r="AD795" s="91">
        <v>5687</v>
      </c>
      <c r="AE795" s="91">
        <v>5626.5</v>
      </c>
      <c r="AF795" s="91">
        <v>5626.5</v>
      </c>
      <c r="AG795" s="91">
        <v>529572</v>
      </c>
      <c r="AH795" s="91">
        <v>-9.2999999999999992E-3</v>
      </c>
      <c r="AI795" s="91"/>
      <c r="AJ795" s="91">
        <f>(F795*'Part 3 Portfolio Analysis'!$B$8+M795*'Part 3 Portfolio Analysis'!$C$8+T795*'Part 3 Portfolio Analysis'!$D$8+AA795*'Part 3 Portfolio Analysis'!$E$8+AH795*'Part 3 Portfolio Analysis'!$F$8)/100</f>
        <v>1.2545011791681743E-3</v>
      </c>
      <c r="AK795" s="91">
        <f>'Part 3 Portfolio Analysis'!$B$107*F795+M795*'Part 3 Portfolio Analysis'!$C$107+T795*'Part 3 Portfolio Analysis'!$D$107+AA795*'Part 3 Portfolio Analysis'!$E$107+AH795*'Part 3 Portfolio Analysis'!$F$107</f>
        <v>-2.1063999999999996E-3</v>
      </c>
      <c r="AL795" s="91">
        <f>F795*'Part 3 Portfolio Analysis'!$B$121+M795*'Part 3 Portfolio Analysis'!$C$121+'Part 3 Portfolio Analysis'!$D$121*T795+AA795*'Part 3 Portfolio Analysis'!$E$121+'Part 3 Portfolio Analysis'!$F$121*AH795</f>
        <v>-4.837399999999997E-4</v>
      </c>
      <c r="AM795" s="91"/>
      <c r="AN795" s="90">
        <v>45825</v>
      </c>
      <c r="AO795" s="91">
        <v>24977.849610000001</v>
      </c>
      <c r="AP795" s="91">
        <v>24853.400389999999</v>
      </c>
      <c r="AQ795" s="91">
        <v>24853.400389999999</v>
      </c>
      <c r="AR795" s="91">
        <v>242400</v>
      </c>
      <c r="AS795" s="91">
        <v>-3.7000000000000002E-3</v>
      </c>
    </row>
    <row r="796" spans="1:45" x14ac:dyDescent="0.55000000000000004">
      <c r="A796" s="90">
        <v>45826</v>
      </c>
      <c r="B796" s="91">
        <v>6419</v>
      </c>
      <c r="C796" s="91">
        <v>6449.5</v>
      </c>
      <c r="D796" s="91">
        <v>6449.5</v>
      </c>
      <c r="E796" s="91">
        <v>98354</v>
      </c>
      <c r="F796" s="91">
        <v>4.8999999999999998E-3</v>
      </c>
      <c r="H796" s="90">
        <v>45826</v>
      </c>
      <c r="I796" s="91">
        <v>1430</v>
      </c>
      <c r="J796" s="91">
        <v>1430.099976</v>
      </c>
      <c r="K796" s="91">
        <v>1424.4110109999999</v>
      </c>
      <c r="L796" s="91">
        <v>6681735</v>
      </c>
      <c r="M796" s="91">
        <v>-8.0000000000000004E-4</v>
      </c>
      <c r="O796" s="90">
        <v>45826</v>
      </c>
      <c r="P796" s="91">
        <v>958.5</v>
      </c>
      <c r="Q796" s="91">
        <v>966.95001219999995</v>
      </c>
      <c r="R796" s="91">
        <v>954.05407709999997</v>
      </c>
      <c r="S796" s="91">
        <v>18433816</v>
      </c>
      <c r="T796" s="91">
        <v>2.2000000000000001E-3</v>
      </c>
      <c r="V796" s="90">
        <v>45826</v>
      </c>
      <c r="W796" s="91">
        <v>1621</v>
      </c>
      <c r="X796" s="91">
        <v>1632.900024</v>
      </c>
      <c r="Y796" s="91">
        <v>1608.2791749999999</v>
      </c>
      <c r="Z796" s="91">
        <v>5629707</v>
      </c>
      <c r="AA796" s="91">
        <v>-4.3E-3</v>
      </c>
      <c r="AB796" s="91"/>
      <c r="AC796" s="90">
        <v>45826</v>
      </c>
      <c r="AD796" s="91">
        <v>5654</v>
      </c>
      <c r="AE796" s="91">
        <v>5735</v>
      </c>
      <c r="AF796" s="91">
        <v>5735</v>
      </c>
      <c r="AG796" s="91">
        <v>864129</v>
      </c>
      <c r="AH796" s="91">
        <v>1.9300000000000001E-2</v>
      </c>
      <c r="AI796" s="91"/>
      <c r="AJ796" s="91">
        <f>(F796*'Part 3 Portfolio Analysis'!$B$8+M796*'Part 3 Portfolio Analysis'!$C$8+T796*'Part 3 Portfolio Analysis'!$D$8+AA796*'Part 3 Portfolio Analysis'!$E$8+AH796*'Part 3 Portfolio Analysis'!$F$8)/100</f>
        <v>1.0436199024407252E-3</v>
      </c>
      <c r="AK796" s="91">
        <f>'Part 3 Portfolio Analysis'!$B$107*F796+M796*'Part 3 Portfolio Analysis'!$C$107+T796*'Part 3 Portfolio Analysis'!$D$107+AA796*'Part 3 Portfolio Analysis'!$E$107+AH796*'Part 3 Portfolio Analysis'!$F$107</f>
        <v>5.4061999999999999E-3</v>
      </c>
      <c r="AL796" s="91">
        <f>F796*'Part 3 Portfolio Analysis'!$B$121+M796*'Part 3 Portfolio Analysis'!$C$121+'Part 3 Portfolio Analysis'!$D$121*T796+AA796*'Part 3 Portfolio Analysis'!$E$121+'Part 3 Portfolio Analysis'!$F$121*AH796</f>
        <v>3.1116E-4</v>
      </c>
      <c r="AM796" s="91"/>
      <c r="AN796" s="90">
        <v>45826</v>
      </c>
      <c r="AO796" s="91">
        <v>24788.349610000001</v>
      </c>
      <c r="AP796" s="91">
        <v>24812.050780000001</v>
      </c>
      <c r="AQ796" s="91">
        <v>24812.050780000001</v>
      </c>
      <c r="AR796" s="91">
        <v>237600</v>
      </c>
      <c r="AS796" s="91">
        <v>-1.6999999999999999E-3</v>
      </c>
    </row>
    <row r="797" spans="1:45" x14ac:dyDescent="0.55000000000000004">
      <c r="A797" s="90">
        <v>45827</v>
      </c>
      <c r="B797" s="91">
        <v>6485.5</v>
      </c>
      <c r="C797" s="91">
        <v>6220</v>
      </c>
      <c r="D797" s="91">
        <v>6220</v>
      </c>
      <c r="E797" s="91">
        <v>202630</v>
      </c>
      <c r="F797" s="91">
        <v>-3.56E-2</v>
      </c>
      <c r="H797" s="90">
        <v>45827</v>
      </c>
      <c r="I797" s="91">
        <v>1430.099976</v>
      </c>
      <c r="J797" s="91">
        <v>1433.3000489999999</v>
      </c>
      <c r="K797" s="91">
        <v>1427.598389</v>
      </c>
      <c r="L797" s="91">
        <v>10007230</v>
      </c>
      <c r="M797" s="91">
        <v>2.2000000000000001E-3</v>
      </c>
      <c r="O797" s="90">
        <v>45827</v>
      </c>
      <c r="P797" s="91">
        <v>966.95001219999995</v>
      </c>
      <c r="Q797" s="91">
        <v>967.65002440000001</v>
      </c>
      <c r="R797" s="91">
        <v>954.74475099999995</v>
      </c>
      <c r="S797" s="91">
        <v>16876220</v>
      </c>
      <c r="T797" s="91">
        <v>6.9999999999999999E-4</v>
      </c>
      <c r="V797" s="90">
        <v>45827</v>
      </c>
      <c r="W797" s="91">
        <v>1623.900024</v>
      </c>
      <c r="X797" s="91">
        <v>1618.400024</v>
      </c>
      <c r="Y797" s="91">
        <v>1593.997803</v>
      </c>
      <c r="Z797" s="91">
        <v>5147760</v>
      </c>
      <c r="AA797" s="91">
        <v>-8.8999999999999999E-3</v>
      </c>
      <c r="AB797" s="91"/>
      <c r="AC797" s="90">
        <v>45827</v>
      </c>
      <c r="AD797" s="91">
        <v>5800</v>
      </c>
      <c r="AE797" s="91">
        <v>5723.5</v>
      </c>
      <c r="AF797" s="91">
        <v>5723.5</v>
      </c>
      <c r="AG797" s="91">
        <v>886990</v>
      </c>
      <c r="AH797" s="91">
        <v>-2E-3</v>
      </c>
      <c r="AI797" s="91"/>
      <c r="AJ797" s="91">
        <f>(F797*'Part 3 Portfolio Analysis'!$B$8+M797*'Part 3 Portfolio Analysis'!$C$8+T797*'Part 3 Portfolio Analysis'!$D$8+AA797*'Part 3 Portfolio Analysis'!$E$8+AH797*'Part 3 Portfolio Analysis'!$F$8)/100</f>
        <v>-1.1217630783046132E-2</v>
      </c>
      <c r="AK797" s="91">
        <f>'Part 3 Portfolio Analysis'!$B$107*F797+M797*'Part 3 Portfolio Analysis'!$C$107+T797*'Part 3 Portfolio Analysis'!$D$107+AA797*'Part 3 Portfolio Analysis'!$E$107+AH797*'Part 3 Portfolio Analysis'!$F$107</f>
        <v>-7.0048999999999997E-3</v>
      </c>
      <c r="AL797" s="91">
        <f>F797*'Part 3 Portfolio Analysis'!$B$121+M797*'Part 3 Portfolio Analysis'!$C$121+'Part 3 Portfolio Analysis'!$D$121*T797+AA797*'Part 3 Portfolio Analysis'!$E$121+'Part 3 Portfolio Analysis'!$F$121*AH797</f>
        <v>-3.6451999999999999E-3</v>
      </c>
      <c r="AM797" s="91"/>
      <c r="AN797" s="90">
        <v>45827</v>
      </c>
      <c r="AO797" s="91">
        <v>24803.25</v>
      </c>
      <c r="AP797" s="91">
        <v>24793.25</v>
      </c>
      <c r="AQ797" s="91">
        <v>24793.25</v>
      </c>
      <c r="AR797" s="91">
        <v>274600</v>
      </c>
      <c r="AS797" s="91">
        <v>-8.0000000000000004E-4</v>
      </c>
    </row>
    <row r="798" spans="1:45" x14ac:dyDescent="0.55000000000000004">
      <c r="A798" s="90">
        <v>45828</v>
      </c>
      <c r="B798" s="91">
        <v>6246</v>
      </c>
      <c r="C798" s="91">
        <v>6319</v>
      </c>
      <c r="D798" s="91">
        <v>6319</v>
      </c>
      <c r="E798" s="91">
        <v>189963</v>
      </c>
      <c r="F798" s="91">
        <v>1.5900000000000001E-2</v>
      </c>
      <c r="H798" s="90">
        <v>45828</v>
      </c>
      <c r="I798" s="91">
        <v>1431</v>
      </c>
      <c r="J798" s="91">
        <v>1466.1999510000001</v>
      </c>
      <c r="K798" s="91">
        <v>1460.367432</v>
      </c>
      <c r="L798" s="91">
        <v>29010635</v>
      </c>
      <c r="M798" s="91">
        <v>2.3E-2</v>
      </c>
      <c r="O798" s="90">
        <v>45828</v>
      </c>
      <c r="P798" s="91">
        <v>965.79998780000005</v>
      </c>
      <c r="Q798" s="91">
        <v>982.34997559999999</v>
      </c>
      <c r="R798" s="91">
        <v>969.24865720000003</v>
      </c>
      <c r="S798" s="91">
        <v>32900408</v>
      </c>
      <c r="T798" s="91">
        <v>1.52E-2</v>
      </c>
      <c r="V798" s="90">
        <v>45828</v>
      </c>
      <c r="W798" s="91">
        <v>1619</v>
      </c>
      <c r="X798" s="91">
        <v>1622.900024</v>
      </c>
      <c r="Y798" s="91">
        <v>1598.429932</v>
      </c>
      <c r="Z798" s="91">
        <v>9202821</v>
      </c>
      <c r="AA798" s="91">
        <v>2.8E-3</v>
      </c>
      <c r="AB798" s="91"/>
      <c r="AC798" s="90">
        <v>45828</v>
      </c>
      <c r="AD798" s="91">
        <v>5756</v>
      </c>
      <c r="AE798" s="91">
        <v>5897.5</v>
      </c>
      <c r="AF798" s="91">
        <v>5897.5</v>
      </c>
      <c r="AG798" s="91">
        <v>10424185</v>
      </c>
      <c r="AH798" s="91">
        <v>3.04E-2</v>
      </c>
      <c r="AI798" s="91"/>
      <c r="AJ798" s="91">
        <f>(F798*'Part 3 Portfolio Analysis'!$B$8+M798*'Part 3 Portfolio Analysis'!$C$8+T798*'Part 3 Portfolio Analysis'!$D$8+AA798*'Part 3 Portfolio Analysis'!$E$8+AH798*'Part 3 Portfolio Analysis'!$F$8)/100</f>
        <v>1.6390327441125143E-2</v>
      </c>
      <c r="AK798" s="91">
        <f>'Part 3 Portfolio Analysis'!$B$107*F798+M798*'Part 3 Portfolio Analysis'!$C$107+T798*'Part 3 Portfolio Analysis'!$D$107+AA798*'Part 3 Portfolio Analysis'!$E$107+AH798*'Part 3 Portfolio Analysis'!$F$107</f>
        <v>2.0357800000000002E-2</v>
      </c>
      <c r="AL798" s="91">
        <f>F798*'Part 3 Portfolio Analysis'!$B$121+M798*'Part 3 Portfolio Analysis'!$C$121+'Part 3 Portfolio Analysis'!$D$121*T798+AA798*'Part 3 Portfolio Analysis'!$E$121+'Part 3 Portfolio Analysis'!$F$121*AH798</f>
        <v>1.6448659999999997E-2</v>
      </c>
      <c r="AM798" s="91"/>
      <c r="AN798" s="90">
        <v>45828</v>
      </c>
      <c r="AO798" s="91">
        <v>24787.650389999999</v>
      </c>
      <c r="AP798" s="91">
        <v>25112.400389999999</v>
      </c>
      <c r="AQ798" s="91">
        <v>25112.400389999999</v>
      </c>
      <c r="AR798" s="91">
        <v>574700</v>
      </c>
      <c r="AS798" s="91">
        <v>1.29E-2</v>
      </c>
    </row>
    <row r="799" spans="1:45" x14ac:dyDescent="0.55000000000000004">
      <c r="A799" s="90">
        <v>45831</v>
      </c>
      <c r="B799" s="91">
        <v>6221</v>
      </c>
      <c r="C799" s="91">
        <v>6313</v>
      </c>
      <c r="D799" s="91">
        <v>6313</v>
      </c>
      <c r="E799" s="91">
        <v>107858</v>
      </c>
      <c r="F799" s="91">
        <v>-8.9999999999999998E-4</v>
      </c>
      <c r="H799" s="90">
        <v>45831</v>
      </c>
      <c r="I799" s="91">
        <v>1453</v>
      </c>
      <c r="J799" s="91">
        <v>1456.8000489999999</v>
      </c>
      <c r="K799" s="91">
        <v>1451.0048830000001</v>
      </c>
      <c r="L799" s="91">
        <v>5989078</v>
      </c>
      <c r="M799" s="91">
        <v>-6.4000000000000003E-3</v>
      </c>
      <c r="O799" s="90">
        <v>45831</v>
      </c>
      <c r="P799" s="91">
        <v>974.20001219999995</v>
      </c>
      <c r="Q799" s="91">
        <v>974.20001219999995</v>
      </c>
      <c r="R799" s="91">
        <v>961.20739749999996</v>
      </c>
      <c r="S799" s="91">
        <v>11739518</v>
      </c>
      <c r="T799" s="91">
        <v>-8.3000000000000001E-3</v>
      </c>
      <c r="V799" s="90">
        <v>45831</v>
      </c>
      <c r="W799" s="91">
        <v>1601</v>
      </c>
      <c r="X799" s="91">
        <v>1584</v>
      </c>
      <c r="Y799" s="91">
        <v>1560.1164550000001</v>
      </c>
      <c r="Z799" s="91">
        <v>7943676</v>
      </c>
      <c r="AA799" s="91">
        <v>-2.4E-2</v>
      </c>
      <c r="AB799" s="91"/>
      <c r="AC799" s="90">
        <v>45831</v>
      </c>
      <c r="AD799" s="91">
        <v>5850</v>
      </c>
      <c r="AE799" s="91">
        <v>6120</v>
      </c>
      <c r="AF799" s="91">
        <v>6120</v>
      </c>
      <c r="AG799" s="91">
        <v>2271641</v>
      </c>
      <c r="AH799" s="91">
        <v>3.7699999999999997E-2</v>
      </c>
      <c r="AI799" s="91"/>
      <c r="AJ799" s="91">
        <f>(F799*'Part 3 Portfolio Analysis'!$B$8+M799*'Part 3 Portfolio Analysis'!$C$8+T799*'Part 3 Portfolio Analysis'!$D$8+AA799*'Part 3 Portfolio Analysis'!$E$8+AH799*'Part 3 Portfolio Analysis'!$F$8)/100</f>
        <v>-7.4683593418744931E-3</v>
      </c>
      <c r="AK799" s="91">
        <f>'Part 3 Portfolio Analysis'!$B$107*F799+M799*'Part 3 Portfolio Analysis'!$C$107+T799*'Part 3 Portfolio Analysis'!$D$107+AA799*'Part 3 Portfolio Analysis'!$E$107+AH799*'Part 3 Portfolio Analysis'!$F$107</f>
        <v>3.6486999999999986E-3</v>
      </c>
      <c r="AL799" s="91">
        <f>F799*'Part 3 Portfolio Analysis'!$B$121+M799*'Part 3 Portfolio Analysis'!$C$121+'Part 3 Portfolio Analysis'!$D$121*T799+AA799*'Part 3 Portfolio Analysis'!$E$121+'Part 3 Portfolio Analysis'!$F$121*AH799</f>
        <v>-8.8292800000000018E-3</v>
      </c>
      <c r="AM799" s="91"/>
      <c r="AN799" s="90">
        <v>45831</v>
      </c>
      <c r="AO799" s="91">
        <v>24939.75</v>
      </c>
      <c r="AP799" s="91">
        <v>24971.900389999999</v>
      </c>
      <c r="AQ799" s="91">
        <v>24971.900389999999</v>
      </c>
      <c r="AR799" s="91">
        <v>248500</v>
      </c>
      <c r="AS799" s="91">
        <v>-5.5999999999999999E-3</v>
      </c>
    </row>
    <row r="800" spans="1:45" x14ac:dyDescent="0.55000000000000004">
      <c r="A800" s="90">
        <v>45832</v>
      </c>
      <c r="B800" s="91">
        <v>6410</v>
      </c>
      <c r="C800" s="91">
        <v>6266</v>
      </c>
      <c r="D800" s="91">
        <v>6266</v>
      </c>
      <c r="E800" s="91">
        <v>203298</v>
      </c>
      <c r="F800" s="91">
        <v>-7.4000000000000003E-3</v>
      </c>
      <c r="H800" s="90">
        <v>45832</v>
      </c>
      <c r="I800" s="91">
        <v>1465</v>
      </c>
      <c r="J800" s="91">
        <v>1450.8000489999999</v>
      </c>
      <c r="K800" s="91">
        <v>1445.028687</v>
      </c>
      <c r="L800" s="91">
        <v>16402744</v>
      </c>
      <c r="M800" s="91">
        <v>-4.1000000000000003E-3</v>
      </c>
      <c r="O800" s="90">
        <v>45832</v>
      </c>
      <c r="P800" s="91">
        <v>982.5</v>
      </c>
      <c r="Q800" s="91">
        <v>980.45001219999995</v>
      </c>
      <c r="R800" s="91">
        <v>967.37402340000006</v>
      </c>
      <c r="S800" s="91">
        <v>22625322</v>
      </c>
      <c r="T800" s="91">
        <v>6.4000000000000003E-3</v>
      </c>
      <c r="V800" s="90">
        <v>45832</v>
      </c>
      <c r="W800" s="91">
        <v>1601</v>
      </c>
      <c r="X800" s="91">
        <v>1581.599976</v>
      </c>
      <c r="Y800" s="91">
        <v>1557.752563</v>
      </c>
      <c r="Z800" s="91">
        <v>8083992</v>
      </c>
      <c r="AA800" s="91">
        <v>-1.5E-3</v>
      </c>
      <c r="AB800" s="91"/>
      <c r="AC800" s="90">
        <v>45832</v>
      </c>
      <c r="AD800" s="91">
        <v>6174</v>
      </c>
      <c r="AE800" s="91">
        <v>6057.5</v>
      </c>
      <c r="AF800" s="91">
        <v>6057.5</v>
      </c>
      <c r="AG800" s="91">
        <v>1459591</v>
      </c>
      <c r="AH800" s="91">
        <v>-1.0200000000000001E-2</v>
      </c>
      <c r="AI800" s="91"/>
      <c r="AJ800" s="91">
        <f>(F800*'Part 3 Portfolio Analysis'!$B$8+M800*'Part 3 Portfolio Analysis'!$C$8+T800*'Part 3 Portfolio Analysis'!$D$8+AA800*'Part 3 Portfolio Analysis'!$E$8+AH800*'Part 3 Portfolio Analysis'!$F$8)/100</f>
        <v>-2.9796583042355608E-3</v>
      </c>
      <c r="AK800" s="91">
        <f>'Part 3 Portfolio Analysis'!$B$107*F800+M800*'Part 3 Portfolio Analysis'!$C$107+T800*'Part 3 Portfolio Analysis'!$D$107+AA800*'Part 3 Portfolio Analysis'!$E$107+AH800*'Part 3 Portfolio Analysis'!$F$107</f>
        <v>-4.3436999999999998E-3</v>
      </c>
      <c r="AL800" s="91">
        <f>F800*'Part 3 Portfolio Analysis'!$B$121+M800*'Part 3 Portfolio Analysis'!$C$121+'Part 3 Portfolio Analysis'!$D$121*T800+AA800*'Part 3 Portfolio Analysis'!$E$121+'Part 3 Portfolio Analysis'!$F$121*AH800</f>
        <v>-1.1550799999999997E-3</v>
      </c>
      <c r="AM800" s="91"/>
      <c r="AN800" s="90">
        <v>45832</v>
      </c>
      <c r="AO800" s="91">
        <v>25179.900389999999</v>
      </c>
      <c r="AP800" s="91">
        <v>25044.349610000001</v>
      </c>
      <c r="AQ800" s="91">
        <v>25044.349610000001</v>
      </c>
      <c r="AR800" s="91">
        <v>450200</v>
      </c>
      <c r="AS800" s="91">
        <v>2.8999999999999998E-3</v>
      </c>
    </row>
    <row r="801" spans="1:45" x14ac:dyDescent="0.55000000000000004">
      <c r="A801" s="90">
        <v>45833</v>
      </c>
      <c r="B801" s="91">
        <v>6266</v>
      </c>
      <c r="C801" s="91">
        <v>6266.5</v>
      </c>
      <c r="D801" s="91">
        <v>6266.5</v>
      </c>
      <c r="E801" s="91">
        <v>134175</v>
      </c>
      <c r="F801" s="91">
        <v>1E-4</v>
      </c>
      <c r="H801" s="90">
        <v>45833</v>
      </c>
      <c r="I801" s="91">
        <v>1464</v>
      </c>
      <c r="J801" s="91">
        <v>1467.3000489999999</v>
      </c>
      <c r="K801" s="91">
        <v>1461.463135</v>
      </c>
      <c r="L801" s="91">
        <v>7525851</v>
      </c>
      <c r="M801" s="91">
        <v>1.14E-2</v>
      </c>
      <c r="O801" s="90">
        <v>45833</v>
      </c>
      <c r="P801" s="91">
        <v>983</v>
      </c>
      <c r="Q801" s="91">
        <v>990.09997559999999</v>
      </c>
      <c r="R801" s="91">
        <v>976.89532469999995</v>
      </c>
      <c r="S801" s="91">
        <v>18405932</v>
      </c>
      <c r="T801" s="91">
        <v>9.7999999999999997E-3</v>
      </c>
      <c r="V801" s="90">
        <v>45833</v>
      </c>
      <c r="W801" s="91">
        <v>1590</v>
      </c>
      <c r="X801" s="91">
        <v>1614.900024</v>
      </c>
      <c r="Y801" s="91">
        <v>1590.5505370000001</v>
      </c>
      <c r="Z801" s="91">
        <v>7813533</v>
      </c>
      <c r="AA801" s="91">
        <v>2.1100000000000001E-2</v>
      </c>
      <c r="AB801" s="91"/>
      <c r="AC801" s="90">
        <v>45833</v>
      </c>
      <c r="AD801" s="91">
        <v>6090</v>
      </c>
      <c r="AE801" s="91">
        <v>6124.5</v>
      </c>
      <c r="AF801" s="91">
        <v>6124.5</v>
      </c>
      <c r="AG801" s="91">
        <v>815696</v>
      </c>
      <c r="AH801" s="91">
        <v>1.11E-2</v>
      </c>
      <c r="AI801" s="91"/>
      <c r="AJ801" s="91">
        <f>(F801*'Part 3 Portfolio Analysis'!$B$8+M801*'Part 3 Portfolio Analysis'!$C$8+T801*'Part 3 Portfolio Analysis'!$D$8+AA801*'Part 3 Portfolio Analysis'!$E$8+AH801*'Part 3 Portfolio Analysis'!$F$8)/100</f>
        <v>9.3012232282326142E-3</v>
      </c>
      <c r="AK801" s="91">
        <f>'Part 3 Portfolio Analysis'!$B$107*F801+M801*'Part 3 Portfolio Analysis'!$C$107+T801*'Part 3 Portfolio Analysis'!$D$107+AA801*'Part 3 Portfolio Analysis'!$E$107+AH801*'Part 3 Portfolio Analysis'!$F$107</f>
        <v>1.0012399999999999E-2</v>
      </c>
      <c r="AL801" s="91">
        <f>F801*'Part 3 Portfolio Analysis'!$B$121+M801*'Part 3 Portfolio Analysis'!$C$121+'Part 3 Portfolio Analysis'!$D$121*T801+AA801*'Part 3 Portfolio Analysis'!$E$121+'Part 3 Portfolio Analysis'!$F$121*AH801</f>
        <v>1.1968080000000002E-2</v>
      </c>
      <c r="AM801" s="91"/>
      <c r="AN801" s="90">
        <v>45833</v>
      </c>
      <c r="AO801" s="91">
        <v>25150.349610000001</v>
      </c>
      <c r="AP801" s="91">
        <v>25244.75</v>
      </c>
      <c r="AQ801" s="91">
        <v>25244.75</v>
      </c>
      <c r="AR801" s="91">
        <v>260600</v>
      </c>
      <c r="AS801" s="91">
        <v>8.0000000000000002E-3</v>
      </c>
    </row>
    <row r="802" spans="1:45" x14ac:dyDescent="0.55000000000000004">
      <c r="A802" s="90">
        <v>45834</v>
      </c>
      <c r="B802" s="91">
        <v>6275</v>
      </c>
      <c r="C802" s="91">
        <v>6274.5</v>
      </c>
      <c r="D802" s="91">
        <v>6274.5</v>
      </c>
      <c r="E802" s="91">
        <v>126030</v>
      </c>
      <c r="F802" s="91">
        <v>1.2999999999999999E-3</v>
      </c>
      <c r="H802" s="90">
        <v>45834</v>
      </c>
      <c r="I802" s="91">
        <v>1469.099976</v>
      </c>
      <c r="J802" s="91">
        <v>1495.3000489999999</v>
      </c>
      <c r="K802" s="91">
        <v>1489.3516850000001</v>
      </c>
      <c r="L802" s="91">
        <v>14657893</v>
      </c>
      <c r="M802" s="91">
        <v>1.9099999999999999E-2</v>
      </c>
      <c r="O802" s="90">
        <v>45834</v>
      </c>
      <c r="P802" s="91">
        <v>990.70001219999995</v>
      </c>
      <c r="Q802" s="91">
        <v>1010.900024</v>
      </c>
      <c r="R802" s="91">
        <v>997.4179077</v>
      </c>
      <c r="S802" s="91">
        <v>50084830</v>
      </c>
      <c r="T802" s="91">
        <v>2.1000000000000001E-2</v>
      </c>
      <c r="V802" s="90">
        <v>45834</v>
      </c>
      <c r="W802" s="91">
        <v>1608.8000489999999</v>
      </c>
      <c r="X802" s="91">
        <v>1616</v>
      </c>
      <c r="Y802" s="91">
        <v>1591.6339109999999</v>
      </c>
      <c r="Z802" s="91">
        <v>6519233</v>
      </c>
      <c r="AA802" s="91">
        <v>6.9999999999999999E-4</v>
      </c>
      <c r="AB802" s="91"/>
      <c r="AC802" s="90">
        <v>45834</v>
      </c>
      <c r="AD802" s="91">
        <v>6123</v>
      </c>
      <c r="AE802" s="91">
        <v>6107</v>
      </c>
      <c r="AF802" s="91">
        <v>6107</v>
      </c>
      <c r="AG802" s="91">
        <v>851467</v>
      </c>
      <c r="AH802" s="91">
        <v>-2.8999999999999998E-3</v>
      </c>
      <c r="AI802" s="91"/>
      <c r="AJ802" s="91">
        <f>(F802*'Part 3 Portfolio Analysis'!$B$8+M802*'Part 3 Portfolio Analysis'!$C$8+T802*'Part 3 Portfolio Analysis'!$D$8+AA802*'Part 3 Portfolio Analysis'!$E$8+AH802*'Part 3 Portfolio Analysis'!$F$8)/100</f>
        <v>1.0900747315085651E-2</v>
      </c>
      <c r="AK802" s="91">
        <f>'Part 3 Portfolio Analysis'!$B$107*F802+M802*'Part 3 Portfolio Analysis'!$C$107+T802*'Part 3 Portfolio Analysis'!$D$107+AA802*'Part 3 Portfolio Analysis'!$E$107+AH802*'Part 3 Portfolio Analysis'!$F$107</f>
        <v>8.8065000000000001E-3</v>
      </c>
      <c r="AL802" s="91">
        <f>F802*'Part 3 Portfolio Analysis'!$B$121+M802*'Part 3 Portfolio Analysis'!$C$121+'Part 3 Portfolio Analysis'!$D$121*T802+AA802*'Part 3 Portfolio Analysis'!$E$121+'Part 3 Portfolio Analysis'!$F$121*AH802</f>
        <v>1.389724E-2</v>
      </c>
      <c r="AM802" s="91"/>
      <c r="AN802" s="90">
        <v>45834</v>
      </c>
      <c r="AO802" s="91">
        <v>25268.949219999999</v>
      </c>
      <c r="AP802" s="91">
        <v>25549</v>
      </c>
      <c r="AQ802" s="91">
        <v>25549</v>
      </c>
      <c r="AR802" s="91">
        <v>428900</v>
      </c>
      <c r="AS802" s="91">
        <v>1.21E-2</v>
      </c>
    </row>
    <row r="803" spans="1:45" x14ac:dyDescent="0.55000000000000004">
      <c r="A803" s="90">
        <v>45835</v>
      </c>
      <c r="B803" s="91">
        <v>6295</v>
      </c>
      <c r="C803" s="91">
        <v>6345</v>
      </c>
      <c r="D803" s="91">
        <v>6345</v>
      </c>
      <c r="E803" s="91">
        <v>191698</v>
      </c>
      <c r="F803" s="91">
        <v>1.12E-2</v>
      </c>
      <c r="H803" s="90">
        <v>45835</v>
      </c>
      <c r="I803" s="91">
        <v>1499.400024</v>
      </c>
      <c r="J803" s="91">
        <v>1515.400024</v>
      </c>
      <c r="K803" s="91">
        <v>1509.3717039999999</v>
      </c>
      <c r="L803" s="91">
        <v>11117052</v>
      </c>
      <c r="M803" s="91">
        <v>1.34E-2</v>
      </c>
      <c r="O803" s="90">
        <v>45835</v>
      </c>
      <c r="P803" s="91">
        <v>1006.5</v>
      </c>
      <c r="Q803" s="91">
        <v>1007.450012</v>
      </c>
      <c r="R803" s="91">
        <v>1004.949158</v>
      </c>
      <c r="S803" s="91">
        <v>28213384</v>
      </c>
      <c r="T803" s="91">
        <v>7.6E-3</v>
      </c>
      <c r="V803" s="90">
        <v>45835</v>
      </c>
      <c r="W803" s="91">
        <v>1619</v>
      </c>
      <c r="X803" s="91">
        <v>1608</v>
      </c>
      <c r="Y803" s="91">
        <v>1583.7545170000001</v>
      </c>
      <c r="Z803" s="91">
        <v>8912268</v>
      </c>
      <c r="AA803" s="91">
        <v>-5.0000000000000001E-3</v>
      </c>
      <c r="AB803" s="91"/>
      <c r="AC803" s="90">
        <v>45835</v>
      </c>
      <c r="AD803" s="91">
        <v>6119</v>
      </c>
      <c r="AE803" s="91">
        <v>6019.5</v>
      </c>
      <c r="AF803" s="91">
        <v>6019.5</v>
      </c>
      <c r="AG803" s="91">
        <v>1935325</v>
      </c>
      <c r="AH803" s="91">
        <v>-1.43E-2</v>
      </c>
      <c r="AI803" s="91"/>
      <c r="AJ803" s="91">
        <f>(F803*'Part 3 Portfolio Analysis'!$B$8+M803*'Part 3 Portfolio Analysis'!$C$8+T803*'Part 3 Portfolio Analysis'!$D$8+AA803*'Part 3 Portfolio Analysis'!$E$8+AH803*'Part 3 Portfolio Analysis'!$F$8)/100</f>
        <v>8.5405800199652143E-3</v>
      </c>
      <c r="AK803" s="91">
        <f>'Part 3 Portfolio Analysis'!$B$107*F803+M803*'Part 3 Portfolio Analysis'!$C$107+T803*'Part 3 Portfolio Analysis'!$D$107+AA803*'Part 3 Portfolio Analysis'!$E$107+AH803*'Part 3 Portfolio Analysis'!$F$107</f>
        <v>3.2846000000000004E-3</v>
      </c>
      <c r="AL803" s="91">
        <f>F803*'Part 3 Portfolio Analysis'!$B$121+M803*'Part 3 Portfolio Analysis'!$C$121+'Part 3 Portfolio Analysis'!$D$121*T803+AA803*'Part 3 Portfolio Analysis'!$E$121+'Part 3 Portfolio Analysis'!$F$121*AH803</f>
        <v>7.2358200000000004E-3</v>
      </c>
      <c r="AM803" s="91"/>
      <c r="AN803" s="90">
        <v>45835</v>
      </c>
      <c r="AO803" s="91">
        <v>25576.650389999999</v>
      </c>
      <c r="AP803" s="91">
        <v>25637.800780000001</v>
      </c>
      <c r="AQ803" s="91">
        <v>25637.800780000001</v>
      </c>
      <c r="AR803" s="91">
        <v>564000</v>
      </c>
      <c r="AS803" s="91">
        <v>3.5000000000000001E-3</v>
      </c>
    </row>
    <row r="804" spans="1:45" x14ac:dyDescent="0.55000000000000004">
      <c r="A804" s="90">
        <v>45838</v>
      </c>
      <c r="B804" s="91">
        <v>6358.5</v>
      </c>
      <c r="C804" s="91">
        <v>6310</v>
      </c>
      <c r="D804" s="91">
        <v>6310</v>
      </c>
      <c r="E804" s="91">
        <v>95468</v>
      </c>
      <c r="F804" s="91">
        <v>-5.4999999999999997E-3</v>
      </c>
      <c r="H804" s="90">
        <v>45838</v>
      </c>
      <c r="I804" s="91">
        <v>1513.8000489999999</v>
      </c>
      <c r="J804" s="91">
        <v>1500.599976</v>
      </c>
      <c r="K804" s="91">
        <v>1494.630615</v>
      </c>
      <c r="L804" s="91">
        <v>8409527</v>
      </c>
      <c r="M804" s="91">
        <v>-9.7999999999999997E-3</v>
      </c>
      <c r="O804" s="90">
        <v>45838</v>
      </c>
      <c r="P804" s="91">
        <v>1005.75</v>
      </c>
      <c r="Q804" s="91">
        <v>1000.75</v>
      </c>
      <c r="R804" s="91">
        <v>998.26580809999996</v>
      </c>
      <c r="S804" s="91">
        <v>13649020</v>
      </c>
      <c r="T804" s="91">
        <v>-6.7000000000000002E-3</v>
      </c>
      <c r="V804" s="90">
        <v>45838</v>
      </c>
      <c r="W804" s="91">
        <v>1615</v>
      </c>
      <c r="X804" s="91">
        <v>1601.8000489999999</v>
      </c>
      <c r="Y804" s="91">
        <v>1577.6480710000001</v>
      </c>
      <c r="Z804" s="91">
        <v>6294505</v>
      </c>
      <c r="AA804" s="91">
        <v>-3.8999999999999998E-3</v>
      </c>
      <c r="AB804" s="91"/>
      <c r="AC804" s="90">
        <v>45838</v>
      </c>
      <c r="AD804" s="91">
        <v>6050</v>
      </c>
      <c r="AE804" s="91">
        <v>6217.5</v>
      </c>
      <c r="AF804" s="91">
        <v>6217.5</v>
      </c>
      <c r="AG804" s="91">
        <v>2136461</v>
      </c>
      <c r="AH804" s="91">
        <v>3.2899999999999999E-2</v>
      </c>
      <c r="AI804" s="91"/>
      <c r="AJ804" s="91">
        <f>(F804*'Part 3 Portfolio Analysis'!$B$8+M804*'Part 3 Portfolio Analysis'!$C$8+T804*'Part 3 Portfolio Analysis'!$D$8+AA804*'Part 3 Portfolio Analysis'!$E$8+AH804*'Part 3 Portfolio Analysis'!$F$8)/100</f>
        <v>-6.6260399827375001E-3</v>
      </c>
      <c r="AK804" s="91">
        <f>'Part 3 Portfolio Analysis'!$B$107*F804+M804*'Part 3 Portfolio Analysis'!$C$107+T804*'Part 3 Portfolio Analysis'!$D$107+AA804*'Part 3 Portfolio Analysis'!$E$107+AH804*'Part 3 Portfolio Analysis'!$F$107</f>
        <v>2.8048999999999991E-3</v>
      </c>
      <c r="AL804" s="91">
        <f>F804*'Part 3 Portfolio Analysis'!$B$121+M804*'Part 3 Portfolio Analysis'!$C$121+'Part 3 Portfolio Analysis'!$D$121*T804+AA804*'Part 3 Portfolio Analysis'!$E$121+'Part 3 Portfolio Analysis'!$F$121*AH804</f>
        <v>-6.3045999999999996E-3</v>
      </c>
      <c r="AM804" s="91"/>
      <c r="AN804" s="90">
        <v>45838</v>
      </c>
      <c r="AO804" s="91">
        <v>25661.650389999999</v>
      </c>
      <c r="AP804" s="91">
        <v>25517.050780000001</v>
      </c>
      <c r="AQ804" s="91">
        <v>25517.050780000001</v>
      </c>
      <c r="AR804" s="91">
        <v>271000</v>
      </c>
      <c r="AS804" s="91">
        <v>-4.7000000000000002E-3</v>
      </c>
    </row>
    <row r="805" spans="1:45" x14ac:dyDescent="0.55000000000000004">
      <c r="A805" s="90">
        <v>45839</v>
      </c>
      <c r="B805" s="91">
        <v>6330</v>
      </c>
      <c r="C805" s="91">
        <v>6208.5</v>
      </c>
      <c r="D805" s="91">
        <v>6208.5</v>
      </c>
      <c r="E805" s="91">
        <v>243499</v>
      </c>
      <c r="F805" s="91">
        <v>-1.61E-2</v>
      </c>
      <c r="H805" s="90">
        <v>45839</v>
      </c>
      <c r="I805" s="91">
        <v>1500.599976</v>
      </c>
      <c r="J805" s="91">
        <v>1528.400024</v>
      </c>
      <c r="K805" s="91">
        <v>1522.320068</v>
      </c>
      <c r="L805" s="91">
        <v>10368523</v>
      </c>
      <c r="M805" s="91">
        <v>1.8499999999999999E-2</v>
      </c>
      <c r="O805" s="90">
        <v>45839</v>
      </c>
      <c r="P805" s="91">
        <v>1002.5</v>
      </c>
      <c r="Q805" s="91">
        <v>1006.049988</v>
      </c>
      <c r="R805" s="91">
        <v>1003.552612</v>
      </c>
      <c r="S805" s="91">
        <v>14389386</v>
      </c>
      <c r="T805" s="91">
        <v>5.3E-3</v>
      </c>
      <c r="V805" s="90">
        <v>45839</v>
      </c>
      <c r="W805" s="91">
        <v>1609</v>
      </c>
      <c r="X805" s="91">
        <v>1606.8000489999999</v>
      </c>
      <c r="Y805" s="91">
        <v>1582.572754</v>
      </c>
      <c r="Z805" s="91">
        <v>4178937</v>
      </c>
      <c r="AA805" s="91">
        <v>3.0999999999999999E-3</v>
      </c>
      <c r="AB805" s="91"/>
      <c r="AC805" s="90">
        <v>45839</v>
      </c>
      <c r="AD805" s="91">
        <v>6226.5</v>
      </c>
      <c r="AE805" s="91">
        <v>6144</v>
      </c>
      <c r="AF805" s="91">
        <v>6144</v>
      </c>
      <c r="AG805" s="91">
        <v>558024</v>
      </c>
      <c r="AH805" s="91">
        <v>-1.18E-2</v>
      </c>
      <c r="AI805" s="91"/>
      <c r="AJ805" s="91">
        <f>(F805*'Part 3 Portfolio Analysis'!$B$8+M805*'Part 3 Portfolio Analysis'!$C$8+T805*'Part 3 Portfolio Analysis'!$D$8+AA805*'Part 3 Portfolio Analysis'!$E$8+AH805*'Part 3 Portfolio Analysis'!$F$8)/100</f>
        <v>3.1435553947488869E-3</v>
      </c>
      <c r="AK805" s="91">
        <f>'Part 3 Portfolio Analysis'!$B$107*F805+M805*'Part 3 Portfolio Analysis'!$C$107+T805*'Part 3 Portfolio Analysis'!$D$107+AA805*'Part 3 Portfolio Analysis'!$E$107+AH805*'Part 3 Portfolio Analysis'!$F$107</f>
        <v>1.0503999999999999E-3</v>
      </c>
      <c r="AL805" s="91">
        <f>F805*'Part 3 Portfolio Analysis'!$B$121+M805*'Part 3 Portfolio Analysis'!$C$121+'Part 3 Portfolio Analysis'!$D$121*T805+AA805*'Part 3 Portfolio Analysis'!$E$121+'Part 3 Portfolio Analysis'!$F$121*AH805</f>
        <v>8.1916200000000002E-3</v>
      </c>
      <c r="AM805" s="91"/>
      <c r="AN805" s="90">
        <v>45839</v>
      </c>
      <c r="AO805" s="91">
        <v>25551.349610000001</v>
      </c>
      <c r="AP805" s="91">
        <v>25541.800780000001</v>
      </c>
      <c r="AQ805" s="91">
        <v>25541.800780000001</v>
      </c>
      <c r="AR805" s="91">
        <v>260700</v>
      </c>
      <c r="AS805" s="91">
        <v>1E-3</v>
      </c>
    </row>
    <row r="806" spans="1:45" x14ac:dyDescent="0.55000000000000004">
      <c r="A806" s="90">
        <v>45840</v>
      </c>
      <c r="B806" s="91">
        <v>6208</v>
      </c>
      <c r="C806" s="91">
        <v>6185</v>
      </c>
      <c r="D806" s="91">
        <v>6185</v>
      </c>
      <c r="E806" s="91">
        <v>262330</v>
      </c>
      <c r="F806" s="91">
        <v>-3.8E-3</v>
      </c>
      <c r="H806" s="90">
        <v>45840</v>
      </c>
      <c r="I806" s="91">
        <v>1528.400024</v>
      </c>
      <c r="J806" s="91">
        <v>1518.8000489999999</v>
      </c>
      <c r="K806" s="91">
        <v>1512.7583010000001</v>
      </c>
      <c r="L806" s="91">
        <v>6361002</v>
      </c>
      <c r="M806" s="91">
        <v>-6.3E-3</v>
      </c>
      <c r="O806" s="90">
        <v>45840</v>
      </c>
      <c r="P806" s="91">
        <v>1009.950012</v>
      </c>
      <c r="Q806" s="91">
        <v>993</v>
      </c>
      <c r="R806" s="91">
        <v>990.53503420000004</v>
      </c>
      <c r="S806" s="91">
        <v>18878250</v>
      </c>
      <c r="T806" s="91">
        <v>-1.2999999999999999E-2</v>
      </c>
      <c r="V806" s="90">
        <v>45840</v>
      </c>
      <c r="W806" s="91">
        <v>1618</v>
      </c>
      <c r="X806" s="91">
        <v>1610.5</v>
      </c>
      <c r="Y806" s="91">
        <v>1586.216919</v>
      </c>
      <c r="Z806" s="91">
        <v>8653641</v>
      </c>
      <c r="AA806" s="91">
        <v>2.3E-3</v>
      </c>
      <c r="AB806" s="91"/>
      <c r="AC806" s="90">
        <v>45840</v>
      </c>
      <c r="AD806" s="91">
        <v>6130.5</v>
      </c>
      <c r="AE806" s="91">
        <v>6222.5</v>
      </c>
      <c r="AF806" s="91">
        <v>6222.5</v>
      </c>
      <c r="AG806" s="91">
        <v>1159148</v>
      </c>
      <c r="AH806" s="91">
        <v>1.2800000000000001E-2</v>
      </c>
      <c r="AI806" s="91"/>
      <c r="AJ806" s="91">
        <f>(F806*'Part 3 Portfolio Analysis'!$B$8+M806*'Part 3 Portfolio Analysis'!$C$8+T806*'Part 3 Portfolio Analysis'!$D$8+AA806*'Part 3 Portfolio Analysis'!$E$8+AH806*'Part 3 Portfolio Analysis'!$F$8)/100</f>
        <v>-5.096940692853936E-3</v>
      </c>
      <c r="AK806" s="91">
        <f>'Part 3 Portfolio Analysis'!$B$107*F806+M806*'Part 3 Portfolio Analysis'!$C$107+T806*'Part 3 Portfolio Analysis'!$D$107+AA806*'Part 3 Portfolio Analysis'!$E$107+AH806*'Part 3 Portfolio Analysis'!$F$107</f>
        <v>-1.2152999999999999E-3</v>
      </c>
      <c r="AL806" s="91">
        <f>F806*'Part 3 Portfolio Analysis'!$B$121+M806*'Part 3 Portfolio Analysis'!$C$121+'Part 3 Portfolio Analysis'!$D$121*T806+AA806*'Part 3 Portfolio Analysis'!$E$121+'Part 3 Portfolio Analysis'!$F$121*AH806</f>
        <v>-5.6964799999999994E-3</v>
      </c>
      <c r="AM806" s="91"/>
      <c r="AN806" s="90">
        <v>45840</v>
      </c>
      <c r="AO806" s="91">
        <v>25588.300780000001</v>
      </c>
      <c r="AP806" s="91">
        <v>25453.400389999999</v>
      </c>
      <c r="AQ806" s="91">
        <v>25453.400389999999</v>
      </c>
      <c r="AR806" s="91">
        <v>309800</v>
      </c>
      <c r="AS806" s="91">
        <v>-3.5000000000000001E-3</v>
      </c>
    </row>
    <row r="807" spans="1:45" x14ac:dyDescent="0.55000000000000004">
      <c r="A807" s="90">
        <v>45841</v>
      </c>
      <c r="B807" s="91">
        <v>6160</v>
      </c>
      <c r="C807" s="91">
        <v>6215</v>
      </c>
      <c r="D807" s="91">
        <v>6215</v>
      </c>
      <c r="E807" s="91">
        <v>126180</v>
      </c>
      <c r="F807" s="91">
        <v>4.8999999999999998E-3</v>
      </c>
      <c r="H807" s="90">
        <v>45841</v>
      </c>
      <c r="I807" s="91">
        <v>1520.8000489999999</v>
      </c>
      <c r="J807" s="91">
        <v>1517.8000489999999</v>
      </c>
      <c r="K807" s="91">
        <v>1511.762207</v>
      </c>
      <c r="L807" s="91">
        <v>11283291</v>
      </c>
      <c r="M807" s="91">
        <v>-6.9999999999999999E-4</v>
      </c>
      <c r="O807" s="90">
        <v>45841</v>
      </c>
      <c r="P807" s="91">
        <v>997.45001219999995</v>
      </c>
      <c r="Q807" s="91">
        <v>993.54998780000005</v>
      </c>
      <c r="R807" s="91">
        <v>991.08361820000005</v>
      </c>
      <c r="S807" s="91">
        <v>16860506</v>
      </c>
      <c r="T807" s="91">
        <v>5.9999999999999995E-4</v>
      </c>
      <c r="V807" s="90">
        <v>45841</v>
      </c>
      <c r="W807" s="91">
        <v>1618.5</v>
      </c>
      <c r="X807" s="91">
        <v>1618.6999510000001</v>
      </c>
      <c r="Y807" s="91">
        <v>1594.2932129999999</v>
      </c>
      <c r="Z807" s="91">
        <v>5259695</v>
      </c>
      <c r="AA807" s="91">
        <v>5.1000000000000004E-3</v>
      </c>
      <c r="AB807" s="91"/>
      <c r="AC807" s="90">
        <v>45841</v>
      </c>
      <c r="AD807" s="91">
        <v>6234</v>
      </c>
      <c r="AE807" s="91">
        <v>6191</v>
      </c>
      <c r="AF807" s="91">
        <v>6191</v>
      </c>
      <c r="AG807" s="91">
        <v>750787</v>
      </c>
      <c r="AH807" s="91">
        <v>-5.1000000000000004E-3</v>
      </c>
      <c r="AI807" s="91"/>
      <c r="AJ807" s="91">
        <f>(F807*'Part 3 Portfolio Analysis'!$B$8+M807*'Part 3 Portfolio Analysis'!$C$8+T807*'Part 3 Portfolio Analysis'!$D$8+AA807*'Part 3 Portfolio Analysis'!$E$8+AH807*'Part 3 Portfolio Analysis'!$F$8)/100</f>
        <v>2.0872673900060594E-3</v>
      </c>
      <c r="AK807" s="91">
        <f>'Part 3 Portfolio Analysis'!$B$107*F807+M807*'Part 3 Portfolio Analysis'!$C$107+T807*'Part 3 Portfolio Analysis'!$D$107+AA807*'Part 3 Portfolio Analysis'!$E$107+AH807*'Part 3 Portfolio Analysis'!$F$107</f>
        <v>-1.930000000000009E-5</v>
      </c>
      <c r="AL807" s="91">
        <f>F807*'Part 3 Portfolio Analysis'!$B$121+M807*'Part 3 Portfolio Analysis'!$C$121+'Part 3 Portfolio Analysis'!$D$121*T807+AA807*'Part 3 Portfolio Analysis'!$E$121+'Part 3 Portfolio Analysis'!$F$121*AH807</f>
        <v>1.1586400000000001E-3</v>
      </c>
      <c r="AM807" s="91"/>
      <c r="AN807" s="90">
        <v>45841</v>
      </c>
      <c r="AO807" s="91">
        <v>25505.099610000001</v>
      </c>
      <c r="AP807" s="91">
        <v>25405.300780000001</v>
      </c>
      <c r="AQ807" s="91">
        <v>25405.300780000001</v>
      </c>
      <c r="AR807" s="91">
        <v>293400</v>
      </c>
      <c r="AS807" s="91">
        <v>-1.9E-3</v>
      </c>
    </row>
    <row r="808" spans="1:45" x14ac:dyDescent="0.55000000000000004">
      <c r="A808" s="90">
        <v>45842</v>
      </c>
      <c r="B808" s="91">
        <v>6230</v>
      </c>
      <c r="C808" s="91">
        <v>6209</v>
      </c>
      <c r="D808" s="91">
        <v>6209</v>
      </c>
      <c r="E808" s="91">
        <v>97329</v>
      </c>
      <c r="F808" s="91">
        <v>-1E-3</v>
      </c>
      <c r="H808" s="90">
        <v>45842</v>
      </c>
      <c r="I808" s="91">
        <v>1524</v>
      </c>
      <c r="J808" s="91">
        <v>1527.3000489999999</v>
      </c>
      <c r="K808" s="91">
        <v>1521.224487</v>
      </c>
      <c r="L808" s="91">
        <v>6603501</v>
      </c>
      <c r="M808" s="91">
        <v>6.3E-3</v>
      </c>
      <c r="O808" s="90">
        <v>45842</v>
      </c>
      <c r="P808" s="91">
        <v>993.54998780000005</v>
      </c>
      <c r="Q808" s="91">
        <v>994.65002440000001</v>
      </c>
      <c r="R808" s="91">
        <v>992.18096920000005</v>
      </c>
      <c r="S808" s="91">
        <v>7863944</v>
      </c>
      <c r="T808" s="91">
        <v>1.1000000000000001E-3</v>
      </c>
      <c r="V808" s="90">
        <v>45842</v>
      </c>
      <c r="W808" s="91">
        <v>1625</v>
      </c>
      <c r="X808" s="91">
        <v>1640.6999510000001</v>
      </c>
      <c r="Y808" s="91">
        <v>1615.9614260000001</v>
      </c>
      <c r="Z808" s="91">
        <v>4411273</v>
      </c>
      <c r="AA808" s="91">
        <v>1.3599999999999999E-2</v>
      </c>
      <c r="AB808" s="91"/>
      <c r="AC808" s="90">
        <v>45842</v>
      </c>
      <c r="AD808" s="91">
        <v>5675</v>
      </c>
      <c r="AE808" s="91">
        <v>5456</v>
      </c>
      <c r="AF808" s="91">
        <v>5456</v>
      </c>
      <c r="AG808" s="91">
        <v>7516962</v>
      </c>
      <c r="AH808" s="91">
        <v>-0.1187</v>
      </c>
      <c r="AI808" s="91"/>
      <c r="AJ808" s="91">
        <f>(F808*'Part 3 Portfolio Analysis'!$B$8+M808*'Part 3 Portfolio Analysis'!$C$8+T808*'Part 3 Portfolio Analysis'!$D$8+AA808*'Part 3 Portfolio Analysis'!$E$8+AH808*'Part 3 Portfolio Analysis'!$F$8)/100</f>
        <v>3.1956894174197214E-3</v>
      </c>
      <c r="AK808" s="91">
        <f>'Part 3 Portfolio Analysis'!$B$107*F808+M808*'Part 3 Portfolio Analysis'!$C$107+T808*'Part 3 Portfolio Analysis'!$D$107+AA808*'Part 3 Portfolio Analysis'!$E$107+AH808*'Part 3 Portfolio Analysis'!$F$107</f>
        <v>-2.6589999999999999E-2</v>
      </c>
      <c r="AL808" s="91">
        <f>F808*'Part 3 Portfolio Analysis'!$B$121+M808*'Part 3 Portfolio Analysis'!$C$121+'Part 3 Portfolio Analysis'!$D$121*T808+AA808*'Part 3 Portfolio Analysis'!$E$121+'Part 3 Portfolio Analysis'!$F$121*AH808</f>
        <v>2.4705399999999994E-3</v>
      </c>
      <c r="AM808" s="91"/>
      <c r="AN808" s="90">
        <v>45842</v>
      </c>
      <c r="AO808" s="91">
        <v>25428.849610000001</v>
      </c>
      <c r="AP808" s="91">
        <v>25461</v>
      </c>
      <c r="AQ808" s="91">
        <v>25461</v>
      </c>
      <c r="AR808" s="91">
        <v>193500</v>
      </c>
      <c r="AS808" s="91">
        <v>2.2000000000000001E-3</v>
      </c>
    </row>
    <row r="809" spans="1:45" x14ac:dyDescent="0.55000000000000004">
      <c r="A809" s="90">
        <v>45845</v>
      </c>
      <c r="B809" s="91">
        <v>6209</v>
      </c>
      <c r="C809" s="91">
        <v>6175</v>
      </c>
      <c r="D809" s="91">
        <v>6175</v>
      </c>
      <c r="E809" s="91">
        <v>150035</v>
      </c>
      <c r="F809" s="91">
        <v>-5.4999999999999997E-3</v>
      </c>
      <c r="H809" s="90">
        <v>45845</v>
      </c>
      <c r="I809" s="91">
        <v>1526.599976</v>
      </c>
      <c r="J809" s="91">
        <v>1541.5</v>
      </c>
      <c r="K809" s="91">
        <v>1535.3679199999999</v>
      </c>
      <c r="L809" s="91">
        <v>7251074</v>
      </c>
      <c r="M809" s="91">
        <v>9.2999999999999992E-3</v>
      </c>
      <c r="O809" s="90">
        <v>45845</v>
      </c>
      <c r="P809" s="91">
        <v>994.5</v>
      </c>
      <c r="Q809" s="91">
        <v>993.70001219999995</v>
      </c>
      <c r="R809" s="91">
        <v>991.23327640000002</v>
      </c>
      <c r="S809" s="91">
        <v>11349426</v>
      </c>
      <c r="T809" s="91">
        <v>-1E-3</v>
      </c>
      <c r="V809" s="90">
        <v>45845</v>
      </c>
      <c r="W809" s="91">
        <v>1640</v>
      </c>
      <c r="X809" s="91">
        <v>1627</v>
      </c>
      <c r="Y809" s="91">
        <v>1602.4681399999999</v>
      </c>
      <c r="Z809" s="91">
        <v>3294523</v>
      </c>
      <c r="AA809" s="91">
        <v>-8.3999999999999995E-3</v>
      </c>
      <c r="AB809" s="91"/>
      <c r="AC809" s="90">
        <v>45845</v>
      </c>
      <c r="AD809" s="91">
        <v>5500</v>
      </c>
      <c r="AE809" s="91">
        <v>5499</v>
      </c>
      <c r="AF809" s="91">
        <v>5499</v>
      </c>
      <c r="AG809" s="91">
        <v>1445372</v>
      </c>
      <c r="AH809" s="91">
        <v>7.9000000000000008E-3</v>
      </c>
      <c r="AI809" s="91"/>
      <c r="AJ809" s="91">
        <f>(F809*'Part 3 Portfolio Analysis'!$B$8+M809*'Part 3 Portfolio Analysis'!$C$8+T809*'Part 3 Portfolio Analysis'!$D$8+AA809*'Part 3 Portfolio Analysis'!$E$8+AH809*'Part 3 Portfolio Analysis'!$F$8)/100</f>
        <v>2.7962196289725132E-4</v>
      </c>
      <c r="AK809" s="91">
        <f>'Part 3 Portfolio Analysis'!$B$107*F809+M809*'Part 3 Portfolio Analysis'!$C$107+T809*'Part 3 Portfolio Analysis'!$D$107+AA809*'Part 3 Portfolio Analysis'!$E$107+AH809*'Part 3 Portfolio Analysis'!$F$107</f>
        <v>2.9166999999999995E-3</v>
      </c>
      <c r="AL809" s="91">
        <f>F809*'Part 3 Portfolio Analysis'!$B$121+M809*'Part 3 Portfolio Analysis'!$C$121+'Part 3 Portfolio Analysis'!$D$121*T809+AA809*'Part 3 Portfolio Analysis'!$E$121+'Part 3 Portfolio Analysis'!$F$121*AH809</f>
        <v>1.7051599999999992E-3</v>
      </c>
      <c r="AM809" s="91"/>
      <c r="AN809" s="90">
        <v>45845</v>
      </c>
      <c r="AO809" s="91">
        <v>25450.449219999999</v>
      </c>
      <c r="AP809" s="91">
        <v>25461.300780000001</v>
      </c>
      <c r="AQ809" s="91">
        <v>25461.300780000001</v>
      </c>
      <c r="AR809" s="91">
        <v>196100</v>
      </c>
      <c r="AS809" s="91">
        <v>0</v>
      </c>
    </row>
    <row r="810" spans="1:45" x14ac:dyDescent="0.55000000000000004">
      <c r="A810" s="90">
        <v>45846</v>
      </c>
      <c r="B810" s="91">
        <v>6187.5</v>
      </c>
      <c r="C810" s="91">
        <v>6171.5</v>
      </c>
      <c r="D810" s="91">
        <v>6171.5</v>
      </c>
      <c r="E810" s="91">
        <v>169573</v>
      </c>
      <c r="F810" s="91">
        <v>-5.9999999999999995E-4</v>
      </c>
      <c r="H810" s="90">
        <v>45846</v>
      </c>
      <c r="I810" s="91">
        <v>1536</v>
      </c>
      <c r="J810" s="91">
        <v>1537.599976</v>
      </c>
      <c r="K810" s="91">
        <v>1531.4833980000001</v>
      </c>
      <c r="L810" s="91">
        <v>7171261</v>
      </c>
      <c r="M810" s="91">
        <v>-2.5000000000000001E-3</v>
      </c>
      <c r="O810" s="90">
        <v>45846</v>
      </c>
      <c r="P810" s="91">
        <v>988.5</v>
      </c>
      <c r="Q810" s="91">
        <v>1000.700012</v>
      </c>
      <c r="R810" s="91">
        <v>998.21594240000002</v>
      </c>
      <c r="S810" s="91">
        <v>15224316</v>
      </c>
      <c r="T810" s="91">
        <v>7.0000000000000001E-3</v>
      </c>
      <c r="V810" s="90">
        <v>45846</v>
      </c>
      <c r="W810" s="91">
        <v>1628</v>
      </c>
      <c r="X810" s="91">
        <v>1638.6999510000001</v>
      </c>
      <c r="Y810" s="91">
        <v>1613.991577</v>
      </c>
      <c r="Z810" s="91">
        <v>4590681</v>
      </c>
      <c r="AA810" s="91">
        <v>7.1999999999999998E-3</v>
      </c>
      <c r="AB810" s="91"/>
      <c r="AC810" s="90">
        <v>45846</v>
      </c>
      <c r="AD810" s="91">
        <v>5512.5</v>
      </c>
      <c r="AE810" s="91">
        <v>5440</v>
      </c>
      <c r="AF810" s="91">
        <v>5440</v>
      </c>
      <c r="AG810" s="91">
        <v>1699343</v>
      </c>
      <c r="AH810" s="91">
        <v>-1.0699999999999999E-2</v>
      </c>
      <c r="AI810" s="91"/>
      <c r="AJ810" s="91">
        <f>(F810*'Part 3 Portfolio Analysis'!$B$8+M810*'Part 3 Portfolio Analysis'!$C$8+T810*'Part 3 Portfolio Analysis'!$D$8+AA810*'Part 3 Portfolio Analysis'!$E$8+AH810*'Part 3 Portfolio Analysis'!$F$8)/100</f>
        <v>1.1356327882859124E-3</v>
      </c>
      <c r="AK810" s="91">
        <f>'Part 3 Portfolio Analysis'!$B$107*F810+M810*'Part 3 Portfolio Analysis'!$C$107+T810*'Part 3 Portfolio Analysis'!$D$107+AA810*'Part 3 Portfolio Analysis'!$E$107+AH810*'Part 3 Portfolio Analysis'!$F$107</f>
        <v>-1.7818999999999999E-3</v>
      </c>
      <c r="AL810" s="91">
        <f>F810*'Part 3 Portfolio Analysis'!$B$121+M810*'Part 3 Portfolio Analysis'!$C$121+'Part 3 Portfolio Analysis'!$D$121*T810+AA810*'Part 3 Portfolio Analysis'!$E$121+'Part 3 Portfolio Analysis'!$F$121*AH810</f>
        <v>1.9653399999999999E-3</v>
      </c>
      <c r="AM810" s="91"/>
      <c r="AN810" s="90">
        <v>45846</v>
      </c>
      <c r="AO810" s="91">
        <v>25427.849610000001</v>
      </c>
      <c r="AP810" s="91">
        <v>25522.5</v>
      </c>
      <c r="AQ810" s="91">
        <v>25522.5</v>
      </c>
      <c r="AR810" s="91">
        <v>210400</v>
      </c>
      <c r="AS810" s="91">
        <v>2.3999999999999998E-3</v>
      </c>
    </row>
    <row r="811" spans="1:45" x14ac:dyDescent="0.55000000000000004">
      <c r="A811" s="90">
        <v>45847</v>
      </c>
      <c r="B811" s="91">
        <v>6171.5</v>
      </c>
      <c r="C811" s="91">
        <v>6152</v>
      </c>
      <c r="D811" s="91">
        <v>6152</v>
      </c>
      <c r="E811" s="91">
        <v>126766</v>
      </c>
      <c r="F811" s="91">
        <v>-3.2000000000000002E-3</v>
      </c>
      <c r="H811" s="90">
        <v>45847</v>
      </c>
      <c r="I811" s="91">
        <v>1536.6999510000001</v>
      </c>
      <c r="J811" s="91">
        <v>1519</v>
      </c>
      <c r="K811" s="91">
        <v>1512.9573969999999</v>
      </c>
      <c r="L811" s="91">
        <v>8870660</v>
      </c>
      <c r="M811" s="91">
        <v>-1.21E-2</v>
      </c>
      <c r="O811" s="90">
        <v>45847</v>
      </c>
      <c r="P811" s="91">
        <v>1003.5</v>
      </c>
      <c r="Q811" s="91">
        <v>1005.599976</v>
      </c>
      <c r="R811" s="91">
        <v>1003.103699</v>
      </c>
      <c r="S811" s="91">
        <v>13861428</v>
      </c>
      <c r="T811" s="91">
        <v>4.8999999999999998E-3</v>
      </c>
      <c r="V811" s="90">
        <v>45847</v>
      </c>
      <c r="W811" s="91">
        <v>1637.8000489999999</v>
      </c>
      <c r="X811" s="91">
        <v>1633.6999510000001</v>
      </c>
      <c r="Y811" s="91">
        <v>1609.0670170000001</v>
      </c>
      <c r="Z811" s="91">
        <v>4580828</v>
      </c>
      <c r="AA811" s="91">
        <v>-3.0999999999999999E-3</v>
      </c>
      <c r="AB811" s="91"/>
      <c r="AC811" s="90">
        <v>45847</v>
      </c>
      <c r="AD811" s="91">
        <v>5440</v>
      </c>
      <c r="AE811" s="91">
        <v>5408</v>
      </c>
      <c r="AF811" s="91">
        <v>5408</v>
      </c>
      <c r="AG811" s="91">
        <v>969206</v>
      </c>
      <c r="AH811" s="91">
        <v>-5.8999999999999999E-3</v>
      </c>
      <c r="AI811" s="91"/>
      <c r="AJ811" s="91">
        <f>(F811*'Part 3 Portfolio Analysis'!$B$8+M811*'Part 3 Portfolio Analysis'!$C$8+T811*'Part 3 Portfolio Analysis'!$D$8+AA811*'Part 3 Portfolio Analysis'!$E$8+AH811*'Part 3 Portfolio Analysis'!$F$8)/100</f>
        <v>-5.0851856634074244E-3</v>
      </c>
      <c r="AK811" s="91">
        <f>'Part 3 Portfolio Analysis'!$B$107*F811+M811*'Part 3 Portfolio Analysis'!$C$107+T811*'Part 3 Portfolio Analysis'!$D$107+AA811*'Part 3 Portfolio Analysis'!$E$107+AH811*'Part 3 Portfolio Analysis'!$F$107</f>
        <v>-5.4006000000000002E-3</v>
      </c>
      <c r="AL811" s="91">
        <f>F811*'Part 3 Portfolio Analysis'!$B$121+M811*'Part 3 Portfolio Analysis'!$C$121+'Part 3 Portfolio Analysis'!$D$121*T811+AA811*'Part 3 Portfolio Analysis'!$E$121+'Part 3 Portfolio Analysis'!$F$121*AH811</f>
        <v>-4.781979999999999E-3</v>
      </c>
      <c r="AM811" s="91"/>
      <c r="AN811" s="90">
        <v>45847</v>
      </c>
      <c r="AO811" s="91">
        <v>25514.599610000001</v>
      </c>
      <c r="AP811" s="91">
        <v>25476.099610000001</v>
      </c>
      <c r="AQ811" s="91">
        <v>25476.099610000001</v>
      </c>
      <c r="AR811" s="91">
        <v>239100</v>
      </c>
      <c r="AS811" s="91">
        <v>-1.8E-3</v>
      </c>
    </row>
    <row r="812" spans="1:45" x14ac:dyDescent="0.55000000000000004">
      <c r="A812" s="90">
        <v>45848</v>
      </c>
      <c r="B812" s="91">
        <v>6130</v>
      </c>
      <c r="C812" s="91">
        <v>6137.5</v>
      </c>
      <c r="D812" s="91">
        <v>6137.5</v>
      </c>
      <c r="E812" s="91">
        <v>218296</v>
      </c>
      <c r="F812" s="91">
        <v>-2.3999999999999998E-3</v>
      </c>
      <c r="H812" s="90">
        <v>45848</v>
      </c>
      <c r="I812" s="91">
        <v>1519.6999510000001</v>
      </c>
      <c r="J812" s="91">
        <v>1517.1999510000001</v>
      </c>
      <c r="K812" s="91">
        <v>1511.1645510000001</v>
      </c>
      <c r="L812" s="91">
        <v>10047129</v>
      </c>
      <c r="M812" s="91">
        <v>-1.1999999999999999E-3</v>
      </c>
      <c r="O812" s="90">
        <v>45848</v>
      </c>
      <c r="P812" s="91">
        <v>1008</v>
      </c>
      <c r="Q812" s="91">
        <v>1003.099976</v>
      </c>
      <c r="R812" s="91">
        <v>1000.609924</v>
      </c>
      <c r="S812" s="91">
        <v>17030310</v>
      </c>
      <c r="T812" s="91">
        <v>-2.5000000000000001E-3</v>
      </c>
      <c r="V812" s="90">
        <v>45848</v>
      </c>
      <c r="W812" s="91">
        <v>1638.900024</v>
      </c>
      <c r="X812" s="91">
        <v>1615.8000489999999</v>
      </c>
      <c r="Y812" s="91">
        <v>1591.4370120000001</v>
      </c>
      <c r="Z812" s="91">
        <v>5330179</v>
      </c>
      <c r="AA812" s="91">
        <v>-1.0999999999999999E-2</v>
      </c>
      <c r="AB812" s="91"/>
      <c r="AC812" s="90">
        <v>45848</v>
      </c>
      <c r="AD812" s="91">
        <v>5430</v>
      </c>
      <c r="AE812" s="91">
        <v>5431</v>
      </c>
      <c r="AF812" s="91">
        <v>5431</v>
      </c>
      <c r="AG812" s="91">
        <v>947485</v>
      </c>
      <c r="AH812" s="91">
        <v>4.3E-3</v>
      </c>
      <c r="AI812" s="91"/>
      <c r="AJ812" s="91">
        <f>(F812*'Part 3 Portfolio Analysis'!$B$8+M812*'Part 3 Portfolio Analysis'!$C$8+T812*'Part 3 Portfolio Analysis'!$D$8+AA812*'Part 3 Portfolio Analysis'!$E$8+AH812*'Part 3 Portfolio Analysis'!$F$8)/100</f>
        <v>-3.3002507130952324E-3</v>
      </c>
      <c r="AK812" s="91">
        <f>'Part 3 Portfolio Analysis'!$B$107*F812+M812*'Part 3 Portfolio Analysis'!$C$107+T812*'Part 3 Portfolio Analysis'!$D$107+AA812*'Part 3 Portfolio Analysis'!$E$107+AH812*'Part 3 Portfolio Analysis'!$F$107</f>
        <v>-1.2114999999999999E-3</v>
      </c>
      <c r="AL812" s="91">
        <f>F812*'Part 3 Portfolio Analysis'!$B$121+M812*'Part 3 Portfolio Analysis'!$C$121+'Part 3 Portfolio Analysis'!$D$121*T812+AA812*'Part 3 Portfolio Analysis'!$E$121+'Part 3 Portfolio Analysis'!$F$121*AH812</f>
        <v>-3.4681400000000002E-3</v>
      </c>
      <c r="AM812" s="91"/>
      <c r="AN812" s="90">
        <v>45848</v>
      </c>
      <c r="AO812" s="91">
        <v>25511.650389999999</v>
      </c>
      <c r="AP812" s="91">
        <v>25355.25</v>
      </c>
      <c r="AQ812" s="91">
        <v>25355.25</v>
      </c>
      <c r="AR812" s="91">
        <v>219600</v>
      </c>
      <c r="AS812" s="91">
        <v>-4.7000000000000002E-3</v>
      </c>
    </row>
    <row r="813" spans="1:45" x14ac:dyDescent="0.55000000000000004">
      <c r="A813" s="90">
        <v>45849</v>
      </c>
      <c r="B813" s="91">
        <v>5666</v>
      </c>
      <c r="C813" s="91">
        <v>6066</v>
      </c>
      <c r="D813" s="91">
        <v>6066</v>
      </c>
      <c r="E813" s="91">
        <v>1578498</v>
      </c>
      <c r="F813" s="91">
        <v>-1.1599999999999999E-2</v>
      </c>
      <c r="H813" s="90">
        <v>45849</v>
      </c>
      <c r="I813" s="91">
        <v>1512</v>
      </c>
      <c r="J813" s="91">
        <v>1495.1999510000001</v>
      </c>
      <c r="K813" s="91">
        <v>1489.2520750000001</v>
      </c>
      <c r="L813" s="91">
        <v>7234991</v>
      </c>
      <c r="M813" s="91">
        <v>-1.4500000000000001E-2</v>
      </c>
      <c r="O813" s="90">
        <v>45849</v>
      </c>
      <c r="P813" s="91">
        <v>999</v>
      </c>
      <c r="Q813" s="91">
        <v>991.84997559999999</v>
      </c>
      <c r="R813" s="91">
        <v>989.38787839999998</v>
      </c>
      <c r="S813" s="91">
        <v>12516922</v>
      </c>
      <c r="T813" s="91">
        <v>-1.12E-2</v>
      </c>
      <c r="V813" s="90">
        <v>45849</v>
      </c>
      <c r="W813" s="91">
        <v>1579.099976</v>
      </c>
      <c r="X813" s="91">
        <v>1594.900024</v>
      </c>
      <c r="Y813" s="91">
        <v>1570.8520510000001</v>
      </c>
      <c r="Z813" s="91">
        <v>11391755</v>
      </c>
      <c r="AA813" s="91">
        <v>-1.29E-2</v>
      </c>
      <c r="AB813" s="91"/>
      <c r="AC813" s="90">
        <v>45849</v>
      </c>
      <c r="AD813" s="91">
        <v>5419</v>
      </c>
      <c r="AE813" s="91">
        <v>5364</v>
      </c>
      <c r="AF813" s="91">
        <v>5364</v>
      </c>
      <c r="AG813" s="91">
        <v>942210</v>
      </c>
      <c r="AH813" s="91">
        <v>-1.23E-2</v>
      </c>
      <c r="AI813" s="91"/>
      <c r="AJ813" s="91">
        <f>(F813*'Part 3 Portfolio Analysis'!$B$8+M813*'Part 3 Portfolio Analysis'!$C$8+T813*'Part 3 Portfolio Analysis'!$D$8+AA813*'Part 3 Portfolio Analysis'!$E$8+AH813*'Part 3 Portfolio Analysis'!$F$8)/100</f>
        <v>-1.2800522463771275E-2</v>
      </c>
      <c r="AK813" s="91">
        <f>'Part 3 Portfolio Analysis'!$B$107*F813+M813*'Part 3 Portfolio Analysis'!$C$107+T813*'Part 3 Portfolio Analysis'!$D$107+AA813*'Part 3 Portfolio Analysis'!$E$107+AH813*'Part 3 Portfolio Analysis'!$F$107</f>
        <v>-1.2752099999999999E-2</v>
      </c>
      <c r="AL813" s="91">
        <f>F813*'Part 3 Portfolio Analysis'!$B$121+M813*'Part 3 Portfolio Analysis'!$C$121+'Part 3 Portfolio Analysis'!$D$121*T813+AA813*'Part 3 Portfolio Analysis'!$E$121+'Part 3 Portfolio Analysis'!$F$121*AH813</f>
        <v>-1.298638E-2</v>
      </c>
      <c r="AM813" s="91"/>
      <c r="AN813" s="90">
        <v>45849</v>
      </c>
      <c r="AO813" s="91">
        <v>25255.5</v>
      </c>
      <c r="AP813" s="91">
        <v>25149.849610000001</v>
      </c>
      <c r="AQ813" s="91">
        <v>25149.849610000001</v>
      </c>
      <c r="AR813" s="91">
        <v>250000</v>
      </c>
      <c r="AS813" s="91">
        <v>-8.0999999999999996E-3</v>
      </c>
    </row>
    <row r="814" spans="1:45" x14ac:dyDescent="0.55000000000000004">
      <c r="A814" s="90">
        <v>45852</v>
      </c>
      <c r="B814" s="91">
        <v>6026</v>
      </c>
      <c r="C814" s="91">
        <v>6179</v>
      </c>
      <c r="D814" s="91">
        <v>6179</v>
      </c>
      <c r="E814" s="91">
        <v>423728</v>
      </c>
      <c r="F814" s="91">
        <v>1.8599999999999998E-2</v>
      </c>
      <c r="H814" s="90">
        <v>45852</v>
      </c>
      <c r="I814" s="91">
        <v>1492.1999510000001</v>
      </c>
      <c r="J814" s="91">
        <v>1483.6999510000001</v>
      </c>
      <c r="K814" s="91">
        <v>1477.7977289999999</v>
      </c>
      <c r="L814" s="91">
        <v>10311846</v>
      </c>
      <c r="M814" s="91">
        <v>-7.7000000000000002E-3</v>
      </c>
      <c r="O814" s="90">
        <v>45852</v>
      </c>
      <c r="P814" s="91">
        <v>991.5</v>
      </c>
      <c r="Q814" s="91">
        <v>991.5</v>
      </c>
      <c r="R814" s="91">
        <v>989.03875730000004</v>
      </c>
      <c r="S814" s="91">
        <v>13088850</v>
      </c>
      <c r="T814" s="91">
        <v>-4.0000000000000002E-4</v>
      </c>
      <c r="V814" s="90">
        <v>45852</v>
      </c>
      <c r="W814" s="91">
        <v>1591.8000489999999</v>
      </c>
      <c r="X814" s="91">
        <v>1570.3000489999999</v>
      </c>
      <c r="Y814" s="91">
        <v>1546.623047</v>
      </c>
      <c r="Z814" s="91">
        <v>9173426</v>
      </c>
      <c r="AA814" s="91">
        <v>-1.54E-2</v>
      </c>
      <c r="AB814" s="91"/>
      <c r="AC814" s="90">
        <v>45852</v>
      </c>
      <c r="AD814" s="91">
        <v>5368</v>
      </c>
      <c r="AE814" s="91">
        <v>5314.5</v>
      </c>
      <c r="AF814" s="91">
        <v>5314.5</v>
      </c>
      <c r="AG814" s="91">
        <v>829406</v>
      </c>
      <c r="AH814" s="91">
        <v>-9.1999999999999998E-3</v>
      </c>
      <c r="AI814" s="91"/>
      <c r="AJ814" s="91">
        <f>(F814*'Part 3 Portfolio Analysis'!$B$8+M814*'Part 3 Portfolio Analysis'!$C$8+T814*'Part 3 Portfolio Analysis'!$D$8+AA814*'Part 3 Portfolio Analysis'!$E$8+AH814*'Part 3 Portfolio Analysis'!$F$8)/100</f>
        <v>1.5388382977548547E-4</v>
      </c>
      <c r="AK814" s="91">
        <f>'Part 3 Portfolio Analysis'!$B$107*F814+M814*'Part 3 Portfolio Analysis'!$C$107+T814*'Part 3 Portfolio Analysis'!$D$107+AA814*'Part 3 Portfolio Analysis'!$E$107+AH814*'Part 3 Portfolio Analysis'!$F$107</f>
        <v>-2.9825000000000008E-3</v>
      </c>
      <c r="AL814" s="91">
        <f>F814*'Part 3 Portfolio Analysis'!$B$121+M814*'Part 3 Portfolio Analysis'!$C$121+'Part 3 Portfolio Analysis'!$D$121*T814+AA814*'Part 3 Portfolio Analysis'!$E$121+'Part 3 Portfolio Analysis'!$F$121*AH814</f>
        <v>-5.1318400000000004E-3</v>
      </c>
      <c r="AM814" s="91"/>
      <c r="AN814" s="90">
        <v>45852</v>
      </c>
      <c r="AO814" s="91">
        <v>25149.5</v>
      </c>
      <c r="AP814" s="91">
        <v>25082.300780000001</v>
      </c>
      <c r="AQ814" s="91">
        <v>25082.300780000001</v>
      </c>
      <c r="AR814" s="91">
        <v>259500</v>
      </c>
      <c r="AS814" s="91">
        <v>-2.7000000000000001E-3</v>
      </c>
    </row>
    <row r="815" spans="1:45" x14ac:dyDescent="0.55000000000000004">
      <c r="A815" s="90">
        <v>45853</v>
      </c>
      <c r="B815" s="91">
        <v>6185</v>
      </c>
      <c r="C815" s="91">
        <v>6380</v>
      </c>
      <c r="D815" s="91">
        <v>6380</v>
      </c>
      <c r="E815" s="91">
        <v>770631</v>
      </c>
      <c r="F815" s="91">
        <v>3.2500000000000001E-2</v>
      </c>
      <c r="H815" s="90">
        <v>45853</v>
      </c>
      <c r="I815" s="91">
        <v>1486.1999510000001</v>
      </c>
      <c r="J815" s="91">
        <v>1485.400024</v>
      </c>
      <c r="K815" s="91">
        <v>1479.4910890000001</v>
      </c>
      <c r="L815" s="91">
        <v>8132454</v>
      </c>
      <c r="M815" s="91">
        <v>1.1000000000000001E-3</v>
      </c>
      <c r="O815" s="90">
        <v>45853</v>
      </c>
      <c r="P815" s="91">
        <v>986.5</v>
      </c>
      <c r="Q815" s="91">
        <v>997.75</v>
      </c>
      <c r="R815" s="91">
        <v>995.27325440000004</v>
      </c>
      <c r="S815" s="91">
        <v>14498168</v>
      </c>
      <c r="T815" s="91">
        <v>6.3E-3</v>
      </c>
      <c r="V815" s="90">
        <v>45853</v>
      </c>
      <c r="W815" s="91">
        <v>1565.099976</v>
      </c>
      <c r="X815" s="91">
        <v>1585.599976</v>
      </c>
      <c r="Y815" s="91">
        <v>1561.6922609999999</v>
      </c>
      <c r="Z815" s="91">
        <v>7614807</v>
      </c>
      <c r="AA815" s="91">
        <v>9.7000000000000003E-3</v>
      </c>
      <c r="AB815" s="91"/>
      <c r="AC815" s="90">
        <v>45853</v>
      </c>
      <c r="AD815" s="91">
        <v>5329.5</v>
      </c>
      <c r="AE815" s="91">
        <v>5390</v>
      </c>
      <c r="AF815" s="91">
        <v>5390</v>
      </c>
      <c r="AG815" s="91">
        <v>577430</v>
      </c>
      <c r="AH815" s="91">
        <v>1.4200000000000001E-2</v>
      </c>
      <c r="AI815" s="91"/>
      <c r="AJ815" s="91">
        <f>(F815*'Part 3 Portfolio Analysis'!$B$8+M815*'Part 3 Portfolio Analysis'!$C$8+T815*'Part 3 Portfolio Analysis'!$D$8+AA815*'Part 3 Portfolio Analysis'!$E$8+AH815*'Part 3 Portfolio Analysis'!$F$8)/100</f>
        <v>1.2899488861474257E-2</v>
      </c>
      <c r="AK815" s="91">
        <f>'Part 3 Portfolio Analysis'!$B$107*F815+M815*'Part 3 Portfolio Analysis'!$C$107+T815*'Part 3 Portfolio Analysis'!$D$107+AA815*'Part 3 Portfolio Analysis'!$E$107+AH815*'Part 3 Portfolio Analysis'!$F$107</f>
        <v>1.1719200000000001E-2</v>
      </c>
      <c r="AL815" s="91">
        <f>F815*'Part 3 Portfolio Analysis'!$B$121+M815*'Part 3 Portfolio Analysis'!$C$121+'Part 3 Portfolio Analysis'!$D$121*T815+AA815*'Part 3 Portfolio Analysis'!$E$121+'Part 3 Portfolio Analysis'!$F$121*AH815</f>
        <v>7.1586999999999996E-3</v>
      </c>
      <c r="AM815" s="91"/>
      <c r="AN815" s="90">
        <v>45853</v>
      </c>
      <c r="AO815" s="91">
        <v>25089.5</v>
      </c>
      <c r="AP815" s="91">
        <v>25195.800780000001</v>
      </c>
      <c r="AQ815" s="91">
        <v>25195.800780000001</v>
      </c>
      <c r="AR815" s="91">
        <v>241300</v>
      </c>
      <c r="AS815" s="91">
        <v>4.4999999999999997E-3</v>
      </c>
    </row>
    <row r="816" spans="1:45" x14ac:dyDescent="0.55000000000000004">
      <c r="A816" s="90">
        <v>45854</v>
      </c>
      <c r="B816" s="91">
        <v>6439.5</v>
      </c>
      <c r="C816" s="91">
        <v>6311</v>
      </c>
      <c r="D816" s="91">
        <v>6311</v>
      </c>
      <c r="E816" s="91">
        <v>160852</v>
      </c>
      <c r="F816" s="91">
        <v>-1.0800000000000001E-2</v>
      </c>
      <c r="H816" s="90">
        <v>45854</v>
      </c>
      <c r="I816" s="91">
        <v>1473</v>
      </c>
      <c r="J816" s="91">
        <v>1485.599976</v>
      </c>
      <c r="K816" s="91">
        <v>1479.690186</v>
      </c>
      <c r="L816" s="91">
        <v>10409983</v>
      </c>
      <c r="M816" s="91">
        <v>1E-4</v>
      </c>
      <c r="O816" s="90">
        <v>45854</v>
      </c>
      <c r="P816" s="91">
        <v>1009</v>
      </c>
      <c r="Q816" s="91">
        <v>998.15002440000001</v>
      </c>
      <c r="R816" s="91">
        <v>995.67224120000003</v>
      </c>
      <c r="S816" s="91">
        <v>17994612</v>
      </c>
      <c r="T816" s="91">
        <v>4.0000000000000002E-4</v>
      </c>
      <c r="V816" s="90">
        <v>45854</v>
      </c>
      <c r="W816" s="91">
        <v>1579</v>
      </c>
      <c r="X816" s="91">
        <v>1607.900024</v>
      </c>
      <c r="Y816" s="91">
        <v>1583.6561280000001</v>
      </c>
      <c r="Z816" s="91">
        <v>6223491</v>
      </c>
      <c r="AA816" s="91">
        <v>1.41E-2</v>
      </c>
      <c r="AB816" s="91"/>
      <c r="AC816" s="90">
        <v>45854</v>
      </c>
      <c r="AD816" s="91">
        <v>5415</v>
      </c>
      <c r="AE816" s="91">
        <v>5382</v>
      </c>
      <c r="AF816" s="91">
        <v>5382</v>
      </c>
      <c r="AG816" s="91">
        <v>716193</v>
      </c>
      <c r="AH816" s="91">
        <v>-1.5E-3</v>
      </c>
      <c r="AI816" s="91"/>
      <c r="AJ816" s="91">
        <f>(F816*'Part 3 Portfolio Analysis'!$B$8+M816*'Part 3 Portfolio Analysis'!$C$8+T816*'Part 3 Portfolio Analysis'!$D$8+AA816*'Part 3 Portfolio Analysis'!$E$8+AH816*'Part 3 Portfolio Analysis'!$F$8)/100</f>
        <v>-8.8252396624803674E-4</v>
      </c>
      <c r="AK816" s="91">
        <f>'Part 3 Portfolio Analysis'!$B$107*F816+M816*'Part 3 Portfolio Analysis'!$C$107+T816*'Part 3 Portfolio Analysis'!$D$107+AA816*'Part 3 Portfolio Analysis'!$E$107+AH816*'Part 3 Portfolio Analysis'!$F$107</f>
        <v>-8.1870000000000011E-4</v>
      </c>
      <c r="AL816" s="91">
        <f>F816*'Part 3 Portfolio Analysis'!$B$121+M816*'Part 3 Portfolio Analysis'!$C$121+'Part 3 Portfolio Analysis'!$D$121*T816+AA816*'Part 3 Portfolio Analysis'!$E$121+'Part 3 Portfolio Analysis'!$F$121*AH816</f>
        <v>2.0436999999999999E-3</v>
      </c>
      <c r="AM816" s="91"/>
      <c r="AN816" s="90">
        <v>45854</v>
      </c>
      <c r="AO816" s="91">
        <v>25196.599610000001</v>
      </c>
      <c r="AP816" s="91">
        <v>25212.050780000001</v>
      </c>
      <c r="AQ816" s="91">
        <v>25212.050780000001</v>
      </c>
      <c r="AR816" s="91">
        <v>228800</v>
      </c>
      <c r="AS816" s="91">
        <v>5.9999999999999995E-4</v>
      </c>
    </row>
    <row r="817" spans="1:45" x14ac:dyDescent="0.55000000000000004">
      <c r="A817" s="90">
        <v>45855</v>
      </c>
      <c r="B817" s="91">
        <v>6313</v>
      </c>
      <c r="C817" s="91">
        <v>6196.5</v>
      </c>
      <c r="D817" s="91">
        <v>6196.5</v>
      </c>
      <c r="E817" s="91">
        <v>151809</v>
      </c>
      <c r="F817" s="91">
        <v>-1.8100000000000002E-2</v>
      </c>
      <c r="H817" s="90">
        <v>45855</v>
      </c>
      <c r="I817" s="91">
        <v>1487.400024</v>
      </c>
      <c r="J817" s="91">
        <v>1476.400024</v>
      </c>
      <c r="K817" s="91">
        <v>1470.5268550000001</v>
      </c>
      <c r="L817" s="91">
        <v>11854613</v>
      </c>
      <c r="M817" s="91">
        <v>-6.1999999999999998E-3</v>
      </c>
      <c r="O817" s="90">
        <v>45855</v>
      </c>
      <c r="P817" s="91">
        <v>1002</v>
      </c>
      <c r="Q817" s="91">
        <v>993.45001219999995</v>
      </c>
      <c r="R817" s="91">
        <v>990.98388669999997</v>
      </c>
      <c r="S817" s="91">
        <v>22529158</v>
      </c>
      <c r="T817" s="91">
        <v>-4.7000000000000002E-3</v>
      </c>
      <c r="V817" s="90">
        <v>45855</v>
      </c>
      <c r="W817" s="91">
        <v>1598</v>
      </c>
      <c r="X817" s="91">
        <v>1583.5</v>
      </c>
      <c r="Y817" s="91">
        <v>1559.6240230000001</v>
      </c>
      <c r="Z817" s="91">
        <v>7374814</v>
      </c>
      <c r="AA817" s="91">
        <v>-1.52E-2</v>
      </c>
      <c r="AB817" s="91"/>
      <c r="AC817" s="90">
        <v>45855</v>
      </c>
      <c r="AD817" s="91">
        <v>5400</v>
      </c>
      <c r="AE817" s="91">
        <v>5417.5</v>
      </c>
      <c r="AF817" s="91">
        <v>5417.5</v>
      </c>
      <c r="AG817" s="91">
        <v>490075</v>
      </c>
      <c r="AH817" s="91">
        <v>6.6E-3</v>
      </c>
      <c r="AI817" s="91"/>
      <c r="AJ817" s="91">
        <f>(F817*'Part 3 Portfolio Analysis'!$B$8+M817*'Part 3 Portfolio Analysis'!$C$8+T817*'Part 3 Portfolio Analysis'!$D$8+AA817*'Part 3 Portfolio Analysis'!$E$8+AH817*'Part 3 Portfolio Analysis'!$F$8)/100</f>
        <v>-1.0843081039295434E-2</v>
      </c>
      <c r="AK817" s="91">
        <f>'Part 3 Portfolio Analysis'!$B$107*F817+M817*'Part 3 Portfolio Analysis'!$C$107+T817*'Part 3 Portfolio Analysis'!$D$107+AA817*'Part 3 Portfolio Analysis'!$E$107+AH817*'Part 3 Portfolio Analysis'!$F$107</f>
        <v>-5.7838999999999998E-3</v>
      </c>
      <c r="AL817" s="91">
        <f>F817*'Part 3 Portfolio Analysis'!$B$121+M817*'Part 3 Portfolio Analysis'!$C$121+'Part 3 Portfolio Analysis'!$D$121*T817+AA817*'Part 3 Portfolio Analysis'!$E$121+'Part 3 Portfolio Analysis'!$F$121*AH817</f>
        <v>-8.2348200000000003E-3</v>
      </c>
      <c r="AM817" s="91"/>
      <c r="AN817" s="90">
        <v>45855</v>
      </c>
      <c r="AO817" s="91">
        <v>25230.75</v>
      </c>
      <c r="AP817" s="91">
        <v>25111.449219999999</v>
      </c>
      <c r="AQ817" s="91">
        <v>25111.449219999999</v>
      </c>
      <c r="AR817" s="91">
        <v>243400</v>
      </c>
      <c r="AS817" s="91">
        <v>-4.0000000000000001E-3</v>
      </c>
    </row>
    <row r="818" spans="1:45" x14ac:dyDescent="0.55000000000000004">
      <c r="A818" s="90">
        <v>45856</v>
      </c>
      <c r="B818" s="91">
        <v>6196.5</v>
      </c>
      <c r="C818" s="91">
        <v>6166</v>
      </c>
      <c r="D818" s="91">
        <v>6166</v>
      </c>
      <c r="E818" s="91">
        <v>148243</v>
      </c>
      <c r="F818" s="91">
        <v>-4.8999999999999998E-3</v>
      </c>
      <c r="H818" s="90">
        <v>45856</v>
      </c>
      <c r="I818" s="91">
        <v>1484.8000489999999</v>
      </c>
      <c r="J818" s="91">
        <v>1476</v>
      </c>
      <c r="K818" s="91">
        <v>1470.128418</v>
      </c>
      <c r="L818" s="91">
        <v>10296318</v>
      </c>
      <c r="M818" s="91">
        <v>-2.9999999999999997E-4</v>
      </c>
      <c r="O818" s="90">
        <v>45856</v>
      </c>
      <c r="P818" s="91">
        <v>993.45001219999995</v>
      </c>
      <c r="Q818" s="91">
        <v>978.70001219999995</v>
      </c>
      <c r="R818" s="91">
        <v>976.27050780000002</v>
      </c>
      <c r="S818" s="91">
        <v>16129446</v>
      </c>
      <c r="T818" s="91">
        <v>-1.4800000000000001E-2</v>
      </c>
      <c r="V818" s="90">
        <v>45856</v>
      </c>
      <c r="W818" s="91">
        <v>1592.099976</v>
      </c>
      <c r="X818" s="91">
        <v>1586.099976</v>
      </c>
      <c r="Y818" s="91">
        <v>1562.184692</v>
      </c>
      <c r="Z818" s="91">
        <v>5161833</v>
      </c>
      <c r="AA818" s="91">
        <v>1.6000000000000001E-3</v>
      </c>
      <c r="AB818" s="91"/>
      <c r="AC818" s="90">
        <v>45856</v>
      </c>
      <c r="AD818" s="91">
        <v>5425</v>
      </c>
      <c r="AE818" s="91">
        <v>5375</v>
      </c>
      <c r="AF818" s="91">
        <v>5375</v>
      </c>
      <c r="AG818" s="91">
        <v>418316</v>
      </c>
      <c r="AH818" s="91">
        <v>-7.7999999999999996E-3</v>
      </c>
      <c r="AI818" s="91"/>
      <c r="AJ818" s="91">
        <f>(F818*'Part 3 Portfolio Analysis'!$B$8+M818*'Part 3 Portfolio Analysis'!$C$8+T818*'Part 3 Portfolio Analysis'!$D$8+AA818*'Part 3 Portfolio Analysis'!$E$8+AH818*'Part 3 Portfolio Analysis'!$F$8)/100</f>
        <v>-3.8663123495162001E-3</v>
      </c>
      <c r="AK818" s="91">
        <f>'Part 3 Portfolio Analysis'!$B$107*F818+M818*'Part 3 Portfolio Analysis'!$C$107+T818*'Part 3 Portfolio Analysis'!$D$107+AA818*'Part 3 Portfolio Analysis'!$E$107+AH818*'Part 3 Portfolio Analysis'!$F$107</f>
        <v>-5.0755000000000002E-3</v>
      </c>
      <c r="AL818" s="91">
        <f>F818*'Part 3 Portfolio Analysis'!$B$121+M818*'Part 3 Portfolio Analysis'!$C$121+'Part 3 Portfolio Analysis'!$D$121*T818+AA818*'Part 3 Portfolio Analysis'!$E$121+'Part 3 Portfolio Analysis'!$F$121*AH818</f>
        <v>-4.4386200000000008E-3</v>
      </c>
      <c r="AM818" s="91"/>
      <c r="AN818" s="90">
        <v>45856</v>
      </c>
      <c r="AO818" s="91">
        <v>25108.550780000001</v>
      </c>
      <c r="AP818" s="91">
        <v>24968.400389999999</v>
      </c>
      <c r="AQ818" s="91">
        <v>24968.400389999999</v>
      </c>
      <c r="AR818" s="91">
        <v>317000</v>
      </c>
      <c r="AS818" s="91">
        <v>-5.7000000000000002E-3</v>
      </c>
    </row>
    <row r="819" spans="1:45" x14ac:dyDescent="0.55000000000000004">
      <c r="A819" s="90">
        <v>45859</v>
      </c>
      <c r="B819" s="91">
        <v>6166</v>
      </c>
      <c r="C819" s="91">
        <v>6198.5</v>
      </c>
      <c r="D819" s="91">
        <v>6198.5</v>
      </c>
      <c r="E819" s="91">
        <v>94884</v>
      </c>
      <c r="F819" s="91">
        <v>5.3E-3</v>
      </c>
      <c r="H819" s="90">
        <v>45859</v>
      </c>
      <c r="I819" s="91">
        <v>1465</v>
      </c>
      <c r="J819" s="91">
        <v>1428.599976</v>
      </c>
      <c r="K819" s="91">
        <v>1422.9169919999999</v>
      </c>
      <c r="L819" s="91">
        <v>22442744</v>
      </c>
      <c r="M819" s="91">
        <v>-3.2099999999999997E-2</v>
      </c>
      <c r="O819" s="90">
        <v>45859</v>
      </c>
      <c r="P819" s="91">
        <v>989.09997559999999</v>
      </c>
      <c r="Q819" s="91">
        <v>1000.25</v>
      </c>
      <c r="R819" s="91">
        <v>997.76702880000005</v>
      </c>
      <c r="S819" s="91">
        <v>22309078</v>
      </c>
      <c r="T819" s="91">
        <v>2.1999999999999999E-2</v>
      </c>
      <c r="V819" s="90">
        <v>45859</v>
      </c>
      <c r="W819" s="91">
        <v>1580</v>
      </c>
      <c r="X819" s="91">
        <v>1584.3000489999999</v>
      </c>
      <c r="Y819" s="91">
        <v>1560.411987</v>
      </c>
      <c r="Z819" s="91">
        <v>3682661</v>
      </c>
      <c r="AA819" s="91">
        <v>-1.1000000000000001E-3</v>
      </c>
      <c r="AB819" s="91"/>
      <c r="AC819" s="90">
        <v>45859</v>
      </c>
      <c r="AD819" s="91">
        <v>5375.5</v>
      </c>
      <c r="AE819" s="91">
        <v>5376</v>
      </c>
      <c r="AF819" s="91">
        <v>5376</v>
      </c>
      <c r="AG819" s="91">
        <v>404842</v>
      </c>
      <c r="AH819" s="91">
        <v>2.0000000000000001E-4</v>
      </c>
      <c r="AI819" s="91"/>
      <c r="AJ819" s="91">
        <f>(F819*'Part 3 Portfolio Analysis'!$B$8+M819*'Part 3 Portfolio Analysis'!$C$8+T819*'Part 3 Portfolio Analysis'!$D$8+AA819*'Part 3 Portfolio Analysis'!$E$8+AH819*'Part 3 Portfolio Analysis'!$F$8)/100</f>
        <v>-6.5508050630851307E-3</v>
      </c>
      <c r="AK819" s="91">
        <f>'Part 3 Portfolio Analysis'!$B$107*F819+M819*'Part 3 Portfolio Analysis'!$C$107+T819*'Part 3 Portfolio Analysis'!$D$107+AA819*'Part 3 Portfolio Analysis'!$E$107+AH819*'Part 3 Portfolio Analysis'!$F$107</f>
        <v>-5.7428999999999987E-3</v>
      </c>
      <c r="AL819" s="91">
        <f>F819*'Part 3 Portfolio Analysis'!$B$121+M819*'Part 3 Portfolio Analysis'!$C$121+'Part 3 Portfolio Analysis'!$D$121*T819+AA819*'Part 3 Portfolio Analysis'!$E$121+'Part 3 Portfolio Analysis'!$F$121*AH819</f>
        <v>-7.2642599999999981E-3</v>
      </c>
      <c r="AM819" s="91"/>
      <c r="AN819" s="90">
        <v>45859</v>
      </c>
      <c r="AO819" s="91">
        <v>24999</v>
      </c>
      <c r="AP819" s="91">
        <v>25090.699219999999</v>
      </c>
      <c r="AQ819" s="91">
        <v>25090.699219999999</v>
      </c>
      <c r="AR819" s="91">
        <v>305200</v>
      </c>
      <c r="AS819" s="91">
        <v>4.8999999999999998E-3</v>
      </c>
    </row>
    <row r="820" spans="1:45" x14ac:dyDescent="0.55000000000000004">
      <c r="A820" s="90">
        <v>45860</v>
      </c>
      <c r="B820" s="91">
        <v>6208</v>
      </c>
      <c r="C820" s="91">
        <v>6210</v>
      </c>
      <c r="D820" s="91">
        <v>6210</v>
      </c>
      <c r="E820" s="91">
        <v>117799</v>
      </c>
      <c r="F820" s="91">
        <v>1.9E-3</v>
      </c>
      <c r="H820" s="90">
        <v>45860</v>
      </c>
      <c r="I820" s="91">
        <v>1427.400024</v>
      </c>
      <c r="J820" s="91">
        <v>1412.8000489999999</v>
      </c>
      <c r="K820" s="91">
        <v>1407.179932</v>
      </c>
      <c r="L820" s="91">
        <v>20396320</v>
      </c>
      <c r="M820" s="91">
        <v>-1.11E-2</v>
      </c>
      <c r="O820" s="90">
        <v>45860</v>
      </c>
      <c r="P820" s="91">
        <v>1006.549988</v>
      </c>
      <c r="Q820" s="91">
        <v>1003.549988</v>
      </c>
      <c r="R820" s="91">
        <v>1001.058838</v>
      </c>
      <c r="S820" s="91">
        <v>14836814</v>
      </c>
      <c r="T820" s="91">
        <v>3.3E-3</v>
      </c>
      <c r="V820" s="90">
        <v>45860</v>
      </c>
      <c r="W820" s="91">
        <v>1565</v>
      </c>
      <c r="X820" s="91">
        <v>1570.900024</v>
      </c>
      <c r="Y820" s="91">
        <v>1547.2139890000001</v>
      </c>
      <c r="Z820" s="91">
        <v>8473741</v>
      </c>
      <c r="AA820" s="91">
        <v>-8.5000000000000006E-3</v>
      </c>
      <c r="AB820" s="91"/>
      <c r="AC820" s="90">
        <v>45860</v>
      </c>
      <c r="AD820" s="91">
        <v>5409.5</v>
      </c>
      <c r="AE820" s="91">
        <v>5360.5</v>
      </c>
      <c r="AF820" s="91">
        <v>5360.5</v>
      </c>
      <c r="AG820" s="91">
        <v>451766</v>
      </c>
      <c r="AH820" s="91">
        <v>-2.8999999999999998E-3</v>
      </c>
      <c r="AI820" s="91"/>
      <c r="AJ820" s="91">
        <f>(F820*'Part 3 Portfolio Analysis'!$B$8+M820*'Part 3 Portfolio Analysis'!$C$8+T820*'Part 3 Portfolio Analysis'!$D$8+AA820*'Part 3 Portfolio Analysis'!$E$8+AH820*'Part 3 Portfolio Analysis'!$F$8)/100</f>
        <v>-4.299326338243265E-3</v>
      </c>
      <c r="AK820" s="91">
        <f>'Part 3 Portfolio Analysis'!$B$107*F820+M820*'Part 3 Portfolio Analysis'!$C$107+T820*'Part 3 Portfolio Analysis'!$D$107+AA820*'Part 3 Portfolio Analysis'!$E$107+AH820*'Part 3 Portfolio Analysis'!$F$107</f>
        <v>-4.2016000000000006E-3</v>
      </c>
      <c r="AL820" s="91">
        <f>F820*'Part 3 Portfolio Analysis'!$B$121+M820*'Part 3 Portfolio Analysis'!$C$121+'Part 3 Portfolio Analysis'!$D$121*T820+AA820*'Part 3 Portfolio Analysis'!$E$121+'Part 3 Portfolio Analysis'!$F$121*AH820</f>
        <v>-5.3797599999999999E-3</v>
      </c>
      <c r="AM820" s="91"/>
      <c r="AN820" s="90">
        <v>45860</v>
      </c>
      <c r="AO820" s="91">
        <v>25166.650389999999</v>
      </c>
      <c r="AP820" s="91">
        <v>25060.900389999999</v>
      </c>
      <c r="AQ820" s="91">
        <v>25060.900389999999</v>
      </c>
      <c r="AR820" s="91">
        <v>483700</v>
      </c>
      <c r="AS820" s="91">
        <v>-1.1999999999999999E-3</v>
      </c>
    </row>
    <row r="821" spans="1:45" x14ac:dyDescent="0.55000000000000004">
      <c r="A821" s="90">
        <v>45861</v>
      </c>
      <c r="B821" s="91">
        <v>6210</v>
      </c>
      <c r="C821" s="91">
        <v>6235.5</v>
      </c>
      <c r="D821" s="91">
        <v>6235.5</v>
      </c>
      <c r="E821" s="91">
        <v>98161</v>
      </c>
      <c r="F821" s="91">
        <v>4.1000000000000003E-3</v>
      </c>
      <c r="H821" s="90">
        <v>45861</v>
      </c>
      <c r="I821" s="91">
        <v>1426</v>
      </c>
      <c r="J821" s="91">
        <v>1424.599976</v>
      </c>
      <c r="K821" s="91">
        <v>1418.932861</v>
      </c>
      <c r="L821" s="91">
        <v>8354596</v>
      </c>
      <c r="M821" s="91">
        <v>8.3999999999999995E-3</v>
      </c>
      <c r="O821" s="90">
        <v>45861</v>
      </c>
      <c r="P821" s="91">
        <v>1005.5</v>
      </c>
      <c r="Q821" s="91">
        <v>1012.150024</v>
      </c>
      <c r="R821" s="91">
        <v>1009.637512</v>
      </c>
      <c r="S821" s="91">
        <v>13634916</v>
      </c>
      <c r="T821" s="91">
        <v>8.6E-3</v>
      </c>
      <c r="V821" s="90">
        <v>45861</v>
      </c>
      <c r="W821" s="91">
        <v>1576.3000489999999</v>
      </c>
      <c r="X821" s="91">
        <v>1574.5</v>
      </c>
      <c r="Y821" s="91">
        <v>1550.759644</v>
      </c>
      <c r="Z821" s="91">
        <v>8035026</v>
      </c>
      <c r="AA821" s="91">
        <v>2.3E-3</v>
      </c>
      <c r="AB821" s="91"/>
      <c r="AC821" s="90">
        <v>45861</v>
      </c>
      <c r="AD821" s="91">
        <v>5383</v>
      </c>
      <c r="AE821" s="91">
        <v>5359</v>
      </c>
      <c r="AF821" s="91">
        <v>5359</v>
      </c>
      <c r="AG821" s="91">
        <v>521291</v>
      </c>
      <c r="AH821" s="91">
        <v>-2.9999999999999997E-4</v>
      </c>
      <c r="AI821" s="91"/>
      <c r="AJ821" s="91">
        <f>(F821*'Part 3 Portfolio Analysis'!$B$8+M821*'Part 3 Portfolio Analysis'!$C$8+T821*'Part 3 Portfolio Analysis'!$D$8+AA821*'Part 3 Portfolio Analysis'!$E$8+AH821*'Part 3 Portfolio Analysis'!$F$8)/100</f>
        <v>6.076637471537946E-3</v>
      </c>
      <c r="AK821" s="91">
        <f>'Part 3 Portfolio Analysis'!$B$107*F821+M821*'Part 3 Portfolio Analysis'!$C$107+T821*'Part 3 Portfolio Analysis'!$D$107+AA821*'Part 3 Portfolio Analysis'!$E$107+AH821*'Part 3 Portfolio Analysis'!$F$107</f>
        <v>4.8545999999999997E-3</v>
      </c>
      <c r="AL821" s="91">
        <f>F821*'Part 3 Portfolio Analysis'!$B$121+M821*'Part 3 Portfolio Analysis'!$C$121+'Part 3 Portfolio Analysis'!$D$121*T821+AA821*'Part 3 Portfolio Analysis'!$E$121+'Part 3 Portfolio Analysis'!$F$121*AH821</f>
        <v>6.6529999999999992E-3</v>
      </c>
      <c r="AM821" s="91"/>
      <c r="AN821" s="90">
        <v>45861</v>
      </c>
      <c r="AO821" s="91">
        <v>25139.349610000001</v>
      </c>
      <c r="AP821" s="91">
        <v>25219.900389999999</v>
      </c>
      <c r="AQ821" s="91">
        <v>25219.900389999999</v>
      </c>
      <c r="AR821" s="91">
        <v>271500</v>
      </c>
      <c r="AS821" s="91">
        <v>6.3E-3</v>
      </c>
    </row>
    <row r="822" spans="1:45" x14ac:dyDescent="0.55000000000000004">
      <c r="A822" s="90">
        <v>45862</v>
      </c>
      <c r="B822" s="91">
        <v>6235.5</v>
      </c>
      <c r="C822" s="91">
        <v>6226</v>
      </c>
      <c r="D822" s="91">
        <v>6226</v>
      </c>
      <c r="E822" s="91">
        <v>99684</v>
      </c>
      <c r="F822" s="91">
        <v>-1.5E-3</v>
      </c>
      <c r="H822" s="90">
        <v>45862</v>
      </c>
      <c r="I822" s="91">
        <v>1419.1999510000001</v>
      </c>
      <c r="J822" s="91">
        <v>1402.900024</v>
      </c>
      <c r="K822" s="91">
        <v>1397.3192140000001</v>
      </c>
      <c r="L822" s="91">
        <v>14740507</v>
      </c>
      <c r="M822" s="91">
        <v>-1.52E-2</v>
      </c>
      <c r="O822" s="90">
        <v>45862</v>
      </c>
      <c r="P822" s="91">
        <v>1018.849976</v>
      </c>
      <c r="Q822" s="91">
        <v>1007.099976</v>
      </c>
      <c r="R822" s="91">
        <v>1004.599976</v>
      </c>
      <c r="S822" s="91">
        <v>19107176</v>
      </c>
      <c r="T822" s="91">
        <v>-5.0000000000000001E-3</v>
      </c>
      <c r="V822" s="90">
        <v>45862</v>
      </c>
      <c r="W822" s="91">
        <v>1580</v>
      </c>
      <c r="X822" s="91">
        <v>1552.5</v>
      </c>
      <c r="Y822" s="91">
        <v>1529.0914310000001</v>
      </c>
      <c r="Z822" s="91">
        <v>14169664</v>
      </c>
      <c r="AA822" s="91">
        <v>-1.4E-2</v>
      </c>
      <c r="AB822" s="91"/>
      <c r="AC822" s="90">
        <v>45862</v>
      </c>
      <c r="AD822" s="91">
        <v>5315</v>
      </c>
      <c r="AE822" s="91">
        <v>5154</v>
      </c>
      <c r="AF822" s="91">
        <v>5154</v>
      </c>
      <c r="AG822" s="91">
        <v>1326255</v>
      </c>
      <c r="AH822" s="91">
        <v>-3.8300000000000001E-2</v>
      </c>
      <c r="AI822" s="91"/>
      <c r="AJ822" s="91">
        <f>(F822*'Part 3 Portfolio Analysis'!$B$8+M822*'Part 3 Portfolio Analysis'!$C$8+T822*'Part 3 Portfolio Analysis'!$D$8+AA822*'Part 3 Portfolio Analysis'!$E$8+AH822*'Part 3 Portfolio Analysis'!$F$8)/100</f>
        <v>-9.4211602578912722E-3</v>
      </c>
      <c r="AK822" s="91">
        <f>'Part 3 Portfolio Analysis'!$B$107*F822+M822*'Part 3 Portfolio Analysis'!$C$107+T822*'Part 3 Portfolio Analysis'!$D$107+AA822*'Part 3 Portfolio Analysis'!$E$107+AH822*'Part 3 Portfolio Analysis'!$F$107</f>
        <v>-1.68542E-2</v>
      </c>
      <c r="AL822" s="91">
        <f>F822*'Part 3 Portfolio Analysis'!$B$121+M822*'Part 3 Portfolio Analysis'!$C$121+'Part 3 Portfolio Analysis'!$D$121*T822+AA822*'Part 3 Portfolio Analysis'!$E$121+'Part 3 Portfolio Analysis'!$F$121*AH822</f>
        <v>-1.1664679999999998E-2</v>
      </c>
      <c r="AM822" s="91"/>
      <c r="AN822" s="90">
        <v>45862</v>
      </c>
      <c r="AO822" s="91">
        <v>25243.300780000001</v>
      </c>
      <c r="AP822" s="91">
        <v>25062.099610000001</v>
      </c>
      <c r="AQ822" s="91">
        <v>25062.099610000001</v>
      </c>
      <c r="AR822" s="91">
        <v>338700</v>
      </c>
      <c r="AS822" s="91">
        <v>-6.3E-3</v>
      </c>
    </row>
    <row r="823" spans="1:45" x14ac:dyDescent="0.55000000000000004">
      <c r="A823" s="90">
        <v>45863</v>
      </c>
      <c r="B823" s="91">
        <v>6226</v>
      </c>
      <c r="C823" s="91">
        <v>6062</v>
      </c>
      <c r="D823" s="91">
        <v>6062</v>
      </c>
      <c r="E823" s="91">
        <v>102809</v>
      </c>
      <c r="F823" s="91">
        <v>-2.63E-2</v>
      </c>
      <c r="H823" s="90">
        <v>45863</v>
      </c>
      <c r="I823" s="91">
        <v>1398.900024</v>
      </c>
      <c r="J823" s="91">
        <v>1391.6999510000001</v>
      </c>
      <c r="K823" s="91">
        <v>1386.1636960000001</v>
      </c>
      <c r="L823" s="91">
        <v>11854722</v>
      </c>
      <c r="M823" s="91">
        <v>-8.0000000000000002E-3</v>
      </c>
      <c r="O823" s="90">
        <v>45863</v>
      </c>
      <c r="P823" s="91">
        <v>1007.5</v>
      </c>
      <c r="Q823" s="91">
        <v>1002.299988</v>
      </c>
      <c r="R823" s="91">
        <v>1002.299988</v>
      </c>
      <c r="S823" s="91">
        <v>9306598</v>
      </c>
      <c r="T823" s="91">
        <v>-2.3E-3</v>
      </c>
      <c r="V823" s="90">
        <v>45863</v>
      </c>
      <c r="W823" s="91">
        <v>1543.400024</v>
      </c>
      <c r="X823" s="91">
        <v>1515.6999510000001</v>
      </c>
      <c r="Y823" s="91">
        <v>1492.8461910000001</v>
      </c>
      <c r="Z823" s="91">
        <v>10851259</v>
      </c>
      <c r="AA823" s="91">
        <v>-2.3699999999999999E-2</v>
      </c>
      <c r="AB823" s="91"/>
      <c r="AC823" s="90">
        <v>45863</v>
      </c>
      <c r="AD823" s="91">
        <v>5154</v>
      </c>
      <c r="AE823" s="91">
        <v>5043</v>
      </c>
      <c r="AF823" s="91">
        <v>5043</v>
      </c>
      <c r="AG823" s="91">
        <v>1136699</v>
      </c>
      <c r="AH823" s="91">
        <v>-2.1499999999999998E-2</v>
      </c>
      <c r="AI823" s="91"/>
      <c r="AJ823" s="91">
        <f>(F823*'Part 3 Portfolio Analysis'!$B$8+M823*'Part 3 Portfolio Analysis'!$C$8+T823*'Part 3 Portfolio Analysis'!$D$8+AA823*'Part 3 Portfolio Analysis'!$E$8+AH823*'Part 3 Portfolio Analysis'!$F$8)/100</f>
        <v>-1.5197768211718447E-2</v>
      </c>
      <c r="AK823" s="91">
        <f>'Part 3 Portfolio Analysis'!$B$107*F823+M823*'Part 3 Portfolio Analysis'!$C$107+T823*'Part 3 Portfolio Analysis'!$D$107+AA823*'Part 3 Portfolio Analysis'!$E$107+AH823*'Part 3 Portfolio Analysis'!$F$107</f>
        <v>-1.5382499999999999E-2</v>
      </c>
      <c r="AL823" s="91">
        <f>F823*'Part 3 Portfolio Analysis'!$B$121+M823*'Part 3 Portfolio Analysis'!$C$121+'Part 3 Portfolio Analysis'!$D$121*T823+AA823*'Part 3 Portfolio Analysis'!$E$121+'Part 3 Portfolio Analysis'!$F$121*AH823</f>
        <v>-1.1447559999999999E-2</v>
      </c>
      <c r="AM823" s="91"/>
      <c r="AN823" s="90">
        <v>45863</v>
      </c>
      <c r="AO823" s="91">
        <v>25010.349610000001</v>
      </c>
      <c r="AP823" s="91">
        <v>24837</v>
      </c>
      <c r="AQ823" s="91">
        <v>24837</v>
      </c>
      <c r="AR823" s="91">
        <v>278100</v>
      </c>
      <c r="AS823" s="91">
        <v>-8.9999999999999993E-3</v>
      </c>
    </row>
    <row r="824" spans="1:45" x14ac:dyDescent="0.55000000000000004">
      <c r="A824" s="90">
        <v>45866</v>
      </c>
      <c r="B824" s="91">
        <v>6090</v>
      </c>
      <c r="C824" s="91">
        <v>6035.5</v>
      </c>
      <c r="D824" s="91">
        <v>6035.5</v>
      </c>
      <c r="E824" s="91">
        <v>157018</v>
      </c>
      <c r="F824" s="91">
        <v>-4.4000000000000003E-3</v>
      </c>
      <c r="H824" s="90">
        <v>45866</v>
      </c>
      <c r="I824" s="91">
        <v>1392.3000489999999</v>
      </c>
      <c r="J824" s="91">
        <v>1387.599976</v>
      </c>
      <c r="K824" s="91">
        <v>1382.080078</v>
      </c>
      <c r="L824" s="91">
        <v>7748361</v>
      </c>
      <c r="M824" s="91">
        <v>-2.8999999999999998E-3</v>
      </c>
      <c r="O824" s="90">
        <v>45866</v>
      </c>
      <c r="P824" s="91">
        <v>1001.5</v>
      </c>
      <c r="Q824" s="91">
        <v>1004.25</v>
      </c>
      <c r="R824" s="91">
        <v>1004.25</v>
      </c>
      <c r="S824" s="91">
        <v>12059580</v>
      </c>
      <c r="T824" s="91">
        <v>1.9E-3</v>
      </c>
      <c r="V824" s="90">
        <v>45866</v>
      </c>
      <c r="W824" s="91">
        <v>1513.900024</v>
      </c>
      <c r="X824" s="91">
        <v>1516</v>
      </c>
      <c r="Y824" s="91">
        <v>1493.1417240000001</v>
      </c>
      <c r="Z824" s="91">
        <v>6439855</v>
      </c>
      <c r="AA824" s="91">
        <v>2.0000000000000001E-4</v>
      </c>
      <c r="AB824" s="91"/>
      <c r="AC824" s="90">
        <v>45866</v>
      </c>
      <c r="AD824" s="91">
        <v>5043</v>
      </c>
      <c r="AE824" s="91">
        <v>4994</v>
      </c>
      <c r="AF824" s="91">
        <v>4994</v>
      </c>
      <c r="AG824" s="91">
        <v>1450708</v>
      </c>
      <c r="AH824" s="91">
        <v>-9.7000000000000003E-3</v>
      </c>
      <c r="AI824" s="91"/>
      <c r="AJ824" s="91">
        <f>(F824*'Part 3 Portfolio Analysis'!$B$8+M824*'Part 3 Portfolio Analysis'!$C$8+T824*'Part 3 Portfolio Analysis'!$D$8+AA824*'Part 3 Portfolio Analysis'!$E$8+AH824*'Part 3 Portfolio Analysis'!$F$8)/100</f>
        <v>-2.1168654295209074E-3</v>
      </c>
      <c r="AK824" s="91">
        <f>'Part 3 Portfolio Analysis'!$B$107*F824+M824*'Part 3 Portfolio Analysis'!$C$107+T824*'Part 3 Portfolio Analysis'!$D$107+AA824*'Part 3 Portfolio Analysis'!$E$107+AH824*'Part 3 Portfolio Analysis'!$F$107</f>
        <v>-3.8295999999999998E-3</v>
      </c>
      <c r="AL824" s="91">
        <f>F824*'Part 3 Portfolio Analysis'!$B$121+M824*'Part 3 Portfolio Analysis'!$C$121+'Part 3 Portfolio Analysis'!$D$121*T824+AA824*'Part 3 Portfolio Analysis'!$E$121+'Part 3 Portfolio Analysis'!$F$121*AH824</f>
        <v>-1.2758599999999998E-3</v>
      </c>
      <c r="AM824" s="91"/>
      <c r="AN824" s="90">
        <v>45866</v>
      </c>
      <c r="AO824" s="91">
        <v>24782.449219999999</v>
      </c>
      <c r="AP824" s="91">
        <v>24680.900389999999</v>
      </c>
      <c r="AQ824" s="91">
        <v>24680.900389999999</v>
      </c>
      <c r="AR824" s="91">
        <v>262100</v>
      </c>
      <c r="AS824" s="91">
        <v>-6.3E-3</v>
      </c>
    </row>
    <row r="825" spans="1:45" x14ac:dyDescent="0.55000000000000004">
      <c r="A825" s="90">
        <v>45867</v>
      </c>
      <c r="B825" s="91">
        <v>6009.5</v>
      </c>
      <c r="C825" s="91">
        <v>6090.5</v>
      </c>
      <c r="D825" s="91">
        <v>6090.5</v>
      </c>
      <c r="E825" s="91">
        <v>108186</v>
      </c>
      <c r="F825" s="91">
        <v>9.1000000000000004E-3</v>
      </c>
      <c r="H825" s="90">
        <v>45867</v>
      </c>
      <c r="I825" s="91">
        <v>1383</v>
      </c>
      <c r="J825" s="91">
        <v>1417.099976</v>
      </c>
      <c r="K825" s="91">
        <v>1411.462769</v>
      </c>
      <c r="L825" s="91">
        <v>10750072</v>
      </c>
      <c r="M825" s="91">
        <v>2.1299999999999999E-2</v>
      </c>
      <c r="O825" s="90">
        <v>45867</v>
      </c>
      <c r="P825" s="91">
        <v>999.95001219999995</v>
      </c>
      <c r="Q825" s="91">
        <v>1010.799988</v>
      </c>
      <c r="R825" s="91">
        <v>1010.799988</v>
      </c>
      <c r="S825" s="91">
        <v>19895696</v>
      </c>
      <c r="T825" s="91">
        <v>6.4999999999999997E-3</v>
      </c>
      <c r="V825" s="90">
        <v>45867</v>
      </c>
      <c r="W825" s="91">
        <v>1512.900024</v>
      </c>
      <c r="X825" s="91">
        <v>1513.6999510000001</v>
      </c>
      <c r="Y825" s="91">
        <v>1490.8763429999999</v>
      </c>
      <c r="Z825" s="91">
        <v>7070448</v>
      </c>
      <c r="AA825" s="91">
        <v>-1.5E-3</v>
      </c>
      <c r="AB825" s="91"/>
      <c r="AC825" s="90">
        <v>45867</v>
      </c>
      <c r="AD825" s="91">
        <v>4994</v>
      </c>
      <c r="AE825" s="91">
        <v>5001.5</v>
      </c>
      <c r="AF825" s="91">
        <v>5001.5</v>
      </c>
      <c r="AG825" s="91">
        <v>1285403</v>
      </c>
      <c r="AH825" s="91">
        <v>1.5E-3</v>
      </c>
      <c r="AI825" s="91"/>
      <c r="AJ825" s="91">
        <f>(F825*'Part 3 Portfolio Analysis'!$B$8+M825*'Part 3 Portfolio Analysis'!$C$8+T825*'Part 3 Portfolio Analysis'!$D$8+AA825*'Part 3 Portfolio Analysis'!$E$8+AH825*'Part 3 Portfolio Analysis'!$F$8)/100</f>
        <v>1.1308369423290133E-2</v>
      </c>
      <c r="AK825" s="91">
        <f>'Part 3 Portfolio Analysis'!$B$107*F825+M825*'Part 3 Portfolio Analysis'!$C$107+T825*'Part 3 Portfolio Analysis'!$D$107+AA825*'Part 3 Portfolio Analysis'!$E$107+AH825*'Part 3 Portfolio Analysis'!$F$107</f>
        <v>9.5403999999999992E-3</v>
      </c>
      <c r="AL825" s="91">
        <f>F825*'Part 3 Portfolio Analysis'!$B$121+M825*'Part 3 Portfolio Analysis'!$C$121+'Part 3 Portfolio Analysis'!$D$121*T825+AA825*'Part 3 Portfolio Analysis'!$E$121+'Part 3 Portfolio Analysis'!$F$121*AH825</f>
        <v>1.1192800000000001E-2</v>
      </c>
      <c r="AM825" s="91"/>
      <c r="AN825" s="90">
        <v>45867</v>
      </c>
      <c r="AO825" s="91">
        <v>24609.650389999999</v>
      </c>
      <c r="AP825" s="91">
        <v>24821.099610000001</v>
      </c>
      <c r="AQ825" s="91">
        <v>24821.099610000001</v>
      </c>
      <c r="AR825" s="91">
        <v>284700</v>
      </c>
      <c r="AS825" s="91">
        <v>5.7000000000000002E-3</v>
      </c>
    </row>
    <row r="826" spans="1:45" x14ac:dyDescent="0.55000000000000004">
      <c r="A826" s="90">
        <v>45868</v>
      </c>
      <c r="B826" s="91">
        <v>6070</v>
      </c>
      <c r="C826" s="91">
        <v>6101</v>
      </c>
      <c r="D826" s="91">
        <v>6101</v>
      </c>
      <c r="E826" s="91">
        <v>95734</v>
      </c>
      <c r="F826" s="91">
        <v>1.6999999999999999E-3</v>
      </c>
      <c r="H826" s="90">
        <v>45868</v>
      </c>
      <c r="I826" s="91">
        <v>1418.099976</v>
      </c>
      <c r="J826" s="91">
        <v>1410.099976</v>
      </c>
      <c r="K826" s="91">
        <v>1404.490601</v>
      </c>
      <c r="L826" s="91">
        <v>7209849</v>
      </c>
      <c r="M826" s="91">
        <v>-4.8999999999999998E-3</v>
      </c>
      <c r="O826" s="90">
        <v>45868</v>
      </c>
      <c r="P826" s="91">
        <v>1014</v>
      </c>
      <c r="Q826" s="91">
        <v>1012.900024</v>
      </c>
      <c r="R826" s="91">
        <v>1012.900024</v>
      </c>
      <c r="S826" s="91">
        <v>15154036</v>
      </c>
      <c r="T826" s="91">
        <v>2.0999999999999999E-3</v>
      </c>
      <c r="V826" s="90">
        <v>45868</v>
      </c>
      <c r="W826" s="91">
        <v>1519.900024</v>
      </c>
      <c r="X826" s="91">
        <v>1519</v>
      </c>
      <c r="Y826" s="91">
        <v>1496.096558</v>
      </c>
      <c r="Z826" s="91">
        <v>5719051</v>
      </c>
      <c r="AA826" s="91">
        <v>3.5000000000000001E-3</v>
      </c>
      <c r="AB826" s="91"/>
      <c r="AC826" s="90">
        <v>45868</v>
      </c>
      <c r="AD826" s="91">
        <v>5011.5</v>
      </c>
      <c r="AE826" s="91">
        <v>5043.5</v>
      </c>
      <c r="AF826" s="91">
        <v>5043.5</v>
      </c>
      <c r="AG826" s="91">
        <v>640920</v>
      </c>
      <c r="AH826" s="91">
        <v>8.3999999999999995E-3</v>
      </c>
      <c r="AI826" s="91"/>
      <c r="AJ826" s="91">
        <f>(F826*'Part 3 Portfolio Analysis'!$B$8+M826*'Part 3 Portfolio Analysis'!$C$8+T826*'Part 3 Portfolio Analysis'!$D$8+AA826*'Part 3 Portfolio Analysis'!$E$8+AH826*'Part 3 Portfolio Analysis'!$F$8)/100</f>
        <v>-2.7048027236387253E-4</v>
      </c>
      <c r="AK826" s="91">
        <f>'Part 3 Portfolio Analysis'!$B$107*F826+M826*'Part 3 Portfolio Analysis'!$C$107+T826*'Part 3 Portfolio Analysis'!$D$107+AA826*'Part 3 Portfolio Analysis'!$E$107+AH826*'Part 3 Portfolio Analysis'!$F$107</f>
        <v>1.5646E-3</v>
      </c>
      <c r="AL826" s="91">
        <f>F826*'Part 3 Portfolio Analysis'!$B$121+M826*'Part 3 Portfolio Analysis'!$C$121+'Part 3 Portfolio Analysis'!$D$121*T826+AA826*'Part 3 Portfolio Analysis'!$E$121+'Part 3 Portfolio Analysis'!$F$121*AH826</f>
        <v>-4.250199999999998E-4</v>
      </c>
      <c r="AM826" s="91"/>
      <c r="AN826" s="90">
        <v>45868</v>
      </c>
      <c r="AO826" s="91">
        <v>24890.400389999999</v>
      </c>
      <c r="AP826" s="91">
        <v>24855.050780000001</v>
      </c>
      <c r="AQ826" s="91">
        <v>24855.050780000001</v>
      </c>
      <c r="AR826" s="91">
        <v>243900</v>
      </c>
      <c r="AS826" s="91">
        <v>1.4E-3</v>
      </c>
    </row>
    <row r="827" spans="1:45" x14ac:dyDescent="0.55000000000000004">
      <c r="A827" s="90">
        <v>45869</v>
      </c>
      <c r="B827" s="91">
        <v>6084</v>
      </c>
      <c r="C827" s="91">
        <v>6093.5</v>
      </c>
      <c r="D827" s="91">
        <v>6093.5</v>
      </c>
      <c r="E827" s="91">
        <v>138299</v>
      </c>
      <c r="F827" s="91">
        <v>-1.1999999999999999E-3</v>
      </c>
      <c r="H827" s="90">
        <v>45869</v>
      </c>
      <c r="I827" s="91">
        <v>1388.099976</v>
      </c>
      <c r="J827" s="91">
        <v>1390.1999510000001</v>
      </c>
      <c r="K827" s="91">
        <v>1384.669678</v>
      </c>
      <c r="L827" s="91">
        <v>17065827</v>
      </c>
      <c r="M827" s="91">
        <v>-1.41E-2</v>
      </c>
      <c r="O827" s="90">
        <v>45869</v>
      </c>
      <c r="P827" s="91">
        <v>1007.299988</v>
      </c>
      <c r="Q827" s="91">
        <v>1009.099976</v>
      </c>
      <c r="R827" s="91">
        <v>1009.099976</v>
      </c>
      <c r="S827" s="91">
        <v>22183032</v>
      </c>
      <c r="T827" s="91">
        <v>-3.8E-3</v>
      </c>
      <c r="V827" s="90">
        <v>45869</v>
      </c>
      <c r="W827" s="91">
        <v>1509.6999510000001</v>
      </c>
      <c r="X827" s="91">
        <v>1509</v>
      </c>
      <c r="Y827" s="91">
        <v>1486.247314</v>
      </c>
      <c r="Z827" s="91">
        <v>6851407</v>
      </c>
      <c r="AA827" s="91">
        <v>-6.6E-3</v>
      </c>
      <c r="AB827" s="91"/>
      <c r="AC827" s="90">
        <v>45869</v>
      </c>
      <c r="AD827" s="91">
        <v>4975</v>
      </c>
      <c r="AE827" s="91">
        <v>5018</v>
      </c>
      <c r="AF827" s="91">
        <v>5018</v>
      </c>
      <c r="AG827" s="91">
        <v>752111</v>
      </c>
      <c r="AH827" s="91">
        <v>-5.1000000000000004E-3</v>
      </c>
      <c r="AI827" s="91"/>
      <c r="AJ827" s="91">
        <f>(F827*'Part 3 Portfolio Analysis'!$B$8+M827*'Part 3 Portfolio Analysis'!$C$8+T827*'Part 3 Portfolio Analysis'!$D$8+AA827*'Part 3 Portfolio Analysis'!$E$8+AH827*'Part 3 Portfolio Analysis'!$F$8)/100</f>
        <v>-7.2168650400975306E-3</v>
      </c>
      <c r="AK827" s="91">
        <f>'Part 3 Portfolio Analysis'!$B$107*F827+M827*'Part 3 Portfolio Analysis'!$C$107+T827*'Part 3 Portfolio Analysis'!$D$107+AA827*'Part 3 Portfolio Analysis'!$E$107+AH827*'Part 3 Portfolio Analysis'!$F$107</f>
        <v>-7.1635000000000006E-3</v>
      </c>
      <c r="AL827" s="91">
        <f>F827*'Part 3 Portfolio Analysis'!$B$121+M827*'Part 3 Portfolio Analysis'!$C$121+'Part 3 Portfolio Analysis'!$D$121*T827+AA827*'Part 3 Portfolio Analysis'!$E$121+'Part 3 Portfolio Analysis'!$F$121*AH827</f>
        <v>-8.5022199999999996E-3</v>
      </c>
      <c r="AM827" s="91"/>
      <c r="AN827" s="90">
        <v>45869</v>
      </c>
      <c r="AO827" s="91">
        <v>24642.25</v>
      </c>
      <c r="AP827" s="91">
        <v>24768.349610000001</v>
      </c>
      <c r="AQ827" s="91">
        <v>24768.349610000001</v>
      </c>
      <c r="AR827" s="91">
        <v>346300</v>
      </c>
      <c r="AS827" s="91">
        <v>-3.5000000000000001E-3</v>
      </c>
    </row>
    <row r="828" spans="1:45" x14ac:dyDescent="0.55000000000000004">
      <c r="A828" s="90">
        <v>45870</v>
      </c>
      <c r="B828" s="91">
        <v>6087.5</v>
      </c>
      <c r="C828" s="91">
        <v>6054.5</v>
      </c>
      <c r="D828" s="91">
        <v>6054.5</v>
      </c>
      <c r="E828" s="91">
        <v>126921</v>
      </c>
      <c r="F828" s="91">
        <v>-6.4000000000000003E-3</v>
      </c>
      <c r="H828" s="90">
        <v>45870</v>
      </c>
      <c r="I828" s="91">
        <v>1386.900024</v>
      </c>
      <c r="J828" s="91">
        <v>1393.6999510000001</v>
      </c>
      <c r="K828" s="91">
        <v>1388.1557620000001</v>
      </c>
      <c r="L828" s="91">
        <v>10321171</v>
      </c>
      <c r="M828" s="91">
        <v>2.5000000000000001E-3</v>
      </c>
      <c r="O828" s="90">
        <v>45870</v>
      </c>
      <c r="P828" s="91">
        <v>1007</v>
      </c>
      <c r="Q828" s="91">
        <v>1006.099976</v>
      </c>
      <c r="R828" s="91">
        <v>1006.099976</v>
      </c>
      <c r="S828" s="91">
        <v>11317258</v>
      </c>
      <c r="T828" s="91">
        <v>-3.0000000000000001E-3</v>
      </c>
      <c r="V828" s="90">
        <v>45870</v>
      </c>
      <c r="W828" s="91">
        <v>1493.900024</v>
      </c>
      <c r="X828" s="91">
        <v>1469.599976</v>
      </c>
      <c r="Y828" s="91">
        <v>1447.441284</v>
      </c>
      <c r="Z828" s="91">
        <v>8702978</v>
      </c>
      <c r="AA828" s="91">
        <v>-2.6100000000000002E-2</v>
      </c>
      <c r="AB828" s="91"/>
      <c r="AC828" s="90">
        <v>45870</v>
      </c>
      <c r="AD828" s="91">
        <v>5034</v>
      </c>
      <c r="AE828" s="91">
        <v>5180</v>
      </c>
      <c r="AF828" s="91">
        <v>5180</v>
      </c>
      <c r="AG828" s="91">
        <v>2034517</v>
      </c>
      <c r="AH828" s="91">
        <v>3.2300000000000002E-2</v>
      </c>
      <c r="AI828" s="91"/>
      <c r="AJ828" s="91">
        <f>(F828*'Part 3 Portfolio Analysis'!$B$8+M828*'Part 3 Portfolio Analysis'!$C$8+T828*'Part 3 Portfolio Analysis'!$D$8+AA828*'Part 3 Portfolio Analysis'!$E$8+AH828*'Part 3 Portfolio Analysis'!$F$8)/100</f>
        <v>-5.3989167665653894E-3</v>
      </c>
      <c r="AK828" s="91">
        <f>'Part 3 Portfolio Analysis'!$B$107*F828+M828*'Part 3 Portfolio Analysis'!$C$107+T828*'Part 3 Portfolio Analysis'!$D$107+AA828*'Part 3 Portfolio Analysis'!$E$107+AH828*'Part 3 Portfolio Analysis'!$F$107</f>
        <v>4.6950999999999998E-3</v>
      </c>
      <c r="AL828" s="91">
        <f>F828*'Part 3 Portfolio Analysis'!$B$121+M828*'Part 3 Portfolio Analysis'!$C$121+'Part 3 Portfolio Analysis'!$D$121*T828+AA828*'Part 3 Portfolio Analysis'!$E$121+'Part 3 Portfolio Analysis'!$F$121*AH828</f>
        <v>-4.6668200000000012E-3</v>
      </c>
      <c r="AM828" s="91"/>
      <c r="AN828" s="90">
        <v>45870</v>
      </c>
      <c r="AO828" s="91">
        <v>24734.900389999999</v>
      </c>
      <c r="AP828" s="91">
        <v>24565.349610000001</v>
      </c>
      <c r="AQ828" s="91">
        <v>24565.349610000001</v>
      </c>
      <c r="AR828" s="91">
        <v>263400</v>
      </c>
      <c r="AS828" s="91">
        <v>-8.2000000000000007E-3</v>
      </c>
    </row>
    <row r="829" spans="1:45" x14ac:dyDescent="0.55000000000000004">
      <c r="A829" s="90">
        <v>45873</v>
      </c>
      <c r="B829" s="91">
        <v>6022</v>
      </c>
      <c r="C829" s="91">
        <v>6031</v>
      </c>
      <c r="D829" s="91">
        <v>6031</v>
      </c>
      <c r="E829" s="91">
        <v>145412</v>
      </c>
      <c r="F829" s="91">
        <v>-3.8999999999999998E-3</v>
      </c>
      <c r="H829" s="90">
        <v>45873</v>
      </c>
      <c r="I829" s="91">
        <v>1395.099976</v>
      </c>
      <c r="J829" s="91">
        <v>1411.5</v>
      </c>
      <c r="K829" s="91">
        <v>1405.88501</v>
      </c>
      <c r="L829" s="91">
        <v>6312820</v>
      </c>
      <c r="M829" s="91">
        <v>1.2800000000000001E-2</v>
      </c>
      <c r="O829" s="90">
        <v>45873</v>
      </c>
      <c r="P829" s="91">
        <v>1005.049988</v>
      </c>
      <c r="Q829" s="91">
        <v>996</v>
      </c>
      <c r="R829" s="91">
        <v>996</v>
      </c>
      <c r="S829" s="91">
        <v>13933946</v>
      </c>
      <c r="T829" s="91">
        <v>-0.01</v>
      </c>
      <c r="V829" s="90">
        <v>45873</v>
      </c>
      <c r="W829" s="91">
        <v>1461.5</v>
      </c>
      <c r="X829" s="91">
        <v>1480.5</v>
      </c>
      <c r="Y829" s="91">
        <v>1458.1770019999999</v>
      </c>
      <c r="Z829" s="91">
        <v>8610216</v>
      </c>
      <c r="AA829" s="91">
        <v>7.4000000000000003E-3</v>
      </c>
      <c r="AB829" s="91"/>
      <c r="AC829" s="90">
        <v>45873</v>
      </c>
      <c r="AD829" s="91">
        <v>5275</v>
      </c>
      <c r="AE829" s="91">
        <v>5249</v>
      </c>
      <c r="AF829" s="91">
        <v>5249</v>
      </c>
      <c r="AG829" s="91">
        <v>790968</v>
      </c>
      <c r="AH829" s="91">
        <v>1.3299999999999999E-2</v>
      </c>
      <c r="AI829" s="91"/>
      <c r="AJ829" s="91">
        <f>(F829*'Part 3 Portfolio Analysis'!$B$8+M829*'Part 3 Portfolio Analysis'!$C$8+T829*'Part 3 Portfolio Analysis'!$D$8+AA829*'Part 3 Portfolio Analysis'!$E$8+AH829*'Part 3 Portfolio Analysis'!$F$8)/100</f>
        <v>3.1225159511012106E-3</v>
      </c>
      <c r="AK829" s="91">
        <f>'Part 3 Portfolio Analysis'!$B$107*F829+M829*'Part 3 Portfolio Analysis'!$C$107+T829*'Part 3 Portfolio Analysis'!$D$107+AA829*'Part 3 Portfolio Analysis'!$E$107+AH829*'Part 3 Portfolio Analysis'!$F$107</f>
        <v>5.8460000000000005E-3</v>
      </c>
      <c r="AL829" s="91">
        <f>F829*'Part 3 Portfolio Analysis'!$B$121+M829*'Part 3 Portfolio Analysis'!$C$121+'Part 3 Portfolio Analysis'!$D$121*T829+AA829*'Part 3 Portfolio Analysis'!$E$121+'Part 3 Portfolio Analysis'!$F$121*AH829</f>
        <v>4.1587600000000001E-3</v>
      </c>
      <c r="AM829" s="91"/>
      <c r="AN829" s="90">
        <v>45873</v>
      </c>
      <c r="AO829" s="91">
        <v>24596.050780000001</v>
      </c>
      <c r="AP829" s="91">
        <v>24722.75</v>
      </c>
      <c r="AQ829" s="91">
        <v>24722.75</v>
      </c>
      <c r="AR829" s="91">
        <v>259300</v>
      </c>
      <c r="AS829" s="91">
        <v>6.4000000000000003E-3</v>
      </c>
    </row>
    <row r="830" spans="1:45" x14ac:dyDescent="0.55000000000000004">
      <c r="A830" s="90">
        <v>45874</v>
      </c>
      <c r="B830" s="91">
        <v>6036</v>
      </c>
      <c r="C830" s="91">
        <v>5961.5</v>
      </c>
      <c r="D830" s="91">
        <v>5961.5</v>
      </c>
      <c r="E830" s="91">
        <v>86273</v>
      </c>
      <c r="F830" s="91">
        <v>-1.15E-2</v>
      </c>
      <c r="H830" s="90">
        <v>45874</v>
      </c>
      <c r="I830" s="91">
        <v>1411</v>
      </c>
      <c r="J830" s="91">
        <v>1391.6999510000001</v>
      </c>
      <c r="K830" s="91">
        <v>1386.1636960000001</v>
      </c>
      <c r="L830" s="91">
        <v>9315972</v>
      </c>
      <c r="M830" s="91">
        <v>-1.4E-2</v>
      </c>
      <c r="O830" s="90">
        <v>45874</v>
      </c>
      <c r="P830" s="91">
        <v>993.25</v>
      </c>
      <c r="Q830" s="91">
        <v>988.79998780000005</v>
      </c>
      <c r="R830" s="91">
        <v>988.79998780000005</v>
      </c>
      <c r="S830" s="91">
        <v>23978058</v>
      </c>
      <c r="T830" s="91">
        <v>-7.1999999999999998E-3</v>
      </c>
      <c r="V830" s="90">
        <v>45874</v>
      </c>
      <c r="W830" s="91">
        <v>1478.6999510000001</v>
      </c>
      <c r="X830" s="91">
        <v>1460.3000489999999</v>
      </c>
      <c r="Y830" s="91">
        <v>1438.281616</v>
      </c>
      <c r="Z830" s="91">
        <v>10213323</v>
      </c>
      <c r="AA830" s="91">
        <v>-1.3599999999999999E-2</v>
      </c>
      <c r="AB830" s="91"/>
      <c r="AC830" s="90">
        <v>45874</v>
      </c>
      <c r="AD830" s="91">
        <v>5245</v>
      </c>
      <c r="AE830" s="91">
        <v>5317.5</v>
      </c>
      <c r="AF830" s="91">
        <v>5317.5</v>
      </c>
      <c r="AG830" s="91">
        <v>976873</v>
      </c>
      <c r="AH830" s="91">
        <v>1.3100000000000001E-2</v>
      </c>
      <c r="AI830" s="91"/>
      <c r="AJ830" s="91">
        <f>(F830*'Part 3 Portfolio Analysis'!$B$8+M830*'Part 3 Portfolio Analysis'!$C$8+T830*'Part 3 Portfolio Analysis'!$D$8+AA830*'Part 3 Portfolio Analysis'!$E$8+AH830*'Part 3 Portfolio Analysis'!$F$8)/100</f>
        <v>-1.1786435735697771E-2</v>
      </c>
      <c r="AK830" s="91">
        <f>'Part 3 Portfolio Analysis'!$B$107*F830+M830*'Part 3 Portfolio Analysis'!$C$107+T830*'Part 3 Portfolio Analysis'!$D$107+AA830*'Part 3 Portfolio Analysis'!$E$107+AH830*'Part 3 Portfolio Analysis'!$F$107</f>
        <v>-5.6267999999999995E-3</v>
      </c>
      <c r="AL830" s="91">
        <f>F830*'Part 3 Portfolio Analysis'!$B$121+M830*'Part 3 Portfolio Analysis'!$C$121+'Part 3 Portfolio Analysis'!$D$121*T830+AA830*'Part 3 Portfolio Analysis'!$E$121+'Part 3 Portfolio Analysis'!$F$121*AH830</f>
        <v>-1.1154880000000001E-2</v>
      </c>
      <c r="AM830" s="91"/>
      <c r="AN830" s="90">
        <v>45874</v>
      </c>
      <c r="AO830" s="91">
        <v>24720.25</v>
      </c>
      <c r="AP830" s="91">
        <v>24649.550780000001</v>
      </c>
      <c r="AQ830" s="91">
        <v>24649.550780000001</v>
      </c>
      <c r="AR830" s="91">
        <v>251800</v>
      </c>
      <c r="AS830" s="91">
        <v>-3.0000000000000001E-3</v>
      </c>
    </row>
    <row r="831" spans="1:45" x14ac:dyDescent="0.55000000000000004">
      <c r="A831" s="90">
        <v>45875</v>
      </c>
      <c r="B831" s="91">
        <v>5968.5</v>
      </c>
      <c r="C831" s="91">
        <v>5816</v>
      </c>
      <c r="D831" s="91">
        <v>5816</v>
      </c>
      <c r="E831" s="91">
        <v>120782</v>
      </c>
      <c r="F831" s="91">
        <v>-2.4400000000000002E-2</v>
      </c>
      <c r="H831" s="90">
        <v>45875</v>
      </c>
      <c r="I831" s="91">
        <v>1391.900024</v>
      </c>
      <c r="J831" s="91">
        <v>1392.8000489999999</v>
      </c>
      <c r="K831" s="91">
        <v>1387.2595209999999</v>
      </c>
      <c r="L831" s="91">
        <v>5834312</v>
      </c>
      <c r="M831" s="91">
        <v>8.0000000000000004E-4</v>
      </c>
      <c r="O831" s="90">
        <v>45875</v>
      </c>
      <c r="P831" s="91">
        <v>985.54998780000005</v>
      </c>
      <c r="Q831" s="91">
        <v>992.65002440000001</v>
      </c>
      <c r="R831" s="91">
        <v>992.65002440000001</v>
      </c>
      <c r="S831" s="91">
        <v>14080204</v>
      </c>
      <c r="T831" s="91">
        <v>3.8999999999999998E-3</v>
      </c>
      <c r="V831" s="90">
        <v>45875</v>
      </c>
      <c r="W831" s="91">
        <v>1452</v>
      </c>
      <c r="X831" s="91">
        <v>1436.6999510000001</v>
      </c>
      <c r="Y831" s="91">
        <v>1415.0373540000001</v>
      </c>
      <c r="Z831" s="91">
        <v>10566934</v>
      </c>
      <c r="AA831" s="91">
        <v>-1.6199999999999999E-2</v>
      </c>
      <c r="AB831" s="91"/>
      <c r="AC831" s="90">
        <v>45875</v>
      </c>
      <c r="AD831" s="91">
        <v>5350</v>
      </c>
      <c r="AE831" s="91">
        <v>5356.5</v>
      </c>
      <c r="AF831" s="91">
        <v>5356.5</v>
      </c>
      <c r="AG831" s="91">
        <v>2486662</v>
      </c>
      <c r="AH831" s="91">
        <v>7.3000000000000001E-3</v>
      </c>
      <c r="AI831" s="91"/>
      <c r="AJ831" s="91">
        <f>(F831*'Part 3 Portfolio Analysis'!$B$8+M831*'Part 3 Portfolio Analysis'!$C$8+T831*'Part 3 Portfolio Analysis'!$D$8+AA831*'Part 3 Portfolio Analysis'!$E$8+AH831*'Part 3 Portfolio Analysis'!$F$8)/100</f>
        <v>-8.9152229376181519E-3</v>
      </c>
      <c r="AK831" s="91">
        <f>'Part 3 Portfolio Analysis'!$B$107*F831+M831*'Part 3 Portfolio Analysis'!$C$107+T831*'Part 3 Portfolio Analysis'!$D$107+AA831*'Part 3 Portfolio Analysis'!$E$107+AH831*'Part 3 Portfolio Analysis'!$F$107</f>
        <v>-3.3175000000000001E-3</v>
      </c>
      <c r="AL831" s="91">
        <f>F831*'Part 3 Portfolio Analysis'!$B$121+M831*'Part 3 Portfolio Analysis'!$C$121+'Part 3 Portfolio Analysis'!$D$121*T831+AA831*'Part 3 Portfolio Analysis'!$E$121+'Part 3 Portfolio Analysis'!$F$121*AH831</f>
        <v>-3.6579399999999997E-3</v>
      </c>
      <c r="AM831" s="91"/>
      <c r="AN831" s="90">
        <v>45875</v>
      </c>
      <c r="AO831" s="91">
        <v>24641.349610000001</v>
      </c>
      <c r="AP831" s="91">
        <v>24574.199219999999</v>
      </c>
      <c r="AQ831" s="91">
        <v>24574.199219999999</v>
      </c>
      <c r="AR831" s="91">
        <v>225100</v>
      </c>
      <c r="AS831" s="91">
        <v>-3.0999999999999999E-3</v>
      </c>
    </row>
    <row r="832" spans="1:45" x14ac:dyDescent="0.55000000000000004">
      <c r="A832" s="90">
        <v>45876</v>
      </c>
      <c r="B832" s="91">
        <v>5805</v>
      </c>
      <c r="C832" s="91">
        <v>5865</v>
      </c>
      <c r="D832" s="91">
        <v>5865</v>
      </c>
      <c r="E832" s="91">
        <v>107906</v>
      </c>
      <c r="F832" s="91">
        <v>8.3999999999999995E-3</v>
      </c>
      <c r="H832" s="90">
        <v>45876</v>
      </c>
      <c r="I832" s="91">
        <v>1387.6999510000001</v>
      </c>
      <c r="J832" s="91">
        <v>1389.400024</v>
      </c>
      <c r="K832" s="91">
        <v>1383.8729249999999</v>
      </c>
      <c r="L832" s="91">
        <v>9976705</v>
      </c>
      <c r="M832" s="91">
        <v>-2.3999999999999998E-3</v>
      </c>
      <c r="O832" s="90">
        <v>45876</v>
      </c>
      <c r="P832" s="91">
        <v>990.04998780000005</v>
      </c>
      <c r="Q832" s="91">
        <v>997.70001219999995</v>
      </c>
      <c r="R832" s="91">
        <v>997.70001219999995</v>
      </c>
      <c r="S832" s="91">
        <v>13081186</v>
      </c>
      <c r="T832" s="91">
        <v>5.1000000000000004E-3</v>
      </c>
      <c r="V832" s="90">
        <v>45876</v>
      </c>
      <c r="W832" s="91">
        <v>1430</v>
      </c>
      <c r="X832" s="91">
        <v>1436.900024</v>
      </c>
      <c r="Y832" s="91">
        <v>1415.234375</v>
      </c>
      <c r="Z832" s="91">
        <v>9892020</v>
      </c>
      <c r="AA832" s="91">
        <v>1E-4</v>
      </c>
      <c r="AB832" s="91"/>
      <c r="AC832" s="90">
        <v>45876</v>
      </c>
      <c r="AD832" s="91">
        <v>5285</v>
      </c>
      <c r="AE832" s="91">
        <v>5303.5</v>
      </c>
      <c r="AF832" s="91">
        <v>5303.5</v>
      </c>
      <c r="AG832" s="91">
        <v>2293342</v>
      </c>
      <c r="AH832" s="91">
        <v>-9.9000000000000008E-3</v>
      </c>
      <c r="AI832" s="91"/>
      <c r="AJ832" s="91">
        <f>(F832*'Part 3 Portfolio Analysis'!$B$8+M832*'Part 3 Portfolio Analysis'!$C$8+T832*'Part 3 Portfolio Analysis'!$D$8+AA832*'Part 3 Portfolio Analysis'!$E$8+AH832*'Part 3 Portfolio Analysis'!$F$8)/100</f>
        <v>2.4201272019494426E-3</v>
      </c>
      <c r="AK832" s="91">
        <f>'Part 3 Portfolio Analysis'!$B$107*F832+M832*'Part 3 Portfolio Analysis'!$C$107+T832*'Part 3 Portfolio Analysis'!$D$107+AA832*'Part 3 Portfolio Analysis'!$E$107+AH832*'Part 3 Portfolio Analysis'!$F$107</f>
        <v>-9.3350000000000008E-4</v>
      </c>
      <c r="AL832" s="91">
        <f>F832*'Part 3 Portfolio Analysis'!$B$121+M832*'Part 3 Portfolio Analysis'!$C$121+'Part 3 Portfolio Analysis'!$D$121*T832+AA832*'Part 3 Portfolio Analysis'!$E$121+'Part 3 Portfolio Analysis'!$F$121*AH832</f>
        <v>8.3126000000000033E-4</v>
      </c>
      <c r="AM832" s="91"/>
      <c r="AN832" s="90">
        <v>45876</v>
      </c>
      <c r="AO832" s="91">
        <v>24464.199219999999</v>
      </c>
      <c r="AP832" s="91">
        <v>24596.150389999999</v>
      </c>
      <c r="AQ832" s="91">
        <v>24596.150389999999</v>
      </c>
      <c r="AR832" s="91">
        <v>616700</v>
      </c>
      <c r="AS832" s="91">
        <v>8.9999999999999998E-4</v>
      </c>
    </row>
    <row r="833" spans="1:45" x14ac:dyDescent="0.55000000000000004">
      <c r="A833" s="90">
        <v>45877</v>
      </c>
      <c r="B833" s="91">
        <v>5850</v>
      </c>
      <c r="C833" s="91">
        <v>5759.5</v>
      </c>
      <c r="D833" s="91">
        <v>5759.5</v>
      </c>
      <c r="E833" s="91">
        <v>66575</v>
      </c>
      <c r="F833" s="91">
        <v>-1.7999999999999999E-2</v>
      </c>
      <c r="H833" s="90">
        <v>45877</v>
      </c>
      <c r="I833" s="91">
        <v>1385</v>
      </c>
      <c r="J833" s="91">
        <v>1367.8000489999999</v>
      </c>
      <c r="K833" s="91">
        <v>1362.3588870000001</v>
      </c>
      <c r="L833" s="91">
        <v>8793606</v>
      </c>
      <c r="M833" s="91">
        <v>-1.55E-2</v>
      </c>
      <c r="O833" s="90">
        <v>45877</v>
      </c>
      <c r="P833" s="91">
        <v>993.54998780000005</v>
      </c>
      <c r="Q833" s="91">
        <v>986.95001219999995</v>
      </c>
      <c r="R833" s="91">
        <v>986.95001219999995</v>
      </c>
      <c r="S833" s="91">
        <v>13895264</v>
      </c>
      <c r="T833" s="91">
        <v>-1.0800000000000001E-2</v>
      </c>
      <c r="V833" s="90">
        <v>45877</v>
      </c>
      <c r="W833" s="91">
        <v>1425</v>
      </c>
      <c r="X833" s="91">
        <v>1423.099976</v>
      </c>
      <c r="Y833" s="91">
        <v>1401.642456</v>
      </c>
      <c r="Z833" s="91">
        <v>10048009</v>
      </c>
      <c r="AA833" s="91">
        <v>-9.5999999999999992E-3</v>
      </c>
      <c r="AB833" s="91"/>
      <c r="AC833" s="90">
        <v>45877</v>
      </c>
      <c r="AD833" s="91">
        <v>5330</v>
      </c>
      <c r="AE833" s="91">
        <v>5317</v>
      </c>
      <c r="AF833" s="91">
        <v>5317</v>
      </c>
      <c r="AG833" s="91">
        <v>1192637</v>
      </c>
      <c r="AH833" s="91">
        <v>2.5000000000000001E-3</v>
      </c>
      <c r="AI833" s="91"/>
      <c r="AJ833" s="91">
        <f>(F833*'Part 3 Portfolio Analysis'!$B$8+M833*'Part 3 Portfolio Analysis'!$C$8+T833*'Part 3 Portfolio Analysis'!$D$8+AA833*'Part 3 Portfolio Analysis'!$E$8+AH833*'Part 3 Portfolio Analysis'!$F$8)/100</f>
        <v>-1.4340547503113206E-2</v>
      </c>
      <c r="AK833" s="91">
        <f>'Part 3 Portfolio Analysis'!$B$107*F833+M833*'Part 3 Portfolio Analysis'!$C$107+T833*'Part 3 Portfolio Analysis'!$D$107+AA833*'Part 3 Portfolio Analysis'!$E$107+AH833*'Part 3 Portfolio Analysis'!$F$107</f>
        <v>-1.0095499999999999E-2</v>
      </c>
      <c r="AL833" s="91">
        <f>F833*'Part 3 Portfolio Analysis'!$B$121+M833*'Part 3 Portfolio Analysis'!$C$121+'Part 3 Portfolio Analysis'!$D$121*T833+AA833*'Part 3 Portfolio Analysis'!$E$121+'Part 3 Portfolio Analysis'!$F$121*AH833</f>
        <v>-1.27755E-2</v>
      </c>
      <c r="AM833" s="91"/>
      <c r="AN833" s="90">
        <v>45877</v>
      </c>
      <c r="AO833" s="91">
        <v>24544.25</v>
      </c>
      <c r="AP833" s="91">
        <v>24363.300780000001</v>
      </c>
      <c r="AQ833" s="91">
        <v>24363.300780000001</v>
      </c>
      <c r="AR833" s="91">
        <v>312600</v>
      </c>
      <c r="AS833" s="91">
        <v>-9.4999999999999998E-3</v>
      </c>
    </row>
    <row r="834" spans="1:45" x14ac:dyDescent="0.55000000000000004">
      <c r="A834" s="90">
        <v>45880</v>
      </c>
      <c r="B834" s="91">
        <v>5759.5</v>
      </c>
      <c r="C834" s="91">
        <v>5676.5</v>
      </c>
      <c r="D834" s="91">
        <v>5676.5</v>
      </c>
      <c r="E834" s="91">
        <v>101170</v>
      </c>
      <c r="F834" s="91">
        <v>-1.44E-2</v>
      </c>
      <c r="H834" s="90">
        <v>45880</v>
      </c>
      <c r="I834" s="91">
        <v>1370</v>
      </c>
      <c r="J834" s="91">
        <v>1386.1999510000001</v>
      </c>
      <c r="K834" s="91">
        <v>1380.685669</v>
      </c>
      <c r="L834" s="91">
        <v>9997486</v>
      </c>
      <c r="M834" s="91">
        <v>1.35E-2</v>
      </c>
      <c r="O834" s="90">
        <v>45880</v>
      </c>
      <c r="P834" s="91">
        <v>987.95001219999995</v>
      </c>
      <c r="Q834" s="91">
        <v>997.79998780000005</v>
      </c>
      <c r="R834" s="91">
        <v>997.79998780000005</v>
      </c>
      <c r="S834" s="91">
        <v>9105854</v>
      </c>
      <c r="T834" s="91">
        <v>1.0999999999999999E-2</v>
      </c>
      <c r="V834" s="90">
        <v>45880</v>
      </c>
      <c r="W834" s="91">
        <v>1419.900024</v>
      </c>
      <c r="X834" s="91">
        <v>1428.1999510000001</v>
      </c>
      <c r="Y834" s="91">
        <v>1406.6655270000001</v>
      </c>
      <c r="Z834" s="91">
        <v>6625368</v>
      </c>
      <c r="AA834" s="91">
        <v>3.5999999999999999E-3</v>
      </c>
      <c r="AB834" s="91"/>
      <c r="AC834" s="90">
        <v>45880</v>
      </c>
      <c r="AD834" s="91">
        <v>5330</v>
      </c>
      <c r="AE834" s="91">
        <v>5443.5</v>
      </c>
      <c r="AF834" s="91">
        <v>5443.5</v>
      </c>
      <c r="AG834" s="91">
        <v>1110381</v>
      </c>
      <c r="AH834" s="91">
        <v>2.3800000000000002E-2</v>
      </c>
      <c r="AI834" s="91"/>
      <c r="AJ834" s="91">
        <f>(F834*'Part 3 Portfolio Analysis'!$B$8+M834*'Part 3 Portfolio Analysis'!$C$8+T834*'Part 3 Portfolio Analysis'!$D$8+AA834*'Part 3 Portfolio Analysis'!$E$8+AH834*'Part 3 Portfolio Analysis'!$F$8)/100</f>
        <v>3.22039395405676E-3</v>
      </c>
      <c r="AK834" s="91">
        <f>'Part 3 Portfolio Analysis'!$B$107*F834+M834*'Part 3 Portfolio Analysis'!$C$107+T834*'Part 3 Portfolio Analysis'!$D$107+AA834*'Part 3 Portfolio Analysis'!$E$107+AH834*'Part 3 Portfolio Analysis'!$F$107</f>
        <v>9.6961000000000009E-3</v>
      </c>
      <c r="AL834" s="91">
        <f>F834*'Part 3 Portfolio Analysis'!$B$121+M834*'Part 3 Portfolio Analysis'!$C$121+'Part 3 Portfolio Analysis'!$D$121*T834+AA834*'Part 3 Portfolio Analysis'!$E$121+'Part 3 Portfolio Analysis'!$F$121*AH834</f>
        <v>8.8164799999999998E-3</v>
      </c>
      <c r="AM834" s="91"/>
      <c r="AN834" s="90">
        <v>45880</v>
      </c>
      <c r="AO834" s="91">
        <v>24371.5</v>
      </c>
      <c r="AP834" s="91">
        <v>24585.050780000001</v>
      </c>
      <c r="AQ834" s="91">
        <v>24585.050780000001</v>
      </c>
      <c r="AR834" s="91">
        <v>241100</v>
      </c>
      <c r="AS834" s="91">
        <v>9.1000000000000004E-3</v>
      </c>
    </row>
    <row r="835" spans="1:45" x14ac:dyDescent="0.55000000000000004">
      <c r="A835" s="90">
        <v>45881</v>
      </c>
      <c r="B835" s="91">
        <v>5683</v>
      </c>
      <c r="C835" s="91">
        <v>5617.5</v>
      </c>
      <c r="D835" s="91">
        <v>5617.5</v>
      </c>
      <c r="E835" s="91">
        <v>92704</v>
      </c>
      <c r="F835" s="91">
        <v>-1.04E-2</v>
      </c>
      <c r="H835" s="90">
        <v>45881</v>
      </c>
      <c r="I835" s="91">
        <v>1381.900024</v>
      </c>
      <c r="J835" s="91">
        <v>1380.400024</v>
      </c>
      <c r="K835" s="91">
        <v>1374.908813</v>
      </c>
      <c r="L835" s="91">
        <v>12244664</v>
      </c>
      <c r="M835" s="91">
        <v>-4.1999999999999997E-3</v>
      </c>
      <c r="O835" s="90">
        <v>45881</v>
      </c>
      <c r="P835" s="91">
        <v>995.95001219999995</v>
      </c>
      <c r="Q835" s="91">
        <v>984.95001219999995</v>
      </c>
      <c r="R835" s="91">
        <v>984.95001219999995</v>
      </c>
      <c r="S835" s="91">
        <v>12937802</v>
      </c>
      <c r="T835" s="91">
        <v>-1.29E-2</v>
      </c>
      <c r="V835" s="90">
        <v>45881</v>
      </c>
      <c r="W835" s="91">
        <v>1428.1999510000001</v>
      </c>
      <c r="X835" s="91">
        <v>1424.099976</v>
      </c>
      <c r="Y835" s="91">
        <v>1402.6274410000001</v>
      </c>
      <c r="Z835" s="91">
        <v>9899184</v>
      </c>
      <c r="AA835" s="91">
        <v>-2.8999999999999998E-3</v>
      </c>
      <c r="AB835" s="91"/>
      <c r="AC835" s="90">
        <v>45881</v>
      </c>
      <c r="AD835" s="91">
        <v>5443.5</v>
      </c>
      <c r="AE835" s="91">
        <v>5365.5</v>
      </c>
      <c r="AF835" s="91">
        <v>5365.5</v>
      </c>
      <c r="AG835" s="91">
        <v>441837</v>
      </c>
      <c r="AH835" s="91">
        <v>-1.43E-2</v>
      </c>
      <c r="AI835" s="91"/>
      <c r="AJ835" s="91">
        <f>(F835*'Part 3 Portfolio Analysis'!$B$8+M835*'Part 3 Portfolio Analysis'!$C$8+T835*'Part 3 Portfolio Analysis'!$D$8+AA835*'Part 3 Portfolio Analysis'!$E$8+AH835*'Part 3 Portfolio Analysis'!$F$8)/100</f>
        <v>-7.400770180631417E-3</v>
      </c>
      <c r="AK835" s="91">
        <f>'Part 3 Portfolio Analysis'!$B$107*F835+M835*'Part 3 Portfolio Analysis'!$C$107+T835*'Part 3 Portfolio Analysis'!$D$107+AA835*'Part 3 Portfolio Analysis'!$E$107+AH835*'Part 3 Portfolio Analysis'!$F$107</f>
        <v>-9.0796999999999996E-3</v>
      </c>
      <c r="AL835" s="91">
        <f>F835*'Part 3 Portfolio Analysis'!$B$121+M835*'Part 3 Portfolio Analysis'!$C$121+'Part 3 Portfolio Analysis'!$D$121*T835+AA835*'Part 3 Portfolio Analysis'!$E$121+'Part 3 Portfolio Analysis'!$F$121*AH835</f>
        <v>-7.080659999999999E-3</v>
      </c>
      <c r="AM835" s="91"/>
      <c r="AN835" s="90">
        <v>45881</v>
      </c>
      <c r="AO835" s="91">
        <v>24563.349610000001</v>
      </c>
      <c r="AP835" s="91">
        <v>24487.400389999999</v>
      </c>
      <c r="AQ835" s="91">
        <v>24487.400389999999</v>
      </c>
      <c r="AR835" s="91">
        <v>237000</v>
      </c>
      <c r="AS835" s="91">
        <v>-4.0000000000000001E-3</v>
      </c>
    </row>
    <row r="836" spans="1:45" x14ac:dyDescent="0.55000000000000004">
      <c r="A836" s="90">
        <v>45882</v>
      </c>
      <c r="B836" s="91">
        <v>5639.5</v>
      </c>
      <c r="C836" s="91">
        <v>5671</v>
      </c>
      <c r="D836" s="91">
        <v>5671</v>
      </c>
      <c r="E836" s="91">
        <v>114397</v>
      </c>
      <c r="F836" s="91">
        <v>9.4999999999999998E-3</v>
      </c>
      <c r="H836" s="90">
        <v>45882</v>
      </c>
      <c r="I836" s="91">
        <v>1388</v>
      </c>
      <c r="J836" s="91">
        <v>1382.599976</v>
      </c>
      <c r="K836" s="91">
        <v>1377.099976</v>
      </c>
      <c r="L836" s="91">
        <v>7457021</v>
      </c>
      <c r="M836" s="91">
        <v>1.6000000000000001E-3</v>
      </c>
      <c r="O836" s="90">
        <v>45882</v>
      </c>
      <c r="P836" s="91">
        <v>997</v>
      </c>
      <c r="Q836" s="91">
        <v>990.15002440000001</v>
      </c>
      <c r="R836" s="91">
        <v>990.15002440000001</v>
      </c>
      <c r="S836" s="91">
        <v>13577396</v>
      </c>
      <c r="T836" s="91">
        <v>5.3E-3</v>
      </c>
      <c r="V836" s="90">
        <v>45882</v>
      </c>
      <c r="W836" s="91">
        <v>1425</v>
      </c>
      <c r="X836" s="91">
        <v>1426.599976</v>
      </c>
      <c r="Y836" s="91">
        <v>1405.0897219999999</v>
      </c>
      <c r="Z836" s="91">
        <v>10318063</v>
      </c>
      <c r="AA836" s="91">
        <v>1.8E-3</v>
      </c>
      <c r="AB836" s="91"/>
      <c r="AC836" s="90">
        <v>45882</v>
      </c>
      <c r="AD836" s="91">
        <v>5365.5</v>
      </c>
      <c r="AE836" s="91">
        <v>5398.5</v>
      </c>
      <c r="AF836" s="91">
        <v>5398.5</v>
      </c>
      <c r="AG836" s="91">
        <v>615620</v>
      </c>
      <c r="AH836" s="91">
        <v>6.1999999999999998E-3</v>
      </c>
      <c r="AI836" s="91"/>
      <c r="AJ836" s="91">
        <f>(F836*'Part 3 Portfolio Analysis'!$B$8+M836*'Part 3 Portfolio Analysis'!$C$8+T836*'Part 3 Portfolio Analysis'!$D$8+AA836*'Part 3 Portfolio Analysis'!$E$8+AH836*'Part 3 Portfolio Analysis'!$F$8)/100</f>
        <v>4.6643522508816515E-3</v>
      </c>
      <c r="AK836" s="91">
        <f>'Part 3 Portfolio Analysis'!$B$107*F836+M836*'Part 3 Portfolio Analysis'!$C$107+T836*'Part 3 Portfolio Analysis'!$D$107+AA836*'Part 3 Portfolio Analysis'!$E$107+AH836*'Part 3 Portfolio Analysis'!$F$107</f>
        <v>4.7746999999999998E-3</v>
      </c>
      <c r="AL836" s="91">
        <f>F836*'Part 3 Portfolio Analysis'!$B$121+M836*'Part 3 Portfolio Analysis'!$C$121+'Part 3 Portfolio Analysis'!$D$121*T836+AA836*'Part 3 Portfolio Analysis'!$E$121+'Part 3 Portfolio Analysis'!$F$121*AH836</f>
        <v>3.4162999999999997E-3</v>
      </c>
      <c r="AM836" s="91"/>
      <c r="AN836" s="90">
        <v>45882</v>
      </c>
      <c r="AO836" s="91">
        <v>24586.199219999999</v>
      </c>
      <c r="AP836" s="91">
        <v>24619.349610000001</v>
      </c>
      <c r="AQ836" s="91">
        <v>24619.349610000001</v>
      </c>
      <c r="AR836" s="91">
        <v>236000</v>
      </c>
      <c r="AS836" s="91">
        <v>5.4000000000000003E-3</v>
      </c>
    </row>
    <row r="837" spans="1:45" x14ac:dyDescent="0.55000000000000004">
      <c r="A837" s="90">
        <v>45883</v>
      </c>
      <c r="B837" s="91">
        <v>5694.5</v>
      </c>
      <c r="C837" s="91">
        <v>5681.5</v>
      </c>
      <c r="D837" s="91">
        <v>5681.5</v>
      </c>
      <c r="E837" s="91">
        <v>88786</v>
      </c>
      <c r="F837" s="91">
        <v>1.9E-3</v>
      </c>
      <c r="H837" s="90">
        <v>45883</v>
      </c>
      <c r="I837" s="91">
        <v>1377.3000489999999</v>
      </c>
      <c r="J837" s="91">
        <v>1373.8000489999999</v>
      </c>
      <c r="K837" s="91">
        <v>1373.8000489999999</v>
      </c>
      <c r="L837" s="91">
        <v>7126128</v>
      </c>
      <c r="M837" s="91">
        <v>-2.3999999999999998E-3</v>
      </c>
      <c r="O837" s="90">
        <v>45883</v>
      </c>
      <c r="P837" s="91">
        <v>989</v>
      </c>
      <c r="Q837" s="91">
        <v>995.54998780000005</v>
      </c>
      <c r="R837" s="91">
        <v>995.54998780000005</v>
      </c>
      <c r="S837" s="91">
        <v>17511716</v>
      </c>
      <c r="T837" s="91">
        <v>5.4999999999999997E-3</v>
      </c>
      <c r="V837" s="90">
        <v>45883</v>
      </c>
      <c r="W837" s="91">
        <v>1426.1999510000001</v>
      </c>
      <c r="X837" s="91">
        <v>1447.6999510000001</v>
      </c>
      <c r="Y837" s="91">
        <v>1425.8714600000001</v>
      </c>
      <c r="Z837" s="91">
        <v>12902347</v>
      </c>
      <c r="AA837" s="91">
        <v>1.4800000000000001E-2</v>
      </c>
      <c r="AB837" s="91"/>
      <c r="AC837" s="90">
        <v>45883</v>
      </c>
      <c r="AD837" s="91">
        <v>5424</v>
      </c>
      <c r="AE837" s="91">
        <v>5370.5</v>
      </c>
      <c r="AF837" s="91">
        <v>5370.5</v>
      </c>
      <c r="AG837" s="91">
        <v>697401</v>
      </c>
      <c r="AH837" s="91">
        <v>-5.1999999999999998E-3</v>
      </c>
      <c r="AI837" s="91"/>
      <c r="AJ837" s="91">
        <f>(F837*'Part 3 Portfolio Analysis'!$B$8+M837*'Part 3 Portfolio Analysis'!$C$8+T837*'Part 3 Portfolio Analysis'!$D$8+AA837*'Part 3 Portfolio Analysis'!$E$8+AH837*'Part 3 Portfolio Analysis'!$F$8)/100</f>
        <v>2.9485116645379156E-3</v>
      </c>
      <c r="AK837" s="91">
        <f>'Part 3 Portfolio Analysis'!$B$107*F837+M837*'Part 3 Portfolio Analysis'!$C$107+T837*'Part 3 Portfolio Analysis'!$D$107+AA837*'Part 3 Portfolio Analysis'!$E$107+AH837*'Part 3 Portfolio Analysis'!$F$107</f>
        <v>6.1290000000000021E-4</v>
      </c>
      <c r="AL837" s="91">
        <f>F837*'Part 3 Portfolio Analysis'!$B$121+M837*'Part 3 Portfolio Analysis'!$C$121+'Part 3 Portfolio Analysis'!$D$121*T837+AA837*'Part 3 Portfolio Analysis'!$E$121+'Part 3 Portfolio Analysis'!$F$121*AH837</f>
        <v>3.4689000000000005E-3</v>
      </c>
      <c r="AM837" s="91"/>
      <c r="AN837" s="90">
        <v>45883</v>
      </c>
      <c r="AO837" s="91">
        <v>24607.25</v>
      </c>
      <c r="AP837" s="91">
        <v>24631.300780000001</v>
      </c>
      <c r="AQ837" s="91">
        <v>24631.300780000001</v>
      </c>
      <c r="AR837" s="91">
        <v>270200</v>
      </c>
      <c r="AS837" s="91">
        <v>5.0000000000000001E-4</v>
      </c>
    </row>
    <row r="838" spans="1:45" x14ac:dyDescent="0.55000000000000004">
      <c r="A838" s="90">
        <v>45887</v>
      </c>
      <c r="B838" s="91">
        <v>5725</v>
      </c>
      <c r="C838" s="91">
        <v>5677.5</v>
      </c>
      <c r="D838" s="91">
        <v>5677.5</v>
      </c>
      <c r="E838" s="91">
        <v>120374</v>
      </c>
      <c r="F838" s="91">
        <v>-6.9999999999999999E-4</v>
      </c>
      <c r="H838" s="90">
        <v>45887</v>
      </c>
      <c r="I838" s="91">
        <v>1390</v>
      </c>
      <c r="J838" s="91">
        <v>1381.6999510000001</v>
      </c>
      <c r="K838" s="91">
        <v>1381.6999510000001</v>
      </c>
      <c r="L838" s="91">
        <v>11785109</v>
      </c>
      <c r="M838" s="91">
        <v>5.7999999999999996E-3</v>
      </c>
      <c r="O838" s="90">
        <v>45887</v>
      </c>
      <c r="P838" s="91">
        <v>1005</v>
      </c>
      <c r="Q838" s="91">
        <v>1001.799988</v>
      </c>
      <c r="R838" s="91">
        <v>1001.799988</v>
      </c>
      <c r="S838" s="91">
        <v>19284796</v>
      </c>
      <c r="T838" s="91">
        <v>6.3E-3</v>
      </c>
      <c r="V838" s="90">
        <v>45887</v>
      </c>
      <c r="W838" s="91">
        <v>1464.6999510000001</v>
      </c>
      <c r="X838" s="91">
        <v>1435.8000489999999</v>
      </c>
      <c r="Y838" s="91">
        <v>1414.151001</v>
      </c>
      <c r="Z838" s="91">
        <v>7254561</v>
      </c>
      <c r="AA838" s="91">
        <v>-8.2000000000000007E-3</v>
      </c>
      <c r="AB838" s="91"/>
      <c r="AC838" s="90">
        <v>45887</v>
      </c>
      <c r="AD838" s="91">
        <v>5530</v>
      </c>
      <c r="AE838" s="91">
        <v>5519</v>
      </c>
      <c r="AF838" s="91">
        <v>5519</v>
      </c>
      <c r="AG838" s="91">
        <v>1714061</v>
      </c>
      <c r="AH838" s="91">
        <v>2.7699999999999999E-2</v>
      </c>
      <c r="AI838" s="91"/>
      <c r="AJ838" s="91">
        <f>(F838*'Part 3 Portfolio Analysis'!$B$8+M838*'Part 3 Portfolio Analysis'!$C$8+T838*'Part 3 Portfolio Analysis'!$D$8+AA838*'Part 3 Portfolio Analysis'!$E$8+AH838*'Part 3 Portfolio Analysis'!$F$8)/100</f>
        <v>1.8943781417239535E-3</v>
      </c>
      <c r="AK838" s="91">
        <f>'Part 3 Portfolio Analysis'!$B$107*F838+M838*'Part 3 Portfolio Analysis'!$C$107+T838*'Part 3 Portfolio Analysis'!$D$107+AA838*'Part 3 Portfolio Analysis'!$E$107+AH838*'Part 3 Portfolio Analysis'!$F$107</f>
        <v>8.8262999999999987E-3</v>
      </c>
      <c r="AL838" s="91">
        <f>F838*'Part 3 Portfolio Analysis'!$B$121+M838*'Part 3 Portfolio Analysis'!$C$121+'Part 3 Portfolio Analysis'!$D$121*T838+AA838*'Part 3 Portfolio Analysis'!$E$121+'Part 3 Portfolio Analysis'!$F$121*AH838</f>
        <v>3.1754799999999996E-3</v>
      </c>
      <c r="AM838" s="91"/>
      <c r="AN838" s="90">
        <v>45887</v>
      </c>
      <c r="AO838" s="91">
        <v>24938.199219999999</v>
      </c>
      <c r="AP838" s="91">
        <v>24876.949219999999</v>
      </c>
      <c r="AQ838" s="91">
        <v>24876.949219999999</v>
      </c>
      <c r="AR838" s="91">
        <v>363100</v>
      </c>
      <c r="AS838" s="91">
        <v>0.01</v>
      </c>
    </row>
    <row r="839" spans="1:45" x14ac:dyDescent="0.55000000000000004">
      <c r="A839" s="90">
        <v>45888</v>
      </c>
      <c r="B839" s="91">
        <v>5692</v>
      </c>
      <c r="C839" s="91">
        <v>5726.5</v>
      </c>
      <c r="D839" s="91">
        <v>5726.5</v>
      </c>
      <c r="E839" s="91">
        <v>90475</v>
      </c>
      <c r="F839" s="91">
        <v>8.6E-3</v>
      </c>
      <c r="H839" s="90">
        <v>45888</v>
      </c>
      <c r="I839" s="91">
        <v>1390</v>
      </c>
      <c r="J839" s="91">
        <v>1420.099976</v>
      </c>
      <c r="K839" s="91">
        <v>1420.099976</v>
      </c>
      <c r="L839" s="91">
        <v>14384719</v>
      </c>
      <c r="M839" s="91">
        <v>2.7799999999999998E-2</v>
      </c>
      <c r="O839" s="90">
        <v>45888</v>
      </c>
      <c r="P839" s="91">
        <v>999.15002440000001</v>
      </c>
      <c r="Q839" s="91">
        <v>995.54998780000005</v>
      </c>
      <c r="R839" s="91">
        <v>995.54998780000005</v>
      </c>
      <c r="S839" s="91">
        <v>12352438</v>
      </c>
      <c r="T839" s="91">
        <v>-6.1999999999999998E-3</v>
      </c>
      <c r="V839" s="90">
        <v>45888</v>
      </c>
      <c r="W839" s="91">
        <v>1432.6999510000001</v>
      </c>
      <c r="X839" s="91">
        <v>1440</v>
      </c>
      <c r="Y839" s="91">
        <v>1418.28772</v>
      </c>
      <c r="Z839" s="91">
        <v>3986094</v>
      </c>
      <c r="AA839" s="91">
        <v>2.8999999999999998E-3</v>
      </c>
      <c r="AB839" s="91"/>
      <c r="AC839" s="90">
        <v>45888</v>
      </c>
      <c r="AD839" s="91">
        <v>5550</v>
      </c>
      <c r="AE839" s="91">
        <v>5496</v>
      </c>
      <c r="AF839" s="91">
        <v>5496</v>
      </c>
      <c r="AG839" s="91">
        <v>548359</v>
      </c>
      <c r="AH839" s="91">
        <v>-4.1999999999999997E-3</v>
      </c>
      <c r="AI839" s="91"/>
      <c r="AJ839" s="91">
        <f>(F839*'Part 3 Portfolio Analysis'!$B$8+M839*'Part 3 Portfolio Analysis'!$C$8+T839*'Part 3 Portfolio Analysis'!$D$8+AA839*'Part 3 Portfolio Analysis'!$E$8+AH839*'Part 3 Portfolio Analysis'!$F$8)/100</f>
        <v>1.2048367197183362E-2</v>
      </c>
      <c r="AK839" s="91">
        <f>'Part 3 Portfolio Analysis'!$B$107*F839+M839*'Part 3 Portfolio Analysis'!$C$107+T839*'Part 3 Portfolio Analysis'!$D$107+AA839*'Part 3 Portfolio Analysis'!$E$107+AH839*'Part 3 Portfolio Analysis'!$F$107</f>
        <v>8.5199999999999998E-3</v>
      </c>
      <c r="AL839" s="91">
        <f>F839*'Part 3 Portfolio Analysis'!$B$121+M839*'Part 3 Portfolio Analysis'!$C$121+'Part 3 Portfolio Analysis'!$D$121*T839+AA839*'Part 3 Portfolio Analysis'!$E$121+'Part 3 Portfolio Analysis'!$F$121*AH839</f>
        <v>1.115536E-2</v>
      </c>
      <c r="AM839" s="91"/>
      <c r="AN839" s="90">
        <v>45888</v>
      </c>
      <c r="AO839" s="91">
        <v>24891.349610000001</v>
      </c>
      <c r="AP839" s="91">
        <v>24980.650389999999</v>
      </c>
      <c r="AQ839" s="91">
        <v>24980.650389999999</v>
      </c>
      <c r="AR839" s="91">
        <v>252300</v>
      </c>
      <c r="AS839" s="91">
        <v>4.1999999999999997E-3</v>
      </c>
    </row>
    <row r="840" spans="1:45" x14ac:dyDescent="0.55000000000000004">
      <c r="A840" s="90">
        <v>45889</v>
      </c>
      <c r="B840" s="91">
        <v>5744.5</v>
      </c>
      <c r="C840" s="91">
        <v>5745.5</v>
      </c>
      <c r="D840" s="91">
        <v>5745.5</v>
      </c>
      <c r="E840" s="91">
        <v>136215</v>
      </c>
      <c r="F840" s="91">
        <v>3.3E-3</v>
      </c>
      <c r="H840" s="90">
        <v>45889</v>
      </c>
      <c r="I840" s="91">
        <v>1413</v>
      </c>
      <c r="J840" s="91">
        <v>1413</v>
      </c>
      <c r="K840" s="91">
        <v>1413</v>
      </c>
      <c r="L840" s="91">
        <v>8725641</v>
      </c>
      <c r="M840" s="91">
        <v>-5.0000000000000001E-3</v>
      </c>
      <c r="O840" s="90">
        <v>45889</v>
      </c>
      <c r="P840" s="91">
        <v>993.5</v>
      </c>
      <c r="Q840" s="91">
        <v>994.09997559999999</v>
      </c>
      <c r="R840" s="91">
        <v>994.09997559999999</v>
      </c>
      <c r="S840" s="91">
        <v>9950228</v>
      </c>
      <c r="T840" s="91">
        <v>-1.5E-3</v>
      </c>
      <c r="V840" s="90">
        <v>45889</v>
      </c>
      <c r="W840" s="91">
        <v>1440.6999510000001</v>
      </c>
      <c r="X840" s="91">
        <v>1496.1999510000001</v>
      </c>
      <c r="Y840" s="91">
        <v>1473.640259</v>
      </c>
      <c r="Z840" s="91">
        <v>10413061</v>
      </c>
      <c r="AA840" s="91">
        <v>3.9E-2</v>
      </c>
      <c r="AB840" s="91"/>
      <c r="AC840" s="90">
        <v>45889</v>
      </c>
      <c r="AD840" s="91">
        <v>5496</v>
      </c>
      <c r="AE840" s="91">
        <v>5453</v>
      </c>
      <c r="AF840" s="91">
        <v>5453</v>
      </c>
      <c r="AG840" s="91">
        <v>636301</v>
      </c>
      <c r="AH840" s="91">
        <v>-7.7999999999999996E-3</v>
      </c>
      <c r="AI840" s="91"/>
      <c r="AJ840" s="91">
        <f>(F840*'Part 3 Portfolio Analysis'!$B$8+M840*'Part 3 Portfolio Analysis'!$C$8+T840*'Part 3 Portfolio Analysis'!$D$8+AA840*'Part 3 Portfolio Analysis'!$E$8+AH840*'Part 3 Portfolio Analysis'!$F$8)/100</f>
        <v>5.1275554557779239E-3</v>
      </c>
      <c r="AK840" s="91">
        <f>'Part 3 Portfolio Analysis'!$B$107*F840+M840*'Part 3 Portfolio Analysis'!$C$107+T840*'Part 3 Portfolio Analysis'!$D$107+AA840*'Part 3 Portfolio Analysis'!$E$107+AH840*'Part 3 Portfolio Analysis'!$F$107</f>
        <v>7.3090000000000004E-4</v>
      </c>
      <c r="AL840" s="91">
        <f>F840*'Part 3 Portfolio Analysis'!$B$121+M840*'Part 3 Portfolio Analysis'!$C$121+'Part 3 Portfolio Analysis'!$D$121*T840+AA840*'Part 3 Portfolio Analysis'!$E$121+'Part 3 Portfolio Analysis'!$F$121*AH840</f>
        <v>5.3609000000000009E-3</v>
      </c>
      <c r="AM840" s="91"/>
      <c r="AN840" s="90">
        <v>45889</v>
      </c>
      <c r="AO840" s="91">
        <v>24965.800780000001</v>
      </c>
      <c r="AP840" s="91">
        <v>25050.550780000001</v>
      </c>
      <c r="AQ840" s="91">
        <v>25050.550780000001</v>
      </c>
      <c r="AR840" s="91">
        <v>287100</v>
      </c>
      <c r="AS840" s="91">
        <v>2.8E-3</v>
      </c>
    </row>
    <row r="841" spans="1:45" x14ac:dyDescent="0.55000000000000004">
      <c r="A841" s="90">
        <v>45890</v>
      </c>
      <c r="B841" s="91">
        <v>5760</v>
      </c>
      <c r="C841" s="91">
        <v>5659</v>
      </c>
      <c r="D841" s="91">
        <v>5659</v>
      </c>
      <c r="E841" s="91">
        <v>124725</v>
      </c>
      <c r="F841" s="91">
        <v>-1.5100000000000001E-2</v>
      </c>
      <c r="H841" s="90">
        <v>45890</v>
      </c>
      <c r="I841" s="91">
        <v>1425</v>
      </c>
      <c r="J841" s="91">
        <v>1424.8000489999999</v>
      </c>
      <c r="K841" s="91">
        <v>1424.8000489999999</v>
      </c>
      <c r="L841" s="91">
        <v>11021323</v>
      </c>
      <c r="M841" s="91">
        <v>8.3999999999999995E-3</v>
      </c>
      <c r="O841" s="90">
        <v>45890</v>
      </c>
      <c r="P841" s="91">
        <v>998.75</v>
      </c>
      <c r="Q841" s="91">
        <v>995.59997559999999</v>
      </c>
      <c r="R841" s="91">
        <v>995.59997559999999</v>
      </c>
      <c r="S841" s="91">
        <v>12439850</v>
      </c>
      <c r="T841" s="91">
        <v>1.5E-3</v>
      </c>
      <c r="V841" s="90">
        <v>45890</v>
      </c>
      <c r="W841" s="91">
        <v>1508</v>
      </c>
      <c r="X841" s="91">
        <v>1496.400024</v>
      </c>
      <c r="Y841" s="91">
        <v>1473.83728</v>
      </c>
      <c r="Z841" s="91">
        <v>6565539</v>
      </c>
      <c r="AA841" s="91">
        <v>1E-4</v>
      </c>
      <c r="AB841" s="91"/>
      <c r="AC841" s="90">
        <v>45890</v>
      </c>
      <c r="AD841" s="91">
        <v>5457</v>
      </c>
      <c r="AE841" s="91">
        <v>5452.5</v>
      </c>
      <c r="AF841" s="91">
        <v>5452.5</v>
      </c>
      <c r="AG841" s="91">
        <v>607314</v>
      </c>
      <c r="AH841" s="91">
        <v>-1E-4</v>
      </c>
      <c r="AI841" s="91"/>
      <c r="AJ841" s="91">
        <f>(F841*'Part 3 Portfolio Analysis'!$B$8+M841*'Part 3 Portfolio Analysis'!$C$8+T841*'Part 3 Portfolio Analysis'!$D$8+AA841*'Part 3 Portfolio Analysis'!$E$8+AH841*'Part 3 Portfolio Analysis'!$F$8)/100</f>
        <v>-1.2198318359423249E-3</v>
      </c>
      <c r="AK841" s="91">
        <f>'Part 3 Portfolio Analysis'!$B$107*F841+M841*'Part 3 Portfolio Analysis'!$C$107+T841*'Part 3 Portfolio Analysis'!$D$107+AA841*'Part 3 Portfolio Analysis'!$E$107+AH841*'Part 3 Portfolio Analysis'!$F$107</f>
        <v>1.2850000000000003E-4</v>
      </c>
      <c r="AL841" s="91">
        <f>F841*'Part 3 Portfolio Analysis'!$B$121+M841*'Part 3 Portfolio Analysis'!$C$121+'Part 3 Portfolio Analysis'!$D$121*T841+AA841*'Part 3 Portfolio Analysis'!$E$121+'Part 3 Portfolio Analysis'!$F$121*AH841</f>
        <v>2.7087999999999995E-3</v>
      </c>
      <c r="AM841" s="91"/>
      <c r="AN841" s="90">
        <v>45890</v>
      </c>
      <c r="AO841" s="91">
        <v>25142</v>
      </c>
      <c r="AP841" s="91">
        <v>25083.75</v>
      </c>
      <c r="AQ841" s="91">
        <v>25083.75</v>
      </c>
      <c r="AR841" s="91">
        <v>226500</v>
      </c>
      <c r="AS841" s="91">
        <v>1.2999999999999999E-3</v>
      </c>
    </row>
    <row r="842" spans="1:45" x14ac:dyDescent="0.55000000000000004">
      <c r="A842" s="90">
        <v>45891</v>
      </c>
      <c r="B842" s="91">
        <v>5659</v>
      </c>
      <c r="C842" s="91">
        <v>5579.5</v>
      </c>
      <c r="D842" s="91">
        <v>5579.5</v>
      </c>
      <c r="E842" s="91">
        <v>163567</v>
      </c>
      <c r="F842" s="91">
        <v>-1.4E-2</v>
      </c>
      <c r="H842" s="90">
        <v>45891</v>
      </c>
      <c r="I842" s="91">
        <v>1420</v>
      </c>
      <c r="J842" s="91">
        <v>1409.1999510000001</v>
      </c>
      <c r="K842" s="91">
        <v>1409.1999510000001</v>
      </c>
      <c r="L842" s="91">
        <v>5818868</v>
      </c>
      <c r="M842" s="91">
        <v>-1.09E-2</v>
      </c>
      <c r="O842" s="90">
        <v>45891</v>
      </c>
      <c r="P842" s="91">
        <v>994.95001219999995</v>
      </c>
      <c r="Q842" s="91">
        <v>982.29998780000005</v>
      </c>
      <c r="R842" s="91">
        <v>982.29998780000005</v>
      </c>
      <c r="S842" s="91">
        <v>19833502</v>
      </c>
      <c r="T842" s="91">
        <v>-1.34E-2</v>
      </c>
      <c r="V842" s="90">
        <v>45891</v>
      </c>
      <c r="W842" s="91">
        <v>1498.099976</v>
      </c>
      <c r="X842" s="91">
        <v>1487.5</v>
      </c>
      <c r="Y842" s="91">
        <v>1465.0714109999999</v>
      </c>
      <c r="Z842" s="91">
        <v>5543397</v>
      </c>
      <c r="AA842" s="91">
        <v>-5.8999999999999999E-3</v>
      </c>
      <c r="AB842" s="91"/>
      <c r="AC842" s="90">
        <v>45891</v>
      </c>
      <c r="AD842" s="91">
        <v>5452.5</v>
      </c>
      <c r="AE842" s="91">
        <v>5418</v>
      </c>
      <c r="AF842" s="91">
        <v>5418</v>
      </c>
      <c r="AG842" s="91">
        <v>443698</v>
      </c>
      <c r="AH842" s="91">
        <v>-6.3E-3</v>
      </c>
      <c r="AI842" s="91"/>
      <c r="AJ842" s="91">
        <f>(F842*'Part 3 Portfolio Analysis'!$B$8+M842*'Part 3 Portfolio Analysis'!$C$8+T842*'Part 3 Portfolio Analysis'!$D$8+AA842*'Part 3 Portfolio Analysis'!$E$8+AH842*'Part 3 Portfolio Analysis'!$F$8)/100</f>
        <v>-1.1397405356315124E-2</v>
      </c>
      <c r="AK842" s="91">
        <f>'Part 3 Portfolio Analysis'!$B$107*F842+M842*'Part 3 Portfolio Analysis'!$C$107+T842*'Part 3 Portfolio Analysis'!$D$107+AA842*'Part 3 Portfolio Analysis'!$E$107+AH842*'Part 3 Portfolio Analysis'!$F$107</f>
        <v>-1.0186300000000001E-2</v>
      </c>
      <c r="AL842" s="91">
        <f>F842*'Part 3 Portfolio Analysis'!$B$121+M842*'Part 3 Portfolio Analysis'!$C$121+'Part 3 Portfolio Analysis'!$D$121*T842+AA842*'Part 3 Portfolio Analysis'!$E$121+'Part 3 Portfolio Analysis'!$F$121*AH842</f>
        <v>-1.07143E-2</v>
      </c>
      <c r="AM842" s="91"/>
      <c r="AN842" s="90">
        <v>45891</v>
      </c>
      <c r="AO842" s="91">
        <v>25064.150389999999</v>
      </c>
      <c r="AP842" s="91">
        <v>24870.099610000001</v>
      </c>
      <c r="AQ842" s="91">
        <v>24870.099610000001</v>
      </c>
      <c r="AR842" s="91">
        <v>210200</v>
      </c>
      <c r="AS842" s="91">
        <v>-8.5000000000000006E-3</v>
      </c>
    </row>
    <row r="843" spans="1:45" x14ac:dyDescent="0.55000000000000004">
      <c r="A843" s="90">
        <v>45894</v>
      </c>
      <c r="B843" s="91">
        <v>5600</v>
      </c>
      <c r="C843" s="91">
        <v>5546.5</v>
      </c>
      <c r="D843" s="91">
        <v>5546.5</v>
      </c>
      <c r="E843" s="91">
        <v>149309</v>
      </c>
      <c r="F843" s="91">
        <v>-5.8999999999999999E-3</v>
      </c>
      <c r="H843" s="90">
        <v>45894</v>
      </c>
      <c r="I843" s="91">
        <v>1414.6999510000001</v>
      </c>
      <c r="J843" s="91">
        <v>1412.599976</v>
      </c>
      <c r="K843" s="91">
        <v>1412.599976</v>
      </c>
      <c r="L843" s="91">
        <v>5979407</v>
      </c>
      <c r="M843" s="91">
        <v>2.3999999999999998E-3</v>
      </c>
      <c r="O843" s="90">
        <v>45894</v>
      </c>
      <c r="P843" s="91">
        <v>980.09997559999999</v>
      </c>
      <c r="Q843" s="91">
        <v>982.04998780000005</v>
      </c>
      <c r="R843" s="91">
        <v>982.04998780000005</v>
      </c>
      <c r="S843" s="91">
        <v>17518044</v>
      </c>
      <c r="T843" s="91">
        <v>-2.9999999999999997E-4</v>
      </c>
      <c r="V843" s="90">
        <v>45894</v>
      </c>
      <c r="W843" s="91">
        <v>1506.6999510000001</v>
      </c>
      <c r="X843" s="91">
        <v>1532.099976</v>
      </c>
      <c r="Y843" s="91">
        <v>1508.9989009999999</v>
      </c>
      <c r="Z843" s="91">
        <v>10694531</v>
      </c>
      <c r="AA843" s="91">
        <v>0.03</v>
      </c>
      <c r="AB843" s="91"/>
      <c r="AC843" s="90">
        <v>45894</v>
      </c>
      <c r="AD843" s="91">
        <v>5460</v>
      </c>
      <c r="AE843" s="91">
        <v>5423</v>
      </c>
      <c r="AF843" s="91">
        <v>5423</v>
      </c>
      <c r="AG843" s="91">
        <v>656081</v>
      </c>
      <c r="AH843" s="91">
        <v>8.9999999999999998E-4</v>
      </c>
      <c r="AI843" s="91"/>
      <c r="AJ843" s="91">
        <f>(F843*'Part 3 Portfolio Analysis'!$B$8+M843*'Part 3 Portfolio Analysis'!$C$8+T843*'Part 3 Portfolio Analysis'!$D$8+AA843*'Part 3 Portfolio Analysis'!$E$8+AH843*'Part 3 Portfolio Analysis'!$F$8)/100</f>
        <v>3.8867118426845798E-3</v>
      </c>
      <c r="AK843" s="91">
        <f>'Part 3 Portfolio Analysis'!$B$107*F843+M843*'Part 3 Portfolio Analysis'!$C$107+T843*'Part 3 Portfolio Analysis'!$D$107+AA843*'Part 3 Portfolio Analysis'!$E$107+AH843*'Part 3 Portfolio Analysis'!$F$107</f>
        <v>2.8695000000000001E-3</v>
      </c>
      <c r="AL843" s="91">
        <f>F843*'Part 3 Portfolio Analysis'!$B$121+M843*'Part 3 Portfolio Analysis'!$C$121+'Part 3 Portfolio Analysis'!$D$121*T843+AA843*'Part 3 Portfolio Analysis'!$E$121+'Part 3 Portfolio Analysis'!$F$121*AH843</f>
        <v>6.4640399999999999E-3</v>
      </c>
      <c r="AM843" s="91"/>
      <c r="AN843" s="90">
        <v>45894</v>
      </c>
      <c r="AO843" s="91">
        <v>24949.150389999999</v>
      </c>
      <c r="AP843" s="91">
        <v>24967.75</v>
      </c>
      <c r="AQ843" s="91">
        <v>24967.75</v>
      </c>
      <c r="AR843" s="91">
        <v>213000</v>
      </c>
      <c r="AS843" s="91">
        <v>3.8999999999999998E-3</v>
      </c>
    </row>
    <row r="844" spans="1:45" x14ac:dyDescent="0.55000000000000004">
      <c r="A844" s="90">
        <v>45895</v>
      </c>
      <c r="B844" s="91">
        <v>5540</v>
      </c>
      <c r="C844" s="91">
        <v>5478.5</v>
      </c>
      <c r="D844" s="91">
        <v>5478.5</v>
      </c>
      <c r="E844" s="91">
        <v>156243</v>
      </c>
      <c r="F844" s="91">
        <v>-1.23E-2</v>
      </c>
      <c r="H844" s="90">
        <v>45895</v>
      </c>
      <c r="I844" s="91">
        <v>1408</v>
      </c>
      <c r="J844" s="91">
        <v>1384.900024</v>
      </c>
      <c r="K844" s="91">
        <v>1384.900024</v>
      </c>
      <c r="L844" s="91">
        <v>12145259</v>
      </c>
      <c r="M844" s="91">
        <v>-1.9599999999999999E-2</v>
      </c>
      <c r="O844" s="90">
        <v>45895</v>
      </c>
      <c r="P844" s="91">
        <v>979.5</v>
      </c>
      <c r="Q844" s="91">
        <v>973.40002440000001</v>
      </c>
      <c r="R844" s="91">
        <v>973.40002440000001</v>
      </c>
      <c r="S844" s="91">
        <v>16917731</v>
      </c>
      <c r="T844" s="91">
        <v>-8.8000000000000005E-3</v>
      </c>
      <c r="V844" s="90">
        <v>45895</v>
      </c>
      <c r="W844" s="91">
        <v>1523</v>
      </c>
      <c r="X844" s="91">
        <v>1529.599976</v>
      </c>
      <c r="Y844" s="91">
        <v>1506.536621</v>
      </c>
      <c r="Z844" s="91">
        <v>15994798</v>
      </c>
      <c r="AA844" s="91">
        <v>-1.6000000000000001E-3</v>
      </c>
      <c r="AB844" s="91"/>
      <c r="AC844" s="90">
        <v>45895</v>
      </c>
      <c r="AD844" s="91">
        <v>5420</v>
      </c>
      <c r="AE844" s="91">
        <v>5295</v>
      </c>
      <c r="AF844" s="91">
        <v>5295</v>
      </c>
      <c r="AG844" s="91">
        <v>949915</v>
      </c>
      <c r="AH844" s="91">
        <v>-2.3599999999999999E-2</v>
      </c>
      <c r="AI844" s="91"/>
      <c r="AJ844" s="91">
        <f>(F844*'Part 3 Portfolio Analysis'!$B$8+M844*'Part 3 Portfolio Analysis'!$C$8+T844*'Part 3 Portfolio Analysis'!$D$8+AA844*'Part 3 Portfolio Analysis'!$E$8+AH844*'Part 3 Portfolio Analysis'!$F$8)/100</f>
        <v>-1.2750712964456396E-2</v>
      </c>
      <c r="AK844" s="91">
        <f>'Part 3 Portfolio Analysis'!$B$107*F844+M844*'Part 3 Portfolio Analysis'!$C$107+T844*'Part 3 Portfolio Analysis'!$D$107+AA844*'Part 3 Portfolio Analysis'!$E$107+AH844*'Part 3 Portfolio Analysis'!$F$107</f>
        <v>-1.5820000000000001E-2</v>
      </c>
      <c r="AL844" s="91">
        <f>F844*'Part 3 Portfolio Analysis'!$B$121+M844*'Part 3 Portfolio Analysis'!$C$121+'Part 3 Portfolio Analysis'!$D$121*T844+AA844*'Part 3 Portfolio Analysis'!$E$121+'Part 3 Portfolio Analysis'!$F$121*AH844</f>
        <v>-1.2567140000000001E-2</v>
      </c>
      <c r="AM844" s="91"/>
      <c r="AN844" s="90">
        <v>45895</v>
      </c>
      <c r="AO844" s="91">
        <v>24899.5</v>
      </c>
      <c r="AP844" s="91">
        <v>24712.050780000001</v>
      </c>
      <c r="AQ844" s="91">
        <v>24712.050780000001</v>
      </c>
      <c r="AR844" s="91">
        <v>750500</v>
      </c>
      <c r="AS844" s="91">
        <v>-1.0200000000000001E-2</v>
      </c>
    </row>
    <row r="845" spans="1:45" x14ac:dyDescent="0.55000000000000004">
      <c r="A845" s="90">
        <v>45897</v>
      </c>
      <c r="B845" s="91">
        <v>5490</v>
      </c>
      <c r="C845" s="91">
        <v>5338</v>
      </c>
      <c r="D845" s="91">
        <v>5338</v>
      </c>
      <c r="E845" s="91">
        <v>146049</v>
      </c>
      <c r="F845" s="91">
        <v>-2.5600000000000001E-2</v>
      </c>
      <c r="H845" s="90">
        <v>45897</v>
      </c>
      <c r="I845" s="91">
        <v>1389.900024</v>
      </c>
      <c r="J845" s="91">
        <v>1385.900024</v>
      </c>
      <c r="K845" s="91">
        <v>1385.900024</v>
      </c>
      <c r="L845" s="91">
        <v>13161813</v>
      </c>
      <c r="M845" s="91">
        <v>6.9999999999999999E-4</v>
      </c>
      <c r="O845" s="90">
        <v>45897</v>
      </c>
      <c r="P845" s="91">
        <v>967</v>
      </c>
      <c r="Q845" s="91">
        <v>957.79998780000005</v>
      </c>
      <c r="R845" s="91">
        <v>957.79998780000005</v>
      </c>
      <c r="S845" s="91">
        <v>25438255</v>
      </c>
      <c r="T845" s="91">
        <v>-1.6E-2</v>
      </c>
      <c r="V845" s="90">
        <v>45897</v>
      </c>
      <c r="W845" s="91">
        <v>1529.599976</v>
      </c>
      <c r="X845" s="91">
        <v>1500.099976</v>
      </c>
      <c r="Y845" s="91">
        <v>1477.4814449999999</v>
      </c>
      <c r="Z845" s="91">
        <v>5443364</v>
      </c>
      <c r="AA845" s="91">
        <v>-1.9300000000000001E-2</v>
      </c>
      <c r="AB845" s="91"/>
      <c r="AC845" s="90">
        <v>45897</v>
      </c>
      <c r="AD845" s="91">
        <v>5295</v>
      </c>
      <c r="AE845" s="91">
        <v>5235.5</v>
      </c>
      <c r="AF845" s="91">
        <v>5235.5</v>
      </c>
      <c r="AG845" s="91">
        <v>784214</v>
      </c>
      <c r="AH845" s="91">
        <v>-1.12E-2</v>
      </c>
      <c r="AI845" s="91"/>
      <c r="AJ845" s="91">
        <f>(F845*'Part 3 Portfolio Analysis'!$B$8+M845*'Part 3 Portfolio Analysis'!$C$8+T845*'Part 3 Portfolio Analysis'!$D$8+AA845*'Part 3 Portfolio Analysis'!$E$8+AH845*'Part 3 Portfolio Analysis'!$F$8)/100</f>
        <v>-1.3310749297076272E-2</v>
      </c>
      <c r="AK845" s="91">
        <f>'Part 3 Portfolio Analysis'!$B$107*F845+M845*'Part 3 Portfolio Analysis'!$C$107+T845*'Part 3 Portfolio Analysis'!$D$107+AA845*'Part 3 Portfolio Analysis'!$E$107+AH845*'Part 3 Portfolio Analysis'!$F$107</f>
        <v>-1.1621300000000001E-2</v>
      </c>
      <c r="AL845" s="91">
        <f>F845*'Part 3 Portfolio Analysis'!$B$121+M845*'Part 3 Portfolio Analysis'!$C$121+'Part 3 Portfolio Analysis'!$D$121*T845+AA845*'Part 3 Portfolio Analysis'!$E$121+'Part 3 Portfolio Analysis'!$F$121*AH845</f>
        <v>-1.0316040000000002E-2</v>
      </c>
      <c r="AM845" s="91"/>
      <c r="AN845" s="90">
        <v>45897</v>
      </c>
      <c r="AO845" s="91">
        <v>24695.800780000001</v>
      </c>
      <c r="AP845" s="91">
        <v>24500.900389999999</v>
      </c>
      <c r="AQ845" s="91">
        <v>24500.900389999999</v>
      </c>
      <c r="AR845" s="91">
        <v>326600</v>
      </c>
      <c r="AS845" s="91">
        <v>-8.5000000000000006E-3</v>
      </c>
    </row>
    <row r="846" spans="1:45" x14ac:dyDescent="0.55000000000000004">
      <c r="A846" s="90">
        <v>45898</v>
      </c>
      <c r="B846" s="91">
        <v>5338</v>
      </c>
      <c r="C846" s="91">
        <v>5234</v>
      </c>
      <c r="D846" s="91">
        <v>5234</v>
      </c>
      <c r="E846" s="91">
        <v>201277</v>
      </c>
      <c r="F846" s="91">
        <v>-1.95E-2</v>
      </c>
      <c r="H846" s="90">
        <v>45898</v>
      </c>
      <c r="I846" s="91">
        <v>1381.099976</v>
      </c>
      <c r="J846" s="91">
        <v>1357.1999510000001</v>
      </c>
      <c r="K846" s="91">
        <v>1357.1999510000001</v>
      </c>
      <c r="L846" s="91">
        <v>18758842</v>
      </c>
      <c r="M846" s="91">
        <v>-2.07E-2</v>
      </c>
      <c r="O846" s="90">
        <v>45898</v>
      </c>
      <c r="P846" s="91">
        <v>954</v>
      </c>
      <c r="Q846" s="91">
        <v>951.59997559999999</v>
      </c>
      <c r="R846" s="91">
        <v>951.59997559999999</v>
      </c>
      <c r="S846" s="91">
        <v>14823813</v>
      </c>
      <c r="T846" s="91">
        <v>-6.4999999999999997E-3</v>
      </c>
      <c r="V846" s="90">
        <v>45898</v>
      </c>
      <c r="W846" s="91">
        <v>1501.900024</v>
      </c>
      <c r="X846" s="91">
        <v>1469.599976</v>
      </c>
      <c r="Y846" s="91">
        <v>1447.441284</v>
      </c>
      <c r="Z846" s="91">
        <v>8169075</v>
      </c>
      <c r="AA846" s="91">
        <v>-2.0299999999999999E-2</v>
      </c>
      <c r="AB846" s="91"/>
      <c r="AC846" s="90">
        <v>45898</v>
      </c>
      <c r="AD846" s="91">
        <v>5239</v>
      </c>
      <c r="AE846" s="91">
        <v>5298</v>
      </c>
      <c r="AF846" s="91">
        <v>5298</v>
      </c>
      <c r="AG846" s="91">
        <v>1333724</v>
      </c>
      <c r="AH846" s="91">
        <v>1.1900000000000001E-2</v>
      </c>
      <c r="AI846" s="91"/>
      <c r="AJ846" s="91">
        <f>(F846*'Part 3 Portfolio Analysis'!$B$8+M846*'Part 3 Portfolio Analysis'!$C$8+T846*'Part 3 Portfolio Analysis'!$D$8+AA846*'Part 3 Portfolio Analysis'!$E$8+AH846*'Part 3 Portfolio Analysis'!$F$8)/100</f>
        <v>-1.7588266970068163E-2</v>
      </c>
      <c r="AK846" s="91">
        <f>'Part 3 Portfolio Analysis'!$B$107*F846+M846*'Part 3 Portfolio Analysis'!$C$107+T846*'Part 3 Portfolio Analysis'!$D$107+AA846*'Part 3 Portfolio Analysis'!$E$107+AH846*'Part 3 Portfolio Analysis'!$F$107</f>
        <v>-1.00278E-2</v>
      </c>
      <c r="AL846" s="91">
        <f>F846*'Part 3 Portfolio Analysis'!$B$121+M846*'Part 3 Portfolio Analysis'!$C$121+'Part 3 Portfolio Analysis'!$D$121*T846+AA846*'Part 3 Portfolio Analysis'!$E$121+'Part 3 Portfolio Analysis'!$F$121*AH846</f>
        <v>-1.5804839999999997E-2</v>
      </c>
      <c r="AM846" s="91"/>
      <c r="AN846" s="90">
        <v>45898</v>
      </c>
      <c r="AO846" s="91">
        <v>24466.699219999999</v>
      </c>
      <c r="AP846" s="91">
        <v>24426.849610000001</v>
      </c>
      <c r="AQ846" s="91">
        <v>24426.849610000001</v>
      </c>
      <c r="AR846" s="91">
        <v>325500</v>
      </c>
      <c r="AS846" s="91">
        <v>-3.0000000000000001E-3</v>
      </c>
    </row>
    <row r="847" spans="1:45" x14ac:dyDescent="0.55000000000000004">
      <c r="A847" s="90">
        <v>45901</v>
      </c>
      <c r="B847" s="91">
        <v>5274.5</v>
      </c>
      <c r="C847" s="91">
        <v>5357</v>
      </c>
      <c r="D847" s="91">
        <v>5357</v>
      </c>
      <c r="E847" s="91">
        <v>162133</v>
      </c>
      <c r="F847" s="91">
        <v>2.35E-2</v>
      </c>
      <c r="H847" s="90">
        <v>45901</v>
      </c>
      <c r="I847" s="91">
        <v>1356</v>
      </c>
      <c r="J847" s="91">
        <v>1353.900024</v>
      </c>
      <c r="K847" s="91">
        <v>1353.900024</v>
      </c>
      <c r="L847" s="91">
        <v>11232238</v>
      </c>
      <c r="M847" s="91">
        <v>-2.3999999999999998E-3</v>
      </c>
      <c r="O847" s="90">
        <v>45901</v>
      </c>
      <c r="P847" s="91">
        <v>949.59997559999999</v>
      </c>
      <c r="Q847" s="91">
        <v>950.59997559999999</v>
      </c>
      <c r="R847" s="91">
        <v>950.59997559999999</v>
      </c>
      <c r="S847" s="91">
        <v>20178344</v>
      </c>
      <c r="T847" s="91">
        <v>-1.1000000000000001E-3</v>
      </c>
      <c r="V847" s="90">
        <v>45901</v>
      </c>
      <c r="W847" s="91">
        <v>1476.6999510000001</v>
      </c>
      <c r="X847" s="91">
        <v>1499.400024</v>
      </c>
      <c r="Y847" s="91">
        <v>1476.7921140000001</v>
      </c>
      <c r="Z847" s="91">
        <v>4546057</v>
      </c>
      <c r="AA847" s="91">
        <v>2.0299999999999999E-2</v>
      </c>
      <c r="AB847" s="91"/>
      <c r="AC847" s="90">
        <v>45901</v>
      </c>
      <c r="AD847" s="91">
        <v>5321</v>
      </c>
      <c r="AE847" s="91">
        <v>5450</v>
      </c>
      <c r="AF847" s="91">
        <v>5450</v>
      </c>
      <c r="AG847" s="91">
        <v>688959</v>
      </c>
      <c r="AH847" s="91">
        <v>2.87E-2</v>
      </c>
      <c r="AI847" s="91"/>
      <c r="AJ847" s="91">
        <f>(F847*'Part 3 Portfolio Analysis'!$B$8+M847*'Part 3 Portfolio Analysis'!$C$8+T847*'Part 3 Portfolio Analysis'!$D$8+AA847*'Part 3 Portfolio Analysis'!$E$8+AH847*'Part 3 Portfolio Analysis'!$F$8)/100</f>
        <v>9.5440074077626016E-3</v>
      </c>
      <c r="AK847" s="91">
        <f>'Part 3 Portfolio Analysis'!$B$107*F847+M847*'Part 3 Portfolio Analysis'!$C$107+T847*'Part 3 Portfolio Analysis'!$D$107+AA847*'Part 3 Portfolio Analysis'!$E$107+AH847*'Part 3 Portfolio Analysis'!$F$107</f>
        <v>1.2570700000000001E-2</v>
      </c>
      <c r="AL847" s="91">
        <f>F847*'Part 3 Portfolio Analysis'!$B$121+M847*'Part 3 Portfolio Analysis'!$C$121+'Part 3 Portfolio Analysis'!$D$121*T847+AA847*'Part 3 Portfolio Analysis'!$E$121+'Part 3 Portfolio Analysis'!$F$121*AH847</f>
        <v>5.4374000000000002E-3</v>
      </c>
      <c r="AM847" s="91"/>
      <c r="AN847" s="90">
        <v>45901</v>
      </c>
      <c r="AO847" s="91">
        <v>24432.699219999999</v>
      </c>
      <c r="AP847" s="91">
        <v>24625.050780000001</v>
      </c>
      <c r="AQ847" s="91">
        <v>24625.050780000001</v>
      </c>
      <c r="AR847" s="91">
        <v>229300</v>
      </c>
      <c r="AS847" s="91">
        <v>8.0999999999999996E-3</v>
      </c>
    </row>
    <row r="848" spans="1:45" x14ac:dyDescent="0.55000000000000004">
      <c r="A848" s="90">
        <v>45902</v>
      </c>
      <c r="B848" s="91">
        <v>5395</v>
      </c>
      <c r="C848" s="91">
        <v>5425.5</v>
      </c>
      <c r="D848" s="91">
        <v>5425.5</v>
      </c>
      <c r="E848" s="91">
        <v>162068</v>
      </c>
      <c r="F848" s="91">
        <v>1.2800000000000001E-2</v>
      </c>
      <c r="H848" s="90">
        <v>45902</v>
      </c>
      <c r="I848" s="91">
        <v>1354.8000489999999</v>
      </c>
      <c r="J848" s="91">
        <v>1366.5</v>
      </c>
      <c r="K848" s="91">
        <v>1366.5</v>
      </c>
      <c r="L848" s="91">
        <v>11517006</v>
      </c>
      <c r="M848" s="91">
        <v>9.2999999999999992E-3</v>
      </c>
      <c r="O848" s="90">
        <v>45902</v>
      </c>
      <c r="P848" s="91">
        <v>951</v>
      </c>
      <c r="Q848" s="91">
        <v>944.5</v>
      </c>
      <c r="R848" s="91">
        <v>944.5</v>
      </c>
      <c r="S848" s="91">
        <v>14196320</v>
      </c>
      <c r="T848" s="91">
        <v>-6.4000000000000003E-3</v>
      </c>
      <c r="V848" s="90">
        <v>45902</v>
      </c>
      <c r="W848" s="91">
        <v>1499.400024</v>
      </c>
      <c r="X848" s="91">
        <v>1498.6999510000001</v>
      </c>
      <c r="Y848" s="91">
        <v>1476.102539</v>
      </c>
      <c r="Z848" s="91">
        <v>5218763</v>
      </c>
      <c r="AA848" s="91">
        <v>-5.0000000000000001E-4</v>
      </c>
      <c r="AB848" s="91"/>
      <c r="AC848" s="90">
        <v>45902</v>
      </c>
      <c r="AD848" s="91">
        <v>5450</v>
      </c>
      <c r="AE848" s="91">
        <v>5412</v>
      </c>
      <c r="AF848" s="91">
        <v>5412</v>
      </c>
      <c r="AG848" s="91">
        <v>541160</v>
      </c>
      <c r="AH848" s="91">
        <v>-7.0000000000000001E-3</v>
      </c>
      <c r="AI848" s="91"/>
      <c r="AJ848" s="91">
        <f>(F848*'Part 3 Portfolio Analysis'!$B$8+M848*'Part 3 Portfolio Analysis'!$C$8+T848*'Part 3 Portfolio Analysis'!$D$8+AA848*'Part 3 Portfolio Analysis'!$E$8+AH848*'Part 3 Portfolio Analysis'!$F$8)/100</f>
        <v>5.9945819903312568E-3</v>
      </c>
      <c r="AK848" s="91">
        <f>'Part 3 Portfolio Analysis'!$B$107*F848+M848*'Part 3 Portfolio Analysis'!$C$107+T848*'Part 3 Portfolio Analysis'!$D$107+AA848*'Part 3 Portfolio Analysis'!$E$107+AH848*'Part 3 Portfolio Analysis'!$F$107</f>
        <v>2.4089000000000003E-3</v>
      </c>
      <c r="AL848" s="91">
        <f>F848*'Part 3 Portfolio Analysis'!$B$121+M848*'Part 3 Portfolio Analysis'!$C$121+'Part 3 Portfolio Analysis'!$D$121*T848+AA848*'Part 3 Portfolio Analysis'!$E$121+'Part 3 Portfolio Analysis'!$F$121*AH848</f>
        <v>2.9302399999999989E-3</v>
      </c>
      <c r="AM848" s="91"/>
      <c r="AN848" s="90">
        <v>45902</v>
      </c>
      <c r="AO848" s="91">
        <v>24653</v>
      </c>
      <c r="AP848" s="91">
        <v>24579.599610000001</v>
      </c>
      <c r="AQ848" s="91">
        <v>24579.599610000001</v>
      </c>
      <c r="AR848" s="91">
        <v>271600</v>
      </c>
      <c r="AS848" s="91">
        <v>-1.8E-3</v>
      </c>
    </row>
    <row r="849" spans="1:45" x14ac:dyDescent="0.55000000000000004">
      <c r="A849" s="90">
        <v>45903</v>
      </c>
      <c r="B849" s="91">
        <v>5449</v>
      </c>
      <c r="C849" s="91">
        <v>5427.5</v>
      </c>
      <c r="D849" s="91">
        <v>5427.5</v>
      </c>
      <c r="E849" s="91">
        <v>102124</v>
      </c>
      <c r="F849" s="91">
        <v>4.0000000000000002E-4</v>
      </c>
      <c r="H849" s="90">
        <v>45903</v>
      </c>
      <c r="I849" s="91">
        <v>1369.6999510000001</v>
      </c>
      <c r="J849" s="91">
        <v>1372.599976</v>
      </c>
      <c r="K849" s="91">
        <v>1372.599976</v>
      </c>
      <c r="L849" s="91">
        <v>7847563</v>
      </c>
      <c r="M849" s="91">
        <v>4.4999999999999997E-3</v>
      </c>
      <c r="O849" s="90">
        <v>45903</v>
      </c>
      <c r="P849" s="91">
        <v>945</v>
      </c>
      <c r="Q849" s="91">
        <v>954.45001219999995</v>
      </c>
      <c r="R849" s="91">
        <v>954.45001219999995</v>
      </c>
      <c r="S849" s="91">
        <v>16083481</v>
      </c>
      <c r="T849" s="91">
        <v>1.0500000000000001E-2</v>
      </c>
      <c r="V849" s="90">
        <v>45903</v>
      </c>
      <c r="W849" s="91">
        <v>1500</v>
      </c>
      <c r="X849" s="91">
        <v>1479.099976</v>
      </c>
      <c r="Y849" s="91">
        <v>1456.798096</v>
      </c>
      <c r="Z849" s="91">
        <v>4623483</v>
      </c>
      <c r="AA849" s="91">
        <v>-1.3100000000000001E-2</v>
      </c>
      <c r="AB849" s="91"/>
      <c r="AC849" s="90">
        <v>45903</v>
      </c>
      <c r="AD849" s="91">
        <v>5416</v>
      </c>
      <c r="AE849" s="91">
        <v>5479</v>
      </c>
      <c r="AF849" s="91">
        <v>5479</v>
      </c>
      <c r="AG849" s="91">
        <v>832845</v>
      </c>
      <c r="AH849" s="91">
        <v>1.24E-2</v>
      </c>
      <c r="AI849" s="91"/>
      <c r="AJ849" s="91">
        <f>(F849*'Part 3 Portfolio Analysis'!$B$8+M849*'Part 3 Portfolio Analysis'!$C$8+T849*'Part 3 Portfolio Analysis'!$D$8+AA849*'Part 3 Portfolio Analysis'!$E$8+AH849*'Part 3 Portfolio Analysis'!$F$8)/100</f>
        <v>1.5156567872280757E-3</v>
      </c>
      <c r="AK849" s="91">
        <f>'Part 3 Portfolio Analysis'!$B$107*F849+M849*'Part 3 Portfolio Analysis'!$C$107+T849*'Part 3 Portfolio Analysis'!$D$107+AA849*'Part 3 Portfolio Analysis'!$E$107+AH849*'Part 3 Portfolio Analysis'!$F$107</f>
        <v>4.9227999999999997E-3</v>
      </c>
      <c r="AL849" s="91">
        <f>F849*'Part 3 Portfolio Analysis'!$B$121+M849*'Part 3 Portfolio Analysis'!$C$121+'Part 3 Portfolio Analysis'!$D$121*T849+AA849*'Part 3 Portfolio Analysis'!$E$121+'Part 3 Portfolio Analysis'!$F$121*AH849</f>
        <v>2.4819600000000001E-3</v>
      </c>
      <c r="AM849" s="91"/>
      <c r="AN849" s="90">
        <v>45903</v>
      </c>
      <c r="AO849" s="91">
        <v>24616.5</v>
      </c>
      <c r="AP849" s="91">
        <v>24715.050780000001</v>
      </c>
      <c r="AQ849" s="91">
        <v>24715.050780000001</v>
      </c>
      <c r="AR849" s="91">
        <v>340300</v>
      </c>
      <c r="AS849" s="91">
        <v>5.4999999999999997E-3</v>
      </c>
    </row>
    <row r="850" spans="1:45" x14ac:dyDescent="0.55000000000000004">
      <c r="A850" s="90">
        <v>45904</v>
      </c>
      <c r="B850" s="91">
        <v>5473</v>
      </c>
      <c r="C850" s="91">
        <v>5428</v>
      </c>
      <c r="D850" s="91">
        <v>5428</v>
      </c>
      <c r="E850" s="91">
        <v>149976</v>
      </c>
      <c r="F850" s="91">
        <v>1E-4</v>
      </c>
      <c r="H850" s="90">
        <v>45904</v>
      </c>
      <c r="I850" s="91">
        <v>1371.8000489999999</v>
      </c>
      <c r="J850" s="91">
        <v>1359.3000489999999</v>
      </c>
      <c r="K850" s="91">
        <v>1359.3000489999999</v>
      </c>
      <c r="L850" s="91">
        <v>13223177</v>
      </c>
      <c r="M850" s="91">
        <v>-9.7000000000000003E-3</v>
      </c>
      <c r="O850" s="90">
        <v>45904</v>
      </c>
      <c r="P850" s="91">
        <v>960.20001219999995</v>
      </c>
      <c r="Q850" s="91">
        <v>961.25</v>
      </c>
      <c r="R850" s="91">
        <v>961.25</v>
      </c>
      <c r="S850" s="91">
        <v>17597657</v>
      </c>
      <c r="T850" s="91">
        <v>7.1000000000000004E-3</v>
      </c>
      <c r="V850" s="90">
        <v>45904</v>
      </c>
      <c r="W850" s="91">
        <v>1484</v>
      </c>
      <c r="X850" s="91">
        <v>1463</v>
      </c>
      <c r="Y850" s="91">
        <v>1440.940918</v>
      </c>
      <c r="Z850" s="91">
        <v>5787724</v>
      </c>
      <c r="AA850" s="91">
        <v>-1.09E-2</v>
      </c>
      <c r="AB850" s="91"/>
      <c r="AC850" s="90">
        <v>45904</v>
      </c>
      <c r="AD850" s="91">
        <v>5525</v>
      </c>
      <c r="AE850" s="91">
        <v>5529</v>
      </c>
      <c r="AF850" s="91">
        <v>5529</v>
      </c>
      <c r="AG850" s="91">
        <v>1412461</v>
      </c>
      <c r="AH850" s="91">
        <v>9.1000000000000004E-3</v>
      </c>
      <c r="AI850" s="91"/>
      <c r="AJ850" s="91">
        <f>(F850*'Part 3 Portfolio Analysis'!$B$8+M850*'Part 3 Portfolio Analysis'!$C$8+T850*'Part 3 Portfolio Analysis'!$D$8+AA850*'Part 3 Portfolio Analysis'!$E$8+AH850*'Part 3 Portfolio Analysis'!$F$8)/100</f>
        <v>-3.9669232966723193E-3</v>
      </c>
      <c r="AK850" s="91">
        <f>'Part 3 Portfolio Analysis'!$B$107*F850+M850*'Part 3 Portfolio Analysis'!$C$107+T850*'Part 3 Portfolio Analysis'!$D$107+AA850*'Part 3 Portfolio Analysis'!$E$107+AH850*'Part 3 Portfolio Analysis'!$F$107</f>
        <v>-7.1440000000000002E-4</v>
      </c>
      <c r="AL850" s="91">
        <f>F850*'Part 3 Portfolio Analysis'!$B$121+M850*'Part 3 Portfolio Analysis'!$C$121+'Part 3 Portfolio Analysis'!$D$121*T850+AA850*'Part 3 Portfolio Analysis'!$E$121+'Part 3 Portfolio Analysis'!$F$121*AH850</f>
        <v>-4.072280000000001E-3</v>
      </c>
      <c r="AM850" s="91"/>
      <c r="AN850" s="90">
        <v>45904</v>
      </c>
      <c r="AO850" s="91">
        <v>24980.75</v>
      </c>
      <c r="AP850" s="91">
        <v>24734.300780000001</v>
      </c>
      <c r="AQ850" s="91">
        <v>24734.300780000001</v>
      </c>
      <c r="AR850" s="91">
        <v>314100</v>
      </c>
      <c r="AS850" s="91">
        <v>8.0000000000000004E-4</v>
      </c>
    </row>
    <row r="851" spans="1:45" x14ac:dyDescent="0.55000000000000004">
      <c r="A851" s="90">
        <v>45905</v>
      </c>
      <c r="B851" s="91">
        <v>5438</v>
      </c>
      <c r="C851" s="91">
        <v>5451</v>
      </c>
      <c r="D851" s="91">
        <v>5451</v>
      </c>
      <c r="E851" s="91">
        <v>129172</v>
      </c>
      <c r="F851" s="91">
        <v>4.1999999999999997E-3</v>
      </c>
      <c r="H851" s="90">
        <v>45905</v>
      </c>
      <c r="I851" s="91">
        <v>1363</v>
      </c>
      <c r="J851" s="91">
        <v>1375</v>
      </c>
      <c r="K851" s="91">
        <v>1375</v>
      </c>
      <c r="L851" s="91">
        <v>5777575</v>
      </c>
      <c r="M851" s="91">
        <v>1.1599999999999999E-2</v>
      </c>
      <c r="O851" s="90">
        <v>45905</v>
      </c>
      <c r="P851" s="91">
        <v>967.5</v>
      </c>
      <c r="Q851" s="91">
        <v>963.40002440000001</v>
      </c>
      <c r="R851" s="91">
        <v>963.40002440000001</v>
      </c>
      <c r="S851" s="91">
        <v>11602111</v>
      </c>
      <c r="T851" s="91">
        <v>2.2000000000000001E-3</v>
      </c>
      <c r="V851" s="90">
        <v>45905</v>
      </c>
      <c r="W851" s="91">
        <v>1470</v>
      </c>
      <c r="X851" s="91">
        <v>1444.599976</v>
      </c>
      <c r="Y851" s="91">
        <v>1422.818237</v>
      </c>
      <c r="Z851" s="91">
        <v>5466487</v>
      </c>
      <c r="AA851" s="91">
        <v>-1.26E-2</v>
      </c>
      <c r="AB851" s="91"/>
      <c r="AC851" s="90">
        <v>45905</v>
      </c>
      <c r="AD851" s="91">
        <v>5557</v>
      </c>
      <c r="AE851" s="91">
        <v>5528.5</v>
      </c>
      <c r="AF851" s="91">
        <v>5528.5</v>
      </c>
      <c r="AG851" s="91">
        <v>622758</v>
      </c>
      <c r="AH851" s="91">
        <v>-1E-4</v>
      </c>
      <c r="AI851" s="91"/>
      <c r="AJ851" s="91">
        <f>(F851*'Part 3 Portfolio Analysis'!$B$8+M851*'Part 3 Portfolio Analysis'!$C$8+T851*'Part 3 Portfolio Analysis'!$D$8+AA851*'Part 3 Portfolio Analysis'!$E$8+AH851*'Part 3 Portfolio Analysis'!$F$8)/100</f>
        <v>3.8030171418939633E-3</v>
      </c>
      <c r="AK851" s="91">
        <f>'Part 3 Portfolio Analysis'!$B$107*F851+M851*'Part 3 Portfolio Analysis'!$C$107+T851*'Part 3 Portfolio Analysis'!$D$107+AA851*'Part 3 Portfolio Analysis'!$E$107+AH851*'Part 3 Portfolio Analysis'!$F$107</f>
        <v>3.4426000000000001E-3</v>
      </c>
      <c r="AL851" s="91">
        <f>F851*'Part 3 Portfolio Analysis'!$B$121+M851*'Part 3 Portfolio Analysis'!$C$121+'Part 3 Portfolio Analysis'!$D$121*T851+AA851*'Part 3 Portfolio Analysis'!$E$121+'Part 3 Portfolio Analysis'!$F$121*AH851</f>
        <v>3.2883799999999992E-3</v>
      </c>
      <c r="AM851" s="91"/>
      <c r="AN851" s="90">
        <v>45905</v>
      </c>
      <c r="AO851" s="91">
        <v>24818.849610000001</v>
      </c>
      <c r="AP851" s="91">
        <v>24741</v>
      </c>
      <c r="AQ851" s="91">
        <v>24741</v>
      </c>
      <c r="AR851" s="91">
        <v>210100</v>
      </c>
      <c r="AS851" s="91">
        <v>2.9999999999999997E-4</v>
      </c>
    </row>
    <row r="852" spans="1:45" x14ac:dyDescent="0.55000000000000004">
      <c r="A852" s="90">
        <v>45908</v>
      </c>
      <c r="B852" s="91">
        <v>5480</v>
      </c>
      <c r="C852" s="91">
        <v>5469.5</v>
      </c>
      <c r="D852" s="91">
        <v>5469.5</v>
      </c>
      <c r="E852" s="91">
        <v>67959</v>
      </c>
      <c r="F852" s="91">
        <v>3.3999999999999998E-3</v>
      </c>
      <c r="H852" s="90">
        <v>45908</v>
      </c>
      <c r="I852" s="91">
        <v>1380</v>
      </c>
      <c r="J852" s="91">
        <v>1378.5</v>
      </c>
      <c r="K852" s="91">
        <v>1378.5</v>
      </c>
      <c r="L852" s="91">
        <v>6986720</v>
      </c>
      <c r="M852" s="91">
        <v>2.5000000000000001E-3</v>
      </c>
      <c r="O852" s="90">
        <v>45908</v>
      </c>
      <c r="P852" s="91">
        <v>969</v>
      </c>
      <c r="Q852" s="91">
        <v>966</v>
      </c>
      <c r="R852" s="91">
        <v>966</v>
      </c>
      <c r="S852" s="91">
        <v>11711307</v>
      </c>
      <c r="T852" s="91">
        <v>2.7000000000000001E-3</v>
      </c>
      <c r="V852" s="90">
        <v>45908</v>
      </c>
      <c r="W852" s="91">
        <v>1451</v>
      </c>
      <c r="X852" s="91">
        <v>1432.900024</v>
      </c>
      <c r="Y852" s="91">
        <v>1411.2947999999999</v>
      </c>
      <c r="Z852" s="91">
        <v>3811567</v>
      </c>
      <c r="AA852" s="91">
        <v>-8.0999999999999996E-3</v>
      </c>
      <c r="AB852" s="91"/>
      <c r="AC852" s="90">
        <v>45908</v>
      </c>
      <c r="AD852" s="91">
        <v>5540</v>
      </c>
      <c r="AE852" s="91">
        <v>5315.5</v>
      </c>
      <c r="AF852" s="91">
        <v>5315.5</v>
      </c>
      <c r="AG852" s="91">
        <v>876255</v>
      </c>
      <c r="AH852" s="91">
        <v>-3.85E-2</v>
      </c>
      <c r="AI852" s="91"/>
      <c r="AJ852" s="91">
        <f>(F852*'Part 3 Portfolio Analysis'!$B$8+M852*'Part 3 Portfolio Analysis'!$C$8+T852*'Part 3 Portfolio Analysis'!$D$8+AA852*'Part 3 Portfolio Analysis'!$E$8+AH852*'Part 3 Portfolio Analysis'!$F$8)/100</f>
        <v>6.9674923023494773E-4</v>
      </c>
      <c r="AK852" s="91">
        <f>'Part 3 Portfolio Analysis'!$B$107*F852+M852*'Part 3 Portfolio Analysis'!$C$107+T852*'Part 3 Portfolio Analysis'!$D$107+AA852*'Part 3 Portfolio Analysis'!$E$107+AH852*'Part 3 Portfolio Analysis'!$F$107</f>
        <v>-8.6990000000000001E-3</v>
      </c>
      <c r="AL852" s="91">
        <f>F852*'Part 3 Portfolio Analysis'!$B$121+M852*'Part 3 Portfolio Analysis'!$C$121+'Part 3 Portfolio Analysis'!$D$121*T852+AA852*'Part 3 Portfolio Analysis'!$E$121+'Part 3 Portfolio Analysis'!$F$121*AH852</f>
        <v>-5.6581999999999986E-4</v>
      </c>
      <c r="AM852" s="91"/>
      <c r="AN852" s="90">
        <v>45908</v>
      </c>
      <c r="AO852" s="91">
        <v>24802.599610000001</v>
      </c>
      <c r="AP852" s="91">
        <v>24773.150389999999</v>
      </c>
      <c r="AQ852" s="91">
        <v>24773.150389999999</v>
      </c>
      <c r="AR852" s="91">
        <v>213200</v>
      </c>
      <c r="AS852" s="91">
        <v>1.2999999999999999E-3</v>
      </c>
    </row>
    <row r="853" spans="1:45" x14ac:dyDescent="0.55000000000000004">
      <c r="A853" s="90">
        <v>45909</v>
      </c>
      <c r="B853" s="91">
        <v>5489</v>
      </c>
      <c r="C853" s="91">
        <v>5553.5</v>
      </c>
      <c r="D853" s="91">
        <v>5553.5</v>
      </c>
      <c r="E853" s="91">
        <v>401718</v>
      </c>
      <c r="F853" s="91">
        <v>1.54E-2</v>
      </c>
      <c r="H853" s="90">
        <v>45909</v>
      </c>
      <c r="I853" s="91">
        <v>1376.599976</v>
      </c>
      <c r="J853" s="91">
        <v>1376.1999510000001</v>
      </c>
      <c r="K853" s="91">
        <v>1376.1999510000001</v>
      </c>
      <c r="L853" s="91">
        <v>9754452</v>
      </c>
      <c r="M853" s="91">
        <v>-1.6999999999999999E-3</v>
      </c>
      <c r="O853" s="90">
        <v>45909</v>
      </c>
      <c r="P853" s="91">
        <v>974</v>
      </c>
      <c r="Q853" s="91">
        <v>965.15002440000001</v>
      </c>
      <c r="R853" s="91">
        <v>965.15002440000001</v>
      </c>
      <c r="S853" s="91">
        <v>13985539</v>
      </c>
      <c r="T853" s="91">
        <v>-8.9999999999999998E-4</v>
      </c>
      <c r="V853" s="90">
        <v>45909</v>
      </c>
      <c r="W853" s="91">
        <v>1481</v>
      </c>
      <c r="X853" s="91">
        <v>1504.3000489999999</v>
      </c>
      <c r="Y853" s="91">
        <v>1481.618164</v>
      </c>
      <c r="Z853" s="91">
        <v>13072640</v>
      </c>
      <c r="AA853" s="91">
        <v>4.9799999999999997E-2</v>
      </c>
      <c r="AB853" s="91"/>
      <c r="AC853" s="90">
        <v>45909</v>
      </c>
      <c r="AD853" s="91">
        <v>5330</v>
      </c>
      <c r="AE853" s="91">
        <v>5218.5</v>
      </c>
      <c r="AF853" s="91">
        <v>5218.5</v>
      </c>
      <c r="AG853" s="91">
        <v>1014203</v>
      </c>
      <c r="AH853" s="91">
        <v>-1.8200000000000001E-2</v>
      </c>
      <c r="AI853" s="91"/>
      <c r="AJ853" s="91">
        <f>(F853*'Part 3 Portfolio Analysis'!$B$8+M853*'Part 3 Portfolio Analysis'!$C$8+T853*'Part 3 Portfolio Analysis'!$D$8+AA853*'Part 3 Portfolio Analysis'!$E$8+AH853*'Part 3 Portfolio Analysis'!$F$8)/100</f>
        <v>1.1690264662589345E-2</v>
      </c>
      <c r="AK853" s="91">
        <f>'Part 3 Portfolio Analysis'!$B$107*F853+M853*'Part 3 Portfolio Analysis'!$C$107+T853*'Part 3 Portfolio Analysis'!$D$107+AA853*'Part 3 Portfolio Analysis'!$E$107+AH853*'Part 3 Portfolio Analysis'!$F$107</f>
        <v>2.4940000000000006E-3</v>
      </c>
      <c r="AL853" s="91">
        <f>F853*'Part 3 Portfolio Analysis'!$B$121+M853*'Part 3 Portfolio Analysis'!$C$121+'Part 3 Portfolio Analysis'!$D$121*T853+AA853*'Part 3 Portfolio Analysis'!$E$121+'Part 3 Portfolio Analysis'!$F$121*AH853</f>
        <v>9.7909200000000016E-3</v>
      </c>
      <c r="AM853" s="91"/>
      <c r="AN853" s="90">
        <v>45909</v>
      </c>
      <c r="AO853" s="91">
        <v>24864.099610000001</v>
      </c>
      <c r="AP853" s="91">
        <v>24868.599610000001</v>
      </c>
      <c r="AQ853" s="91">
        <v>24868.599610000001</v>
      </c>
      <c r="AR853" s="91">
        <v>226900</v>
      </c>
      <c r="AS853" s="91">
        <v>3.8999999999999998E-3</v>
      </c>
    </row>
    <row r="854" spans="1:45" x14ac:dyDescent="0.55000000000000004">
      <c r="A854" s="90">
        <v>45910</v>
      </c>
      <c r="B854" s="91">
        <v>5590</v>
      </c>
      <c r="C854" s="91">
        <v>5843.5</v>
      </c>
      <c r="D854" s="91">
        <v>5843.5</v>
      </c>
      <c r="E854" s="91">
        <v>596016</v>
      </c>
      <c r="F854" s="91">
        <v>5.2200000000000003E-2</v>
      </c>
      <c r="H854" s="90">
        <v>45910</v>
      </c>
      <c r="I854" s="91">
        <v>1383.900024</v>
      </c>
      <c r="J854" s="91">
        <v>1377</v>
      </c>
      <c r="K854" s="91">
        <v>1377</v>
      </c>
      <c r="L854" s="91">
        <v>7790815</v>
      </c>
      <c r="M854" s="91">
        <v>5.9999999999999995E-4</v>
      </c>
      <c r="O854" s="90">
        <v>45910</v>
      </c>
      <c r="P854" s="91">
        <v>973.90002440000001</v>
      </c>
      <c r="Q854" s="91">
        <v>965.90002440000001</v>
      </c>
      <c r="R854" s="91">
        <v>965.90002440000001</v>
      </c>
      <c r="S854" s="91">
        <v>18091100</v>
      </c>
      <c r="T854" s="91">
        <v>8.0000000000000004E-4</v>
      </c>
      <c r="V854" s="90">
        <v>45910</v>
      </c>
      <c r="W854" s="91">
        <v>1510.099976</v>
      </c>
      <c r="X854" s="91">
        <v>1532.599976</v>
      </c>
      <c r="Y854" s="91">
        <v>1509.4914550000001</v>
      </c>
      <c r="Z854" s="91">
        <v>7281071</v>
      </c>
      <c r="AA854" s="91">
        <v>1.8800000000000001E-2</v>
      </c>
      <c r="AB854" s="91"/>
      <c r="AC854" s="90">
        <v>45910</v>
      </c>
      <c r="AD854" s="91">
        <v>5250</v>
      </c>
      <c r="AE854" s="91">
        <v>5193</v>
      </c>
      <c r="AF854" s="91">
        <v>5193</v>
      </c>
      <c r="AG854" s="91">
        <v>898752</v>
      </c>
      <c r="AH854" s="91">
        <v>-4.8999999999999998E-3</v>
      </c>
      <c r="AI854" s="91"/>
      <c r="AJ854" s="91">
        <f>(F854*'Part 3 Portfolio Analysis'!$B$8+M854*'Part 3 Portfolio Analysis'!$C$8+T854*'Part 3 Portfolio Analysis'!$D$8+AA854*'Part 3 Portfolio Analysis'!$E$8+AH854*'Part 3 Portfolio Analysis'!$F$8)/100</f>
        <v>1.8988598729724197E-2</v>
      </c>
      <c r="AK854" s="91">
        <f>'Part 3 Portfolio Analysis'!$B$107*F854+M854*'Part 3 Portfolio Analysis'!$C$107+T854*'Part 3 Portfolio Analysis'!$D$107+AA854*'Part 3 Portfolio Analysis'!$E$107+AH854*'Part 3 Portfolio Analysis'!$F$107</f>
        <v>1.0353000000000001E-2</v>
      </c>
      <c r="AL854" s="91">
        <f>F854*'Part 3 Portfolio Analysis'!$B$121+M854*'Part 3 Portfolio Analysis'!$C$121+'Part 3 Portfolio Analysis'!$D$121*T854+AA854*'Part 3 Portfolio Analysis'!$E$121+'Part 3 Portfolio Analysis'!$F$121*AH854</f>
        <v>8.3918199999999995E-3</v>
      </c>
      <c r="AM854" s="91"/>
      <c r="AN854" s="90">
        <v>45910</v>
      </c>
      <c r="AO854" s="91">
        <v>24991</v>
      </c>
      <c r="AP854" s="91">
        <v>24973.099610000001</v>
      </c>
      <c r="AQ854" s="91">
        <v>24973.099610000001</v>
      </c>
      <c r="AR854" s="91">
        <v>244100</v>
      </c>
      <c r="AS854" s="91">
        <v>4.1999999999999997E-3</v>
      </c>
    </row>
    <row r="855" spans="1:45" x14ac:dyDescent="0.55000000000000004">
      <c r="A855" s="90">
        <v>45911</v>
      </c>
      <c r="B855" s="91">
        <v>5843.5</v>
      </c>
      <c r="C855" s="91">
        <v>5752.5</v>
      </c>
      <c r="D855" s="91">
        <v>5752.5</v>
      </c>
      <c r="E855" s="91">
        <v>133727</v>
      </c>
      <c r="F855" s="91">
        <v>-1.5599999999999999E-2</v>
      </c>
      <c r="H855" s="90">
        <v>45911</v>
      </c>
      <c r="I855" s="91">
        <v>1376</v>
      </c>
      <c r="J855" s="91">
        <v>1383.3000489999999</v>
      </c>
      <c r="K855" s="91">
        <v>1383.3000489999999</v>
      </c>
      <c r="L855" s="91">
        <v>9766072</v>
      </c>
      <c r="M855" s="91">
        <v>4.5999999999999999E-3</v>
      </c>
      <c r="O855" s="90">
        <v>45911</v>
      </c>
      <c r="P855" s="91">
        <v>960.29998780000005</v>
      </c>
      <c r="Q855" s="91">
        <v>967.79998780000005</v>
      </c>
      <c r="R855" s="91">
        <v>967.79998780000005</v>
      </c>
      <c r="S855" s="91">
        <v>15113633</v>
      </c>
      <c r="T855" s="91">
        <v>2E-3</v>
      </c>
      <c r="V855" s="90">
        <v>45911</v>
      </c>
      <c r="W855" s="91">
        <v>1523.900024</v>
      </c>
      <c r="X855" s="91">
        <v>1509.6999510000001</v>
      </c>
      <c r="Y855" s="91">
        <v>1486.9366460000001</v>
      </c>
      <c r="Z855" s="91">
        <v>8003662</v>
      </c>
      <c r="AA855" s="91">
        <v>-1.49E-2</v>
      </c>
      <c r="AB855" s="91"/>
      <c r="AC855" s="90">
        <v>45911</v>
      </c>
      <c r="AD855" s="91">
        <v>5214.5</v>
      </c>
      <c r="AE855" s="91">
        <v>5171</v>
      </c>
      <c r="AF855" s="91">
        <v>5171</v>
      </c>
      <c r="AG855" s="91">
        <v>585140</v>
      </c>
      <c r="AH855" s="91">
        <v>-4.1999999999999997E-3</v>
      </c>
      <c r="AI855" s="91"/>
      <c r="AJ855" s="91">
        <f>(F855*'Part 3 Portfolio Analysis'!$B$8+M855*'Part 3 Portfolio Analysis'!$C$8+T855*'Part 3 Portfolio Analysis'!$D$8+AA855*'Part 3 Portfolio Analysis'!$E$8+AH855*'Part 3 Portfolio Analysis'!$F$8)/100</f>
        <v>-5.1179252859283016E-3</v>
      </c>
      <c r="AK855" s="91">
        <f>'Part 3 Portfolio Analysis'!$B$107*F855+M855*'Part 3 Portfolio Analysis'!$C$107+T855*'Part 3 Portfolio Analysis'!$D$107+AA855*'Part 3 Portfolio Analysis'!$E$107+AH855*'Part 3 Portfolio Analysis'!$F$107</f>
        <v>-3.6065999999999997E-3</v>
      </c>
      <c r="AL855" s="91">
        <f>F855*'Part 3 Portfolio Analysis'!$B$121+M855*'Part 3 Portfolio Analysis'!$C$121+'Part 3 Portfolio Analysis'!$D$121*T855+AA855*'Part 3 Portfolio Analysis'!$E$121+'Part 3 Portfolio Analysis'!$F$121*AH855</f>
        <v>-1.8982000000000001E-3</v>
      </c>
      <c r="AM855" s="91"/>
      <c r="AN855" s="90">
        <v>45911</v>
      </c>
      <c r="AO855" s="91">
        <v>24945.5</v>
      </c>
      <c r="AP855" s="91">
        <v>25005.5</v>
      </c>
      <c r="AQ855" s="91">
        <v>25005.5</v>
      </c>
      <c r="AR855" s="91">
        <v>224600</v>
      </c>
      <c r="AS855" s="91">
        <v>1.2999999999999999E-3</v>
      </c>
    </row>
    <row r="856" spans="1:45" x14ac:dyDescent="0.55000000000000004">
      <c r="A856" s="90">
        <v>45912</v>
      </c>
      <c r="B856" s="91">
        <v>5752.5</v>
      </c>
      <c r="C856" s="91">
        <v>5721.5</v>
      </c>
      <c r="D856" s="91">
        <v>5721.5</v>
      </c>
      <c r="E856" s="91">
        <v>141104</v>
      </c>
      <c r="F856" s="91">
        <v>-5.4000000000000003E-3</v>
      </c>
      <c r="H856" s="90">
        <v>45912</v>
      </c>
      <c r="I856" s="91">
        <v>1383.3000489999999</v>
      </c>
      <c r="J856" s="91">
        <v>1395</v>
      </c>
      <c r="K856" s="91">
        <v>1395</v>
      </c>
      <c r="L856" s="91">
        <v>7403368</v>
      </c>
      <c r="M856" s="91">
        <v>8.5000000000000006E-3</v>
      </c>
      <c r="O856" s="90">
        <v>45912</v>
      </c>
      <c r="P856" s="91">
        <v>969.90002440000001</v>
      </c>
      <c r="Q856" s="91">
        <v>967.29998780000005</v>
      </c>
      <c r="R856" s="91">
        <v>967.29998780000005</v>
      </c>
      <c r="S856" s="91">
        <v>14363519</v>
      </c>
      <c r="T856" s="91">
        <v>-5.0000000000000001E-4</v>
      </c>
      <c r="V856" s="90">
        <v>45912</v>
      </c>
      <c r="W856" s="91">
        <v>1537</v>
      </c>
      <c r="X856" s="91">
        <v>1525.599976</v>
      </c>
      <c r="Y856" s="91">
        <v>1502.5969239999999</v>
      </c>
      <c r="Z856" s="91">
        <v>12856963</v>
      </c>
      <c r="AA856" s="91">
        <v>1.0500000000000001E-2</v>
      </c>
      <c r="AB856" s="91"/>
      <c r="AC856" s="90">
        <v>45912</v>
      </c>
      <c r="AD856" s="91">
        <v>5179</v>
      </c>
      <c r="AE856" s="91">
        <v>5130</v>
      </c>
      <c r="AF856" s="91">
        <v>5130</v>
      </c>
      <c r="AG856" s="91">
        <v>625409</v>
      </c>
      <c r="AH856" s="91">
        <v>-7.9000000000000008E-3</v>
      </c>
      <c r="AI856" s="91"/>
      <c r="AJ856" s="91">
        <f>(F856*'Part 3 Portfolio Analysis'!$B$8+M856*'Part 3 Portfolio Analysis'!$C$8+T856*'Part 3 Portfolio Analysis'!$D$8+AA856*'Part 3 Portfolio Analysis'!$E$8+AH856*'Part 3 Portfolio Analysis'!$F$8)/100</f>
        <v>2.9902658482963444E-3</v>
      </c>
      <c r="AK856" s="91">
        <f>'Part 3 Portfolio Analysis'!$B$107*F856+M856*'Part 3 Portfolio Analysis'!$C$107+T856*'Part 3 Portfolio Analysis'!$D$107+AA856*'Part 3 Portfolio Analysis'!$E$107+AH856*'Part 3 Portfolio Analysis'!$F$107</f>
        <v>6.7020000000000014E-4</v>
      </c>
      <c r="AL856" s="91">
        <f>F856*'Part 3 Portfolio Analysis'!$B$121+M856*'Part 3 Portfolio Analysis'!$C$121+'Part 3 Portfolio Analysis'!$D$121*T856+AA856*'Part 3 Portfolio Analysis'!$E$121+'Part 3 Portfolio Analysis'!$F$121*AH856</f>
        <v>4.8797400000000005E-3</v>
      </c>
      <c r="AM856" s="91"/>
      <c r="AN856" s="90">
        <v>45912</v>
      </c>
      <c r="AO856" s="91">
        <v>25074.449219999999</v>
      </c>
      <c r="AP856" s="91">
        <v>25114</v>
      </c>
      <c r="AQ856" s="91">
        <v>25114</v>
      </c>
      <c r="AR856" s="91">
        <v>225700</v>
      </c>
      <c r="AS856" s="91">
        <v>4.3E-3</v>
      </c>
    </row>
    <row r="857" spans="1:45" x14ac:dyDescent="0.55000000000000004">
      <c r="A857" s="90">
        <v>45915</v>
      </c>
      <c r="B857" s="91">
        <v>5721.5</v>
      </c>
      <c r="C857" s="91">
        <v>5685</v>
      </c>
      <c r="D857" s="91">
        <v>5685</v>
      </c>
      <c r="E857" s="91">
        <v>108324</v>
      </c>
      <c r="F857" s="91">
        <v>-6.4000000000000003E-3</v>
      </c>
      <c r="H857" s="90">
        <v>45915</v>
      </c>
      <c r="I857" s="91">
        <v>1393</v>
      </c>
      <c r="J857" s="91">
        <v>1399.3000489999999</v>
      </c>
      <c r="K857" s="91">
        <v>1399.3000489999999</v>
      </c>
      <c r="L857" s="91">
        <v>5396697</v>
      </c>
      <c r="M857" s="91">
        <v>3.0999999999999999E-3</v>
      </c>
      <c r="O857" s="90">
        <v>45915</v>
      </c>
      <c r="P857" s="91">
        <v>969.59997559999999</v>
      </c>
      <c r="Q857" s="91">
        <v>967.04998780000005</v>
      </c>
      <c r="R857" s="91">
        <v>967.04998780000005</v>
      </c>
      <c r="S857" s="91">
        <v>14486377</v>
      </c>
      <c r="T857" s="91">
        <v>-2.9999999999999997E-4</v>
      </c>
      <c r="V857" s="90">
        <v>45915</v>
      </c>
      <c r="W857" s="91">
        <v>1525.599976</v>
      </c>
      <c r="X857" s="91">
        <v>1508.400024</v>
      </c>
      <c r="Y857" s="91">
        <v>1485.6563719999999</v>
      </c>
      <c r="Z857" s="91">
        <v>6167414</v>
      </c>
      <c r="AA857" s="91">
        <v>-1.1299999999999999E-2</v>
      </c>
      <c r="AB857" s="91"/>
      <c r="AC857" s="90">
        <v>45915</v>
      </c>
      <c r="AD857" s="91">
        <v>5131</v>
      </c>
      <c r="AE857" s="91">
        <v>5133</v>
      </c>
      <c r="AF857" s="91">
        <v>5133</v>
      </c>
      <c r="AG857" s="91">
        <v>955394</v>
      </c>
      <c r="AH857" s="91">
        <v>5.9999999999999995E-4</v>
      </c>
      <c r="AI857" s="91"/>
      <c r="AJ857" s="91">
        <f>(F857*'Part 3 Portfolio Analysis'!$B$8+M857*'Part 3 Portfolio Analysis'!$C$8+T857*'Part 3 Portfolio Analysis'!$D$8+AA857*'Part 3 Portfolio Analysis'!$E$8+AH857*'Part 3 Portfolio Analysis'!$F$8)/100</f>
        <v>-2.6590405799502182E-3</v>
      </c>
      <c r="AK857" s="91">
        <f>'Part 3 Portfolio Analysis'!$B$107*F857+M857*'Part 3 Portfolio Analysis'!$C$107+T857*'Part 3 Portfolio Analysis'!$D$107+AA857*'Part 3 Portfolio Analysis'!$E$107+AH857*'Part 3 Portfolio Analysis'!$F$107</f>
        <v>-1.207E-3</v>
      </c>
      <c r="AL857" s="91">
        <f>F857*'Part 3 Portfolio Analysis'!$B$121+M857*'Part 3 Portfolio Analysis'!$C$121+'Part 3 Portfolio Analysis'!$D$121*T857+AA857*'Part 3 Portfolio Analysis'!$E$121+'Part 3 Portfolio Analysis'!$F$121*AH857</f>
        <v>-1.5512E-3</v>
      </c>
      <c r="AM857" s="91"/>
      <c r="AN857" s="90">
        <v>45915</v>
      </c>
      <c r="AO857" s="91">
        <v>25118.900389999999</v>
      </c>
      <c r="AP857" s="91">
        <v>25069.199219999999</v>
      </c>
      <c r="AQ857" s="91">
        <v>25069.199219999999</v>
      </c>
      <c r="AR857" s="91">
        <v>185400</v>
      </c>
      <c r="AS857" s="91">
        <v>-1.8E-3</v>
      </c>
    </row>
    <row r="858" spans="1:45" x14ac:dyDescent="0.55000000000000004">
      <c r="A858" s="90">
        <v>45916</v>
      </c>
      <c r="B858" s="91">
        <v>5707</v>
      </c>
      <c r="C858" s="91">
        <v>5707</v>
      </c>
      <c r="D858" s="91">
        <v>5707</v>
      </c>
      <c r="E858" s="91">
        <v>114558</v>
      </c>
      <c r="F858" s="91">
        <v>3.8999999999999998E-3</v>
      </c>
      <c r="H858" s="90">
        <v>45916</v>
      </c>
      <c r="I858" s="91">
        <v>1404.6999510000001</v>
      </c>
      <c r="J858" s="91">
        <v>1405.3000489999999</v>
      </c>
      <c r="K858" s="91">
        <v>1405.3000489999999</v>
      </c>
      <c r="L858" s="91">
        <v>8686961</v>
      </c>
      <c r="M858" s="91">
        <v>4.3E-3</v>
      </c>
      <c r="O858" s="90">
        <v>45916</v>
      </c>
      <c r="P858" s="91">
        <v>961.20001219999995</v>
      </c>
      <c r="Q858" s="91">
        <v>966.84997559999999</v>
      </c>
      <c r="R858" s="91">
        <v>966.84997559999999</v>
      </c>
      <c r="S858" s="91">
        <v>18661794</v>
      </c>
      <c r="T858" s="91">
        <v>-2.0000000000000001E-4</v>
      </c>
      <c r="V858" s="90">
        <v>45916</v>
      </c>
      <c r="W858" s="91">
        <v>1508.400024</v>
      </c>
      <c r="X858" s="91">
        <v>1511.3000489999999</v>
      </c>
      <c r="Y858" s="91">
        <v>1488.5126949999999</v>
      </c>
      <c r="Z858" s="91">
        <v>8923112</v>
      </c>
      <c r="AA858" s="91">
        <v>1.9E-3</v>
      </c>
      <c r="AB858" s="91"/>
      <c r="AC858" s="90">
        <v>45916</v>
      </c>
      <c r="AD858" s="91">
        <v>5154</v>
      </c>
      <c r="AE858" s="91">
        <v>5147.5</v>
      </c>
      <c r="AF858" s="91">
        <v>5147.5</v>
      </c>
      <c r="AG858" s="91">
        <v>703169</v>
      </c>
      <c r="AH858" s="91">
        <v>2.8E-3</v>
      </c>
      <c r="AI858" s="91"/>
      <c r="AJ858" s="91">
        <f>(F858*'Part 3 Portfolio Analysis'!$B$8+M858*'Part 3 Portfolio Analysis'!$C$8+T858*'Part 3 Portfolio Analysis'!$D$8+AA858*'Part 3 Portfolio Analysis'!$E$8+AH858*'Part 3 Portfolio Analysis'!$F$8)/100</f>
        <v>3.0284418850997602E-3</v>
      </c>
      <c r="AK858" s="91">
        <f>'Part 3 Portfolio Analysis'!$B$107*F858+M858*'Part 3 Portfolio Analysis'!$C$107+T858*'Part 3 Portfolio Analysis'!$D$107+AA858*'Part 3 Portfolio Analysis'!$E$107+AH858*'Part 3 Portfolio Analysis'!$F$107</f>
        <v>2.9125000000000002E-3</v>
      </c>
      <c r="AL858" s="91">
        <f>F858*'Part 3 Portfolio Analysis'!$B$121+M858*'Part 3 Portfolio Analysis'!$C$121+'Part 3 Portfolio Analysis'!$D$121*T858+AA858*'Part 3 Portfolio Analysis'!$E$121+'Part 3 Portfolio Analysis'!$F$121*AH858</f>
        <v>2.52382E-3</v>
      </c>
      <c r="AM858" s="91"/>
      <c r="AN858" s="90">
        <v>45916</v>
      </c>
      <c r="AO858" s="91">
        <v>25073.599610000001</v>
      </c>
      <c r="AP858" s="91">
        <v>25239.099610000001</v>
      </c>
      <c r="AQ858" s="91">
        <v>25239.099610000001</v>
      </c>
      <c r="AR858" s="91">
        <v>240100</v>
      </c>
      <c r="AS858" s="91">
        <v>6.7999999999999996E-3</v>
      </c>
    </row>
    <row r="859" spans="1:45" x14ac:dyDescent="0.55000000000000004">
      <c r="A859" s="90">
        <v>45917</v>
      </c>
      <c r="B859" s="91">
        <v>5722</v>
      </c>
      <c r="C859" s="91">
        <v>5683</v>
      </c>
      <c r="D859" s="91">
        <v>5683</v>
      </c>
      <c r="E859" s="91">
        <v>126105</v>
      </c>
      <c r="F859" s="91">
        <v>-4.1999999999999997E-3</v>
      </c>
      <c r="H859" s="90">
        <v>45917</v>
      </c>
      <c r="I859" s="91">
        <v>1407</v>
      </c>
      <c r="J859" s="91">
        <v>1413.8000489999999</v>
      </c>
      <c r="K859" s="91">
        <v>1413.8000489999999</v>
      </c>
      <c r="L859" s="91">
        <v>7519417</v>
      </c>
      <c r="M859" s="91">
        <v>6.0000000000000001E-3</v>
      </c>
      <c r="O859" s="90">
        <v>45917</v>
      </c>
      <c r="P859" s="91">
        <v>965.15002440000001</v>
      </c>
      <c r="Q859" s="91">
        <v>966.5</v>
      </c>
      <c r="R859" s="91">
        <v>966.5</v>
      </c>
      <c r="S859" s="91">
        <v>17361476</v>
      </c>
      <c r="T859" s="91">
        <v>-4.0000000000000002E-4</v>
      </c>
      <c r="V859" s="90">
        <v>45917</v>
      </c>
      <c r="W859" s="91">
        <v>1516.900024</v>
      </c>
      <c r="X859" s="91">
        <v>1522.400024</v>
      </c>
      <c r="Y859" s="91">
        <v>1499.4453129999999</v>
      </c>
      <c r="Z859" s="91">
        <v>4795698</v>
      </c>
      <c r="AA859" s="91">
        <v>7.3000000000000001E-3</v>
      </c>
      <c r="AB859" s="91"/>
      <c r="AC859" s="90">
        <v>45917</v>
      </c>
      <c r="AD859" s="91">
        <v>5180</v>
      </c>
      <c r="AE859" s="91">
        <v>5197.5</v>
      </c>
      <c r="AF859" s="91">
        <v>5197.5</v>
      </c>
      <c r="AG859" s="91">
        <v>828577</v>
      </c>
      <c r="AH859" s="91">
        <v>9.7000000000000003E-3</v>
      </c>
      <c r="AI859" s="91"/>
      <c r="AJ859" s="91">
        <f>(F859*'Part 3 Portfolio Analysis'!$B$8+M859*'Part 3 Portfolio Analysis'!$C$8+T859*'Part 3 Portfolio Analysis'!$D$8+AA859*'Part 3 Portfolio Analysis'!$E$8+AH859*'Part 3 Portfolio Analysis'!$F$8)/100</f>
        <v>2.1177746662656184E-3</v>
      </c>
      <c r="AK859" s="91">
        <f>'Part 3 Portfolio Analysis'!$B$107*F859+M859*'Part 3 Portfolio Analysis'!$C$107+T859*'Part 3 Portfolio Analysis'!$D$107+AA859*'Part 3 Portfolio Analysis'!$E$107+AH859*'Part 3 Portfolio Analysis'!$F$107</f>
        <v>4.234400000000001E-3</v>
      </c>
      <c r="AL859" s="91">
        <f>F859*'Part 3 Portfolio Analysis'!$B$121+M859*'Part 3 Portfolio Analysis'!$C$121+'Part 3 Portfolio Analysis'!$D$121*T859+AA859*'Part 3 Portfolio Analysis'!$E$121+'Part 3 Portfolio Analysis'!$F$121*AH859</f>
        <v>3.7777000000000002E-3</v>
      </c>
      <c r="AM859" s="91"/>
      <c r="AN859" s="90">
        <v>45917</v>
      </c>
      <c r="AO859" s="91">
        <v>25276.599610000001</v>
      </c>
      <c r="AP859" s="91">
        <v>25330.25</v>
      </c>
      <c r="AQ859" s="91">
        <v>25330.25</v>
      </c>
      <c r="AR859" s="91">
        <v>268900</v>
      </c>
      <c r="AS859" s="91">
        <v>3.5999999999999999E-3</v>
      </c>
    </row>
    <row r="860" spans="1:45" x14ac:dyDescent="0.55000000000000004">
      <c r="A860" s="90">
        <v>45918</v>
      </c>
      <c r="B860" s="91">
        <v>5710</v>
      </c>
      <c r="C860" s="91">
        <v>5733.5</v>
      </c>
      <c r="D860" s="91">
        <v>5733.5</v>
      </c>
      <c r="E860" s="91">
        <v>164737</v>
      </c>
      <c r="F860" s="91">
        <v>8.8999999999999999E-3</v>
      </c>
      <c r="H860" s="90">
        <v>45918</v>
      </c>
      <c r="I860" s="91">
        <v>1420.400024</v>
      </c>
      <c r="J860" s="91">
        <v>1415</v>
      </c>
      <c r="K860" s="91">
        <v>1415</v>
      </c>
      <c r="L860" s="91">
        <v>9332642</v>
      </c>
      <c r="M860" s="91">
        <v>8.0000000000000004E-4</v>
      </c>
      <c r="O860" s="90">
        <v>45918</v>
      </c>
      <c r="P860" s="91">
        <v>973.29998780000005</v>
      </c>
      <c r="Q860" s="91">
        <v>976.90002440000001</v>
      </c>
      <c r="R860" s="91">
        <v>976.90002440000001</v>
      </c>
      <c r="S860" s="91">
        <v>17791598</v>
      </c>
      <c r="T860" s="91">
        <v>1.0800000000000001E-2</v>
      </c>
      <c r="V860" s="90">
        <v>45918</v>
      </c>
      <c r="W860" s="91">
        <v>1550</v>
      </c>
      <c r="X860" s="91">
        <v>1540.599976</v>
      </c>
      <c r="Y860" s="91">
        <v>1517.37085</v>
      </c>
      <c r="Z860" s="91">
        <v>9331945</v>
      </c>
      <c r="AA860" s="91">
        <v>1.2E-2</v>
      </c>
      <c r="AB860" s="91"/>
      <c r="AC860" s="90">
        <v>45918</v>
      </c>
      <c r="AD860" s="91">
        <v>5215</v>
      </c>
      <c r="AE860" s="91">
        <v>5144</v>
      </c>
      <c r="AF860" s="91">
        <v>5144</v>
      </c>
      <c r="AG860" s="91">
        <v>810331</v>
      </c>
      <c r="AH860" s="91">
        <v>-1.03E-2</v>
      </c>
      <c r="AI860" s="91"/>
      <c r="AJ860" s="91">
        <f>(F860*'Part 3 Portfolio Analysis'!$B$8+M860*'Part 3 Portfolio Analysis'!$C$8+T860*'Part 3 Portfolio Analysis'!$D$8+AA860*'Part 3 Portfolio Analysis'!$E$8+AH860*'Part 3 Portfolio Analysis'!$F$8)/100</f>
        <v>6.5920960626099801E-3</v>
      </c>
      <c r="AK860" s="91">
        <f>'Part 3 Portfolio Analysis'!$B$107*F860+M860*'Part 3 Portfolio Analysis'!$C$107+T860*'Part 3 Portfolio Analysis'!$D$107+AA860*'Part 3 Portfolio Analysis'!$E$107+AH860*'Part 3 Portfolio Analysis'!$F$107</f>
        <v>2.1308000000000004E-3</v>
      </c>
      <c r="AL860" s="91">
        <f>F860*'Part 3 Portfolio Analysis'!$B$121+M860*'Part 3 Portfolio Analysis'!$C$121+'Part 3 Portfolio Analysis'!$D$121*T860+AA860*'Part 3 Portfolio Analysis'!$E$121+'Part 3 Portfolio Analysis'!$F$121*AH860</f>
        <v>6.1350000000000007E-3</v>
      </c>
      <c r="AM860" s="91"/>
      <c r="AN860" s="90">
        <v>45918</v>
      </c>
      <c r="AO860" s="91">
        <v>25441.050780000001</v>
      </c>
      <c r="AP860" s="91">
        <v>25423.599610000001</v>
      </c>
      <c r="AQ860" s="91">
        <v>25423.599610000001</v>
      </c>
      <c r="AR860" s="91">
        <v>272200</v>
      </c>
      <c r="AS860" s="91">
        <v>3.7000000000000002E-3</v>
      </c>
    </row>
    <row r="861" spans="1:45" x14ac:dyDescent="0.55000000000000004">
      <c r="A861" s="90">
        <v>45919</v>
      </c>
      <c r="B861" s="91">
        <v>5735</v>
      </c>
      <c r="C861" s="91">
        <v>5722.5</v>
      </c>
      <c r="D861" s="91">
        <v>5722.5</v>
      </c>
      <c r="E861" s="91">
        <v>155191</v>
      </c>
      <c r="F861" s="91">
        <v>-1.9E-3</v>
      </c>
      <c r="H861" s="90">
        <v>45919</v>
      </c>
      <c r="I861" s="91">
        <v>1414.900024</v>
      </c>
      <c r="J861" s="91">
        <v>1407.400024</v>
      </c>
      <c r="K861" s="91">
        <v>1407.400024</v>
      </c>
      <c r="L861" s="91">
        <v>13461373</v>
      </c>
      <c r="M861" s="91">
        <v>-5.4000000000000003E-3</v>
      </c>
      <c r="O861" s="90">
        <v>45919</v>
      </c>
      <c r="P861" s="91">
        <v>974.90002440000001</v>
      </c>
      <c r="Q861" s="91">
        <v>966.90002440000001</v>
      </c>
      <c r="R861" s="91">
        <v>966.90002440000001</v>
      </c>
      <c r="S861" s="91">
        <v>31243267</v>
      </c>
      <c r="T861" s="91">
        <v>-1.0200000000000001E-2</v>
      </c>
      <c r="V861" s="90">
        <v>45919</v>
      </c>
      <c r="W861" s="91">
        <v>1544.599976</v>
      </c>
      <c r="X861" s="91">
        <v>1540.1999510000001</v>
      </c>
      <c r="Y861" s="91">
        <v>1516.976807</v>
      </c>
      <c r="Z861" s="91">
        <v>12988129</v>
      </c>
      <c r="AA861" s="91">
        <v>-2.9999999999999997E-4</v>
      </c>
      <c r="AB861" s="91"/>
      <c r="AC861" s="90">
        <v>45919</v>
      </c>
      <c r="AD861" s="91">
        <v>5149</v>
      </c>
      <c r="AE861" s="91">
        <v>5080</v>
      </c>
      <c r="AF861" s="91">
        <v>5080</v>
      </c>
      <c r="AG861" s="91">
        <v>1105187</v>
      </c>
      <c r="AH861" s="91">
        <v>-1.24E-2</v>
      </c>
      <c r="AI861" s="91"/>
      <c r="AJ861" s="91">
        <f>(F861*'Part 3 Portfolio Analysis'!$B$8+M861*'Part 3 Portfolio Analysis'!$C$8+T861*'Part 3 Portfolio Analysis'!$D$8+AA861*'Part 3 Portfolio Analysis'!$E$8+AH861*'Part 3 Portfolio Analysis'!$F$8)/100</f>
        <v>-4.3983549332531242E-3</v>
      </c>
      <c r="AK861" s="91">
        <f>'Part 3 Portfolio Analysis'!$B$107*F861+M861*'Part 3 Portfolio Analysis'!$C$107+T861*'Part 3 Portfolio Analysis'!$D$107+AA861*'Part 3 Portfolio Analysis'!$E$107+AH861*'Part 3 Portfolio Analysis'!$F$107</f>
        <v>-6.7680000000000006E-3</v>
      </c>
      <c r="AL861" s="91">
        <f>F861*'Part 3 Portfolio Analysis'!$B$121+M861*'Part 3 Portfolio Analysis'!$C$121+'Part 3 Portfolio Analysis'!$D$121*T861+AA861*'Part 3 Portfolio Analysis'!$E$121+'Part 3 Portfolio Analysis'!$F$121*AH861</f>
        <v>-5.5813E-3</v>
      </c>
      <c r="AM861" s="91"/>
      <c r="AN861" s="90">
        <v>45919</v>
      </c>
      <c r="AO861" s="91">
        <v>25410.199219999999</v>
      </c>
      <c r="AP861" s="91">
        <v>25327.050780000001</v>
      </c>
      <c r="AQ861" s="91">
        <v>25327.050780000001</v>
      </c>
      <c r="AR861" s="91">
        <v>380400</v>
      </c>
      <c r="AS861" s="91">
        <v>-3.8E-3</v>
      </c>
    </row>
    <row r="862" spans="1:45" x14ac:dyDescent="0.55000000000000004">
      <c r="A862" s="90">
        <v>45922</v>
      </c>
      <c r="B862" s="91">
        <v>5699.5</v>
      </c>
      <c r="C862" s="91">
        <v>5607</v>
      </c>
      <c r="D862" s="91">
        <v>5607</v>
      </c>
      <c r="E862" s="91">
        <v>188343</v>
      </c>
      <c r="F862" s="91">
        <v>-2.0199999999999999E-2</v>
      </c>
      <c r="H862" s="90">
        <v>45922</v>
      </c>
      <c r="I862" s="91">
        <v>1403.900024</v>
      </c>
      <c r="J862" s="91">
        <v>1390.599976</v>
      </c>
      <c r="K862" s="91">
        <v>1390.599976</v>
      </c>
      <c r="L862" s="91">
        <v>7757970</v>
      </c>
      <c r="M862" s="91">
        <v>-1.1900000000000001E-2</v>
      </c>
      <c r="O862" s="90">
        <v>45922</v>
      </c>
      <c r="P862" s="91">
        <v>964</v>
      </c>
      <c r="Q862" s="91">
        <v>964.20001219999995</v>
      </c>
      <c r="R862" s="91">
        <v>964.20001219999995</v>
      </c>
      <c r="S862" s="91">
        <v>10854415</v>
      </c>
      <c r="T862" s="91">
        <v>-2.8E-3</v>
      </c>
      <c r="V862" s="90">
        <v>45922</v>
      </c>
      <c r="W862" s="91">
        <v>1482.6999510000001</v>
      </c>
      <c r="X862" s="91">
        <v>1499.5</v>
      </c>
      <c r="Y862" s="91">
        <v>1476.8905030000001</v>
      </c>
      <c r="Z862" s="91">
        <v>15655204</v>
      </c>
      <c r="AA862" s="91">
        <v>-2.64E-2</v>
      </c>
      <c r="AB862" s="91"/>
      <c r="AC862" s="90">
        <v>45922</v>
      </c>
      <c r="AD862" s="91">
        <v>5089.5</v>
      </c>
      <c r="AE862" s="91">
        <v>5010.5</v>
      </c>
      <c r="AF862" s="91">
        <v>5010.5</v>
      </c>
      <c r="AG862" s="91">
        <v>799543</v>
      </c>
      <c r="AH862" s="91">
        <v>-1.37E-2</v>
      </c>
      <c r="AI862" s="91"/>
      <c r="AJ862" s="91">
        <f>(F862*'Part 3 Portfolio Analysis'!$B$8+M862*'Part 3 Portfolio Analysis'!$C$8+T862*'Part 3 Portfolio Analysis'!$D$8+AA862*'Part 3 Portfolio Analysis'!$E$8+AH862*'Part 3 Portfolio Analysis'!$F$8)/100</f>
        <v>-1.5223133663761974E-2</v>
      </c>
      <c r="AK862" s="91">
        <f>'Part 3 Portfolio Analysis'!$B$107*F862+M862*'Part 3 Portfolio Analysis'!$C$107+T862*'Part 3 Portfolio Analysis'!$D$107+AA862*'Part 3 Portfolio Analysis'!$E$107+AH862*'Part 3 Portfolio Analysis'!$F$107</f>
        <v>-1.3887099999999999E-2</v>
      </c>
      <c r="AL862" s="91">
        <f>F862*'Part 3 Portfolio Analysis'!$B$121+M862*'Part 3 Portfolio Analysis'!$C$121+'Part 3 Portfolio Analysis'!$D$121*T862+AA862*'Part 3 Portfolio Analysis'!$E$121+'Part 3 Portfolio Analysis'!$F$121*AH862</f>
        <v>-1.305422E-2</v>
      </c>
      <c r="AM862" s="91"/>
      <c r="AN862" s="90">
        <v>45922</v>
      </c>
      <c r="AO862" s="91">
        <v>25238.099610000001</v>
      </c>
      <c r="AP862" s="91">
        <v>25202.349610000001</v>
      </c>
      <c r="AQ862" s="91">
        <v>25202.349610000001</v>
      </c>
      <c r="AR862" s="91">
        <v>254500</v>
      </c>
      <c r="AS862" s="91">
        <v>-4.8999999999999998E-3</v>
      </c>
    </row>
    <row r="863" spans="1:45" x14ac:dyDescent="0.55000000000000004">
      <c r="A863" s="90">
        <v>45923</v>
      </c>
      <c r="B863" s="91">
        <v>5595</v>
      </c>
      <c r="C863" s="91">
        <v>5555.5</v>
      </c>
      <c r="D863" s="91">
        <v>5555.5</v>
      </c>
      <c r="E863" s="91">
        <v>136231</v>
      </c>
      <c r="F863" s="91">
        <v>-9.1999999999999998E-3</v>
      </c>
      <c r="H863" s="90">
        <v>45923</v>
      </c>
      <c r="I863" s="91">
        <v>1391</v>
      </c>
      <c r="J863" s="91">
        <v>1389.8000489999999</v>
      </c>
      <c r="K863" s="91">
        <v>1389.8000489999999</v>
      </c>
      <c r="L863" s="91">
        <v>14014702</v>
      </c>
      <c r="M863" s="91">
        <v>-5.9999999999999995E-4</v>
      </c>
      <c r="O863" s="90">
        <v>45923</v>
      </c>
      <c r="P863" s="91">
        <v>967</v>
      </c>
      <c r="Q863" s="91">
        <v>957.20001219999995</v>
      </c>
      <c r="R863" s="91">
        <v>957.20001219999995</v>
      </c>
      <c r="S863" s="91">
        <v>21022298</v>
      </c>
      <c r="T863" s="91">
        <v>-7.3000000000000001E-3</v>
      </c>
      <c r="V863" s="90">
        <v>45923</v>
      </c>
      <c r="W863" s="91">
        <v>1493</v>
      </c>
      <c r="X863" s="91">
        <v>1497.5</v>
      </c>
      <c r="Y863" s="91">
        <v>1474.920654</v>
      </c>
      <c r="Z863" s="91">
        <v>9832164</v>
      </c>
      <c r="AA863" s="91">
        <v>-1.2999999999999999E-3</v>
      </c>
      <c r="AB863" s="91"/>
      <c r="AC863" s="90">
        <v>45923</v>
      </c>
      <c r="AD863" s="91">
        <v>5010.5</v>
      </c>
      <c r="AE863" s="91">
        <v>4891</v>
      </c>
      <c r="AF863" s="91">
        <v>4891</v>
      </c>
      <c r="AG863" s="91">
        <v>2734495</v>
      </c>
      <c r="AH863" s="91">
        <v>-2.3800000000000002E-2</v>
      </c>
      <c r="AI863" s="91"/>
      <c r="AJ863" s="91">
        <f>(F863*'Part 3 Portfolio Analysis'!$B$8+M863*'Part 3 Portfolio Analysis'!$C$8+T863*'Part 3 Portfolio Analysis'!$D$8+AA863*'Part 3 Portfolio Analysis'!$E$8+AH863*'Part 3 Portfolio Analysis'!$F$8)/100</f>
        <v>-4.6370460376897902E-3</v>
      </c>
      <c r="AK863" s="91">
        <f>'Part 3 Portfolio Analysis'!$B$107*F863+M863*'Part 3 Portfolio Analysis'!$C$107+T863*'Part 3 Portfolio Analysis'!$D$107+AA863*'Part 3 Portfolio Analysis'!$E$107+AH863*'Part 3 Portfolio Analysis'!$F$107</f>
        <v>-9.1029000000000006E-3</v>
      </c>
      <c r="AL863" s="91">
        <f>F863*'Part 3 Portfolio Analysis'!$B$121+M863*'Part 3 Portfolio Analysis'!$C$121+'Part 3 Portfolio Analysis'!$D$121*T863+AA863*'Part 3 Portfolio Analysis'!$E$121+'Part 3 Portfolio Analysis'!$F$121*AH863</f>
        <v>-3.8771599999999997E-3</v>
      </c>
      <c r="AM863" s="91"/>
      <c r="AN863" s="90">
        <v>45923</v>
      </c>
      <c r="AO863" s="91">
        <v>25209</v>
      </c>
      <c r="AP863" s="91">
        <v>25169.5</v>
      </c>
      <c r="AQ863" s="91">
        <v>25169.5</v>
      </c>
      <c r="AR863" s="91">
        <v>299200</v>
      </c>
      <c r="AS863" s="91">
        <v>-1.2999999999999999E-3</v>
      </c>
    </row>
    <row r="864" spans="1:45" x14ac:dyDescent="0.55000000000000004">
      <c r="A864" s="90">
        <v>45924</v>
      </c>
      <c r="B864" s="91">
        <v>5570</v>
      </c>
      <c r="C864" s="91">
        <v>5504.5</v>
      </c>
      <c r="D864" s="91">
        <v>5504.5</v>
      </c>
      <c r="E864" s="91">
        <v>136459</v>
      </c>
      <c r="F864" s="91">
        <v>-9.1999999999999998E-3</v>
      </c>
      <c r="H864" s="90">
        <v>45924</v>
      </c>
      <c r="I864" s="91">
        <v>1385.3000489999999</v>
      </c>
      <c r="J864" s="91">
        <v>1383</v>
      </c>
      <c r="K864" s="91">
        <v>1383</v>
      </c>
      <c r="L864" s="91">
        <v>5922759</v>
      </c>
      <c r="M864" s="91">
        <v>-4.8999999999999998E-3</v>
      </c>
      <c r="O864" s="90">
        <v>45924</v>
      </c>
      <c r="P864" s="91">
        <v>952.20001219999995</v>
      </c>
      <c r="Q864" s="91">
        <v>951.04998780000005</v>
      </c>
      <c r="R864" s="91">
        <v>951.04998780000005</v>
      </c>
      <c r="S864" s="91">
        <v>15117220</v>
      </c>
      <c r="T864" s="91">
        <v>-6.4000000000000003E-3</v>
      </c>
      <c r="V864" s="90">
        <v>45924</v>
      </c>
      <c r="W864" s="91">
        <v>1487.1999510000001</v>
      </c>
      <c r="X864" s="91">
        <v>1494.599976</v>
      </c>
      <c r="Y864" s="91">
        <v>1472.064331</v>
      </c>
      <c r="Z864" s="91">
        <v>4937004</v>
      </c>
      <c r="AA864" s="91">
        <v>-1.9E-3</v>
      </c>
      <c r="AB864" s="91"/>
      <c r="AC864" s="90">
        <v>45924</v>
      </c>
      <c r="AD864" s="91">
        <v>4938</v>
      </c>
      <c r="AE864" s="91">
        <v>4897</v>
      </c>
      <c r="AF864" s="91">
        <v>4897</v>
      </c>
      <c r="AG864" s="91">
        <v>941080</v>
      </c>
      <c r="AH864" s="91">
        <v>1.1999999999999999E-3</v>
      </c>
      <c r="AI864" s="91"/>
      <c r="AJ864" s="91">
        <f>(F864*'Part 3 Portfolio Analysis'!$B$8+M864*'Part 3 Portfolio Analysis'!$C$8+T864*'Part 3 Portfolio Analysis'!$D$8+AA864*'Part 3 Portfolio Analysis'!$E$8+AH864*'Part 3 Portfolio Analysis'!$F$8)/100</f>
        <v>-5.8977994004623677E-3</v>
      </c>
      <c r="AK864" s="91">
        <f>'Part 3 Portfolio Analysis'!$B$107*F864+M864*'Part 3 Portfolio Analysis'!$C$107+T864*'Part 3 Portfolio Analysis'!$D$107+AA864*'Part 3 Portfolio Analysis'!$E$107+AH864*'Part 3 Portfolio Analysis'!$F$107</f>
        <v>-4.0692999999999997E-3</v>
      </c>
      <c r="AL864" s="91">
        <f>F864*'Part 3 Portfolio Analysis'!$B$121+M864*'Part 3 Portfolio Analysis'!$C$121+'Part 3 Portfolio Analysis'!$D$121*T864+AA864*'Part 3 Portfolio Analysis'!$E$121+'Part 3 Portfolio Analysis'!$F$121*AH864</f>
        <v>-4.9016400000000005E-3</v>
      </c>
      <c r="AM864" s="91"/>
      <c r="AN864" s="90">
        <v>45924</v>
      </c>
      <c r="AO864" s="91">
        <v>25108.75</v>
      </c>
      <c r="AP864" s="91">
        <v>25056.900389999999</v>
      </c>
      <c r="AQ864" s="91">
        <v>25056.900389999999</v>
      </c>
      <c r="AR864" s="91">
        <v>244400</v>
      </c>
      <c r="AS864" s="91">
        <v>-4.4999999999999997E-3</v>
      </c>
    </row>
    <row r="865" spans="1:45" x14ac:dyDescent="0.55000000000000004">
      <c r="A865" s="90">
        <v>45925</v>
      </c>
      <c r="B865" s="91">
        <v>5500</v>
      </c>
      <c r="C865" s="91">
        <v>5461.5</v>
      </c>
      <c r="D865" s="91">
        <v>5461.5</v>
      </c>
      <c r="E865" s="91">
        <v>135297</v>
      </c>
      <c r="F865" s="91">
        <v>-7.7999999999999996E-3</v>
      </c>
      <c r="H865" s="90">
        <v>45925</v>
      </c>
      <c r="I865" s="91">
        <v>1381.3000489999999</v>
      </c>
      <c r="J865" s="91">
        <v>1372.400024</v>
      </c>
      <c r="K865" s="91">
        <v>1372.400024</v>
      </c>
      <c r="L865" s="91">
        <v>11411143</v>
      </c>
      <c r="M865" s="91">
        <v>-7.7000000000000002E-3</v>
      </c>
      <c r="O865" s="90">
        <v>45925</v>
      </c>
      <c r="P865" s="91">
        <v>952.5</v>
      </c>
      <c r="Q865" s="91">
        <v>949.84997559999999</v>
      </c>
      <c r="R865" s="91">
        <v>949.84997559999999</v>
      </c>
      <c r="S865" s="91">
        <v>31413279</v>
      </c>
      <c r="T865" s="91">
        <v>-1.2999999999999999E-3</v>
      </c>
      <c r="V865" s="90">
        <v>45925</v>
      </c>
      <c r="W865" s="91">
        <v>1489</v>
      </c>
      <c r="X865" s="91">
        <v>1484.8000489999999</v>
      </c>
      <c r="Y865" s="91">
        <v>1462.412231</v>
      </c>
      <c r="Z865" s="91">
        <v>9491867</v>
      </c>
      <c r="AA865" s="91">
        <v>-6.6E-3</v>
      </c>
      <c r="AB865" s="91"/>
      <c r="AC865" s="90">
        <v>45925</v>
      </c>
      <c r="AD865" s="91">
        <v>4914.5</v>
      </c>
      <c r="AE865" s="91">
        <v>4742.5</v>
      </c>
      <c r="AF865" s="91">
        <v>4742.5</v>
      </c>
      <c r="AG865" s="91">
        <v>1518468</v>
      </c>
      <c r="AH865" s="91">
        <v>-3.15E-2</v>
      </c>
      <c r="AI865" s="91"/>
      <c r="AJ865" s="91">
        <f>(F865*'Part 3 Portfolio Analysis'!$B$8+M865*'Part 3 Portfolio Analysis'!$C$8+T865*'Part 3 Portfolio Analysis'!$D$8+AA865*'Part 3 Portfolio Analysis'!$E$8+AH865*'Part 3 Portfolio Analysis'!$F$8)/100</f>
        <v>-6.7179833942897175E-3</v>
      </c>
      <c r="AK865" s="91">
        <f>'Part 3 Portfolio Analysis'!$B$107*F865+M865*'Part 3 Portfolio Analysis'!$C$107+T865*'Part 3 Portfolio Analysis'!$D$107+AA865*'Part 3 Portfolio Analysis'!$E$107+AH865*'Part 3 Portfolio Analysis'!$F$107</f>
        <v>-1.2613600000000001E-2</v>
      </c>
      <c r="AL865" s="91">
        <f>F865*'Part 3 Portfolio Analysis'!$B$121+M865*'Part 3 Portfolio Analysis'!$C$121+'Part 3 Portfolio Analysis'!$D$121*T865+AA865*'Part 3 Portfolio Analysis'!$E$121+'Part 3 Portfolio Analysis'!$F$121*AH865</f>
        <v>-6.37098E-3</v>
      </c>
      <c r="AM865" s="91"/>
      <c r="AN865" s="90">
        <v>45925</v>
      </c>
      <c r="AO865" s="91">
        <v>25034.5</v>
      </c>
      <c r="AP865" s="91">
        <v>24890.849610000001</v>
      </c>
      <c r="AQ865" s="91">
        <v>24890.849610000001</v>
      </c>
      <c r="AR865" s="91">
        <v>342500</v>
      </c>
      <c r="AS865" s="91">
        <v>-6.6E-3</v>
      </c>
    </row>
    <row r="866" spans="1:45" x14ac:dyDescent="0.55000000000000004">
      <c r="A866" s="90">
        <v>45926</v>
      </c>
      <c r="B866" s="91">
        <v>5451</v>
      </c>
      <c r="C866" s="91">
        <v>5303</v>
      </c>
      <c r="D866" s="91">
        <v>5303</v>
      </c>
      <c r="E866" s="91">
        <v>155688</v>
      </c>
      <c r="F866" s="91">
        <v>-2.9000000000000001E-2</v>
      </c>
      <c r="H866" s="90">
        <v>45926</v>
      </c>
      <c r="I866" s="91">
        <v>1372</v>
      </c>
      <c r="J866" s="91">
        <v>1377.599976</v>
      </c>
      <c r="K866" s="91">
        <v>1377.599976</v>
      </c>
      <c r="L866" s="91">
        <v>9879109</v>
      </c>
      <c r="M866" s="91">
        <v>3.8E-3</v>
      </c>
      <c r="O866" s="90">
        <v>45926</v>
      </c>
      <c r="P866" s="91">
        <v>945.09997559999999</v>
      </c>
      <c r="Q866" s="91">
        <v>945.04998780000005</v>
      </c>
      <c r="R866" s="91">
        <v>945.04998780000005</v>
      </c>
      <c r="S866" s="91">
        <v>14874656</v>
      </c>
      <c r="T866" s="91">
        <v>-5.1000000000000004E-3</v>
      </c>
      <c r="V866" s="90">
        <v>45926</v>
      </c>
      <c r="W866" s="91">
        <v>1475</v>
      </c>
      <c r="X866" s="91">
        <v>1448.900024</v>
      </c>
      <c r="Y866" s="91">
        <v>1427.053467</v>
      </c>
      <c r="Z866" s="91">
        <v>8597058</v>
      </c>
      <c r="AA866" s="91">
        <v>-2.4199999999999999E-2</v>
      </c>
      <c r="AB866" s="91"/>
      <c r="AC866" s="90">
        <v>45926</v>
      </c>
      <c r="AD866" s="91">
        <v>4739</v>
      </c>
      <c r="AE866" s="91">
        <v>4679</v>
      </c>
      <c r="AF866" s="91">
        <v>4679</v>
      </c>
      <c r="AG866" s="91">
        <v>1038283</v>
      </c>
      <c r="AH866" s="91">
        <v>-1.34E-2</v>
      </c>
      <c r="AI866" s="91"/>
      <c r="AJ866" s="91">
        <f>(F866*'Part 3 Portfolio Analysis'!$B$8+M866*'Part 3 Portfolio Analysis'!$C$8+T866*'Part 3 Portfolio Analysis'!$D$8+AA866*'Part 3 Portfolio Analysis'!$E$8+AH866*'Part 3 Portfolio Analysis'!$F$8)/100</f>
        <v>-1.2198878855908989E-2</v>
      </c>
      <c r="AK866" s="91">
        <f>'Part 3 Portfolio Analysis'!$B$107*F866+M866*'Part 3 Portfolio Analysis'!$C$107+T866*'Part 3 Portfolio Analysis'!$D$107+AA866*'Part 3 Portfolio Analysis'!$E$107+AH866*'Part 3 Portfolio Analysis'!$F$107</f>
        <v>-1.06179E-2</v>
      </c>
      <c r="AL866" s="91">
        <f>F866*'Part 3 Portfolio Analysis'!$B$121+M866*'Part 3 Portfolio Analysis'!$C$121+'Part 3 Portfolio Analysis'!$D$121*T866+AA866*'Part 3 Portfolio Analysis'!$E$121+'Part 3 Portfolio Analysis'!$F$121*AH866</f>
        <v>-7.3676000000000011E-3</v>
      </c>
      <c r="AM866" s="91"/>
      <c r="AN866" s="90">
        <v>45926</v>
      </c>
      <c r="AO866" s="91">
        <v>24818.550780000001</v>
      </c>
      <c r="AP866" s="91">
        <v>24654.699219999999</v>
      </c>
      <c r="AQ866" s="91">
        <v>24654.699219999999</v>
      </c>
      <c r="AR866" s="91">
        <v>291500</v>
      </c>
      <c r="AS866" s="91">
        <v>-9.4999999999999998E-3</v>
      </c>
    </row>
    <row r="867" spans="1:45" x14ac:dyDescent="0.55000000000000004">
      <c r="A867" s="90">
        <v>45929</v>
      </c>
      <c r="B867" s="91">
        <v>5303</v>
      </c>
      <c r="C867" s="91">
        <v>5301</v>
      </c>
      <c r="D867" s="91">
        <v>5301</v>
      </c>
      <c r="E867" s="91">
        <v>131890</v>
      </c>
      <c r="F867" s="91">
        <v>-4.0000000000000002E-4</v>
      </c>
      <c r="H867" s="90">
        <v>45929</v>
      </c>
      <c r="I867" s="91">
        <v>1381.599976</v>
      </c>
      <c r="J867" s="91">
        <v>1372.8000489999999</v>
      </c>
      <c r="K867" s="91">
        <v>1372.8000489999999</v>
      </c>
      <c r="L867" s="91">
        <v>14231999</v>
      </c>
      <c r="M867" s="91">
        <v>-3.5000000000000001E-3</v>
      </c>
      <c r="O867" s="90">
        <v>45929</v>
      </c>
      <c r="P867" s="91">
        <v>946.04998780000005</v>
      </c>
      <c r="Q867" s="91">
        <v>950.29998780000005</v>
      </c>
      <c r="R867" s="91">
        <v>950.29998780000005</v>
      </c>
      <c r="S867" s="91">
        <v>32398179</v>
      </c>
      <c r="T867" s="91">
        <v>5.5999999999999999E-3</v>
      </c>
      <c r="V867" s="90">
        <v>45929</v>
      </c>
      <c r="W867" s="91">
        <v>1460</v>
      </c>
      <c r="X867" s="91">
        <v>1441.8000489999999</v>
      </c>
      <c r="Y867" s="91">
        <v>1420.060547</v>
      </c>
      <c r="Z867" s="91">
        <v>10513117</v>
      </c>
      <c r="AA867" s="91">
        <v>-4.8999999999999998E-3</v>
      </c>
      <c r="AB867" s="91"/>
      <c r="AC867" s="90">
        <v>45929</v>
      </c>
      <c r="AD867" s="91">
        <v>4700</v>
      </c>
      <c r="AE867" s="91">
        <v>4730.5</v>
      </c>
      <c r="AF867" s="91">
        <v>4730.5</v>
      </c>
      <c r="AG867" s="91">
        <v>815624</v>
      </c>
      <c r="AH867" s="91">
        <v>1.0999999999999999E-2</v>
      </c>
      <c r="AI867" s="91"/>
      <c r="AJ867" s="91">
        <f>(F867*'Part 3 Portfolio Analysis'!$B$8+M867*'Part 3 Portfolio Analysis'!$C$8+T867*'Part 3 Portfolio Analysis'!$D$8+AA867*'Part 3 Portfolio Analysis'!$E$8+AH867*'Part 3 Portfolio Analysis'!$F$8)/100</f>
        <v>-1.1355942702452933E-3</v>
      </c>
      <c r="AK867" s="91">
        <f>'Part 3 Portfolio Analysis'!$B$107*F867+M867*'Part 3 Portfolio Analysis'!$C$107+T867*'Part 3 Portfolio Analysis'!$D$107+AA867*'Part 3 Portfolio Analysis'!$E$107+AH867*'Part 3 Portfolio Analysis'!$F$107</f>
        <v>1.9824999999999995E-3</v>
      </c>
      <c r="AL867" s="91">
        <f>F867*'Part 3 Portfolio Analysis'!$B$121+M867*'Part 3 Portfolio Analysis'!$C$121+'Part 3 Portfolio Analysis'!$D$121*T867+AA867*'Part 3 Portfolio Analysis'!$E$121+'Part 3 Portfolio Analysis'!$F$121*AH867</f>
        <v>-6.7007999999999976E-4</v>
      </c>
      <c r="AM867" s="91"/>
      <c r="AN867" s="90">
        <v>45929</v>
      </c>
      <c r="AO867" s="91">
        <v>24728.550780000001</v>
      </c>
      <c r="AP867" s="91">
        <v>24634.900389999999</v>
      </c>
      <c r="AQ867" s="91">
        <v>24634.900389999999</v>
      </c>
      <c r="AR867" s="91">
        <v>394400</v>
      </c>
      <c r="AS867" s="91">
        <v>-8.0000000000000004E-4</v>
      </c>
    </row>
    <row r="868" spans="1:45" x14ac:dyDescent="0.55000000000000004">
      <c r="A868" s="90">
        <v>45930</v>
      </c>
      <c r="B868" s="91">
        <v>5315</v>
      </c>
      <c r="C868" s="91">
        <v>5227</v>
      </c>
      <c r="D868" s="91">
        <v>5227</v>
      </c>
      <c r="E868" s="91">
        <v>270642</v>
      </c>
      <c r="F868" s="91">
        <v>-1.4E-2</v>
      </c>
      <c r="H868" s="90">
        <v>45930</v>
      </c>
      <c r="I868" s="91">
        <v>1377.099976</v>
      </c>
      <c r="J868" s="91">
        <v>1364</v>
      </c>
      <c r="K868" s="91">
        <v>1364</v>
      </c>
      <c r="L868" s="91">
        <v>14604684</v>
      </c>
      <c r="M868" s="91">
        <v>-6.4000000000000003E-3</v>
      </c>
      <c r="O868" s="90">
        <v>45930</v>
      </c>
      <c r="P868" s="91">
        <v>958.04998780000005</v>
      </c>
      <c r="Q868" s="91">
        <v>951</v>
      </c>
      <c r="R868" s="91">
        <v>951</v>
      </c>
      <c r="S868" s="91">
        <v>28296687</v>
      </c>
      <c r="T868" s="91">
        <v>6.9999999999999999E-4</v>
      </c>
      <c r="V868" s="90">
        <v>45930</v>
      </c>
      <c r="W868" s="91">
        <v>1443</v>
      </c>
      <c r="X868" s="91">
        <v>1441.8000489999999</v>
      </c>
      <c r="Y868" s="91">
        <v>1420.060547</v>
      </c>
      <c r="Z868" s="91">
        <v>7556305</v>
      </c>
      <c r="AA868" s="91">
        <v>0</v>
      </c>
      <c r="AB868" s="91"/>
      <c r="AC868" s="90">
        <v>45930</v>
      </c>
      <c r="AD868" s="91">
        <v>4744.5</v>
      </c>
      <c r="AE868" s="91">
        <v>4677.5</v>
      </c>
      <c r="AF868" s="91">
        <v>4677.5</v>
      </c>
      <c r="AG868" s="91">
        <v>751802</v>
      </c>
      <c r="AH868" s="91">
        <v>-1.12E-2</v>
      </c>
      <c r="AI868" s="91"/>
      <c r="AJ868" s="91">
        <f>(F868*'Part 3 Portfolio Analysis'!$B$8+M868*'Part 3 Portfolio Analysis'!$C$8+T868*'Part 3 Portfolio Analysis'!$D$8+AA868*'Part 3 Portfolio Analysis'!$E$8+AH868*'Part 3 Portfolio Analysis'!$F$8)/100</f>
        <v>-6.512568244267266E-3</v>
      </c>
      <c r="AK868" s="91">
        <f>'Part 3 Portfolio Analysis'!$B$107*F868+M868*'Part 3 Portfolio Analysis'!$C$107+T868*'Part 3 Portfolio Analysis'!$D$107+AA868*'Part 3 Portfolio Analysis'!$E$107+AH868*'Part 3 Portfolio Analysis'!$F$107</f>
        <v>-7.2370999999999998E-3</v>
      </c>
      <c r="AL868" s="91">
        <f>F868*'Part 3 Portfolio Analysis'!$B$121+M868*'Part 3 Portfolio Analysis'!$C$121+'Part 3 Portfolio Analysis'!$D$121*T868+AA868*'Part 3 Portfolio Analysis'!$E$121+'Part 3 Portfolio Analysis'!$F$121*AH868</f>
        <v>-3.9392799999999999E-3</v>
      </c>
      <c r="AM868" s="91"/>
      <c r="AN868" s="90">
        <v>45930</v>
      </c>
      <c r="AO868" s="91">
        <v>24691.949219999999</v>
      </c>
      <c r="AP868" s="91">
        <v>24611.099610000001</v>
      </c>
      <c r="AQ868" s="91">
        <v>24611.099610000001</v>
      </c>
      <c r="AR868" s="91">
        <v>303000</v>
      </c>
      <c r="AS868" s="91">
        <v>-1E-3</v>
      </c>
    </row>
    <row r="869" spans="1:45" x14ac:dyDescent="0.55000000000000004">
      <c r="A869" s="90">
        <v>45931</v>
      </c>
      <c r="B869" s="91">
        <v>5266.5</v>
      </c>
      <c r="C869" s="91">
        <v>5226</v>
      </c>
      <c r="D869" s="91">
        <v>5226</v>
      </c>
      <c r="E869" s="91">
        <v>172390</v>
      </c>
      <c r="F869" s="91">
        <v>-2.0000000000000001E-4</v>
      </c>
      <c r="H869" s="90">
        <v>45931</v>
      </c>
      <c r="I869" s="91">
        <v>1367</v>
      </c>
      <c r="J869" s="91">
        <v>1368.6999510000001</v>
      </c>
      <c r="K869" s="91">
        <v>1368.6999510000001</v>
      </c>
      <c r="L869" s="91">
        <v>12045916</v>
      </c>
      <c r="M869" s="91">
        <v>3.3999999999999998E-3</v>
      </c>
      <c r="O869" s="90">
        <v>45931</v>
      </c>
      <c r="P869" s="91">
        <v>952.70001219999995</v>
      </c>
      <c r="Q869" s="91">
        <v>965.25</v>
      </c>
      <c r="R869" s="91">
        <v>965.25</v>
      </c>
      <c r="S869" s="91">
        <v>25350832</v>
      </c>
      <c r="T869" s="91">
        <v>1.4999999999999999E-2</v>
      </c>
      <c r="V869" s="90">
        <v>45931</v>
      </c>
      <c r="W869" s="91">
        <v>1446</v>
      </c>
      <c r="X869" s="91">
        <v>1445.8000489999999</v>
      </c>
      <c r="Y869" s="91">
        <v>1424.0002440000001</v>
      </c>
      <c r="Z869" s="91">
        <v>6250692</v>
      </c>
      <c r="AA869" s="91">
        <v>2.8E-3</v>
      </c>
      <c r="AB869" s="91"/>
      <c r="AC869" s="90">
        <v>45931</v>
      </c>
      <c r="AD869" s="91">
        <v>4711</v>
      </c>
      <c r="AE869" s="91">
        <v>4832</v>
      </c>
      <c r="AF869" s="91">
        <v>4832</v>
      </c>
      <c r="AG869" s="91">
        <v>1270493</v>
      </c>
      <c r="AH869" s="91">
        <v>3.3000000000000002E-2</v>
      </c>
      <c r="AI869" s="91"/>
      <c r="AJ869" s="91">
        <f>(F869*'Part 3 Portfolio Analysis'!$B$8+M869*'Part 3 Portfolio Analysis'!$C$8+T869*'Part 3 Portfolio Analysis'!$D$8+AA869*'Part 3 Portfolio Analysis'!$E$8+AH869*'Part 3 Portfolio Analysis'!$F$8)/100</f>
        <v>4.4477656484989032E-3</v>
      </c>
      <c r="AK869" s="91">
        <f>'Part 3 Portfolio Analysis'!$B$107*F869+M869*'Part 3 Portfolio Analysis'!$C$107+T869*'Part 3 Portfolio Analysis'!$D$107+AA869*'Part 3 Portfolio Analysis'!$E$107+AH869*'Part 3 Portfolio Analysis'!$F$107</f>
        <v>1.19492E-2</v>
      </c>
      <c r="AL869" s="91">
        <f>F869*'Part 3 Portfolio Analysis'!$B$121+M869*'Part 3 Portfolio Analysis'!$C$121+'Part 3 Portfolio Analysis'!$D$121*T869+AA869*'Part 3 Portfolio Analysis'!$E$121+'Part 3 Portfolio Analysis'!$F$121*AH869</f>
        <v>6.9148000000000005E-3</v>
      </c>
      <c r="AM869" s="91"/>
      <c r="AN869" s="90">
        <v>45931</v>
      </c>
      <c r="AO869" s="91">
        <v>24620.550780000001</v>
      </c>
      <c r="AP869" s="91">
        <v>24836.300780000001</v>
      </c>
      <c r="AQ869" s="91">
        <v>24836.300780000001</v>
      </c>
      <c r="AR869" s="91">
        <v>308900</v>
      </c>
      <c r="AS869" s="91">
        <v>9.1999999999999998E-3</v>
      </c>
    </row>
    <row r="870" spans="1:45" x14ac:dyDescent="0.55000000000000004">
      <c r="A870" s="90">
        <v>45933</v>
      </c>
      <c r="B870" s="91">
        <v>5222.5</v>
      </c>
      <c r="C870" s="91">
        <v>5355.5</v>
      </c>
      <c r="D870" s="91">
        <v>5355.5</v>
      </c>
      <c r="E870" s="91">
        <v>170657</v>
      </c>
      <c r="F870" s="91">
        <v>2.4799999999999999E-2</v>
      </c>
      <c r="H870" s="90">
        <v>45933</v>
      </c>
      <c r="I870" s="91">
        <v>1363.1999510000001</v>
      </c>
      <c r="J870" s="91">
        <v>1363.400024</v>
      </c>
      <c r="K870" s="91">
        <v>1363.400024</v>
      </c>
      <c r="L870" s="91">
        <v>12842347</v>
      </c>
      <c r="M870" s="91">
        <v>-3.8999999999999998E-3</v>
      </c>
      <c r="O870" s="90">
        <v>45933</v>
      </c>
      <c r="P870" s="91">
        <v>952</v>
      </c>
      <c r="Q870" s="91">
        <v>965.15002440000001</v>
      </c>
      <c r="R870" s="91">
        <v>965.15002440000001</v>
      </c>
      <c r="S870" s="91">
        <v>26658296</v>
      </c>
      <c r="T870" s="91">
        <v>-1E-4</v>
      </c>
      <c r="V870" s="90">
        <v>45933</v>
      </c>
      <c r="W870" s="91">
        <v>1439</v>
      </c>
      <c r="X870" s="91">
        <v>1446.599976</v>
      </c>
      <c r="Y870" s="91">
        <v>1424.788086</v>
      </c>
      <c r="Z870" s="91">
        <v>6877533</v>
      </c>
      <c r="AA870" s="91">
        <v>5.9999999999999995E-4</v>
      </c>
      <c r="AB870" s="91"/>
      <c r="AC870" s="90">
        <v>45933</v>
      </c>
      <c r="AD870" s="91">
        <v>4804</v>
      </c>
      <c r="AE870" s="91">
        <v>4815.7001950000003</v>
      </c>
      <c r="AF870" s="91">
        <v>4815.7001950000003</v>
      </c>
      <c r="AG870" s="91">
        <v>1070640</v>
      </c>
      <c r="AH870" s="91">
        <v>-3.3999999999999998E-3</v>
      </c>
      <c r="AI870" s="91"/>
      <c r="AJ870" s="91">
        <f>(F870*'Part 3 Portfolio Analysis'!$B$8+M870*'Part 3 Portfolio Analysis'!$C$8+T870*'Part 3 Portfolio Analysis'!$D$8+AA870*'Part 3 Portfolio Analysis'!$E$8+AH870*'Part 3 Portfolio Analysis'!$F$8)/100</f>
        <v>6.0729761245689826E-3</v>
      </c>
      <c r="AK870" s="91">
        <f>'Part 3 Portfolio Analysis'!$B$107*F870+M870*'Part 3 Portfolio Analysis'!$C$107+T870*'Part 3 Portfolio Analysis'!$D$107+AA870*'Part 3 Portfolio Analysis'!$E$107+AH870*'Part 3 Portfolio Analysis'!$F$107</f>
        <v>2.4310000000000004E-3</v>
      </c>
      <c r="AL870" s="91">
        <f>F870*'Part 3 Portfolio Analysis'!$B$121+M870*'Part 3 Portfolio Analysis'!$C$121+'Part 3 Portfolio Analysis'!$D$121*T870+AA870*'Part 3 Portfolio Analysis'!$E$121+'Part 3 Portfolio Analysis'!$F$121*AH870</f>
        <v>4.0584000000000014E-4</v>
      </c>
      <c r="AM870" s="91"/>
      <c r="AN870" s="90">
        <v>45933</v>
      </c>
      <c r="AO870" s="91">
        <v>24759.550780000001</v>
      </c>
      <c r="AP870" s="91">
        <v>24894.25</v>
      </c>
      <c r="AQ870" s="91">
        <v>24894.25</v>
      </c>
      <c r="AR870" s="91">
        <v>365900</v>
      </c>
      <c r="AS870" s="91">
        <v>2.3E-3</v>
      </c>
    </row>
    <row r="871" spans="1:45" x14ac:dyDescent="0.55000000000000004">
      <c r="A871" s="90">
        <v>45936</v>
      </c>
      <c r="B871" s="91">
        <v>5389.5</v>
      </c>
      <c r="C871" s="91">
        <v>5394</v>
      </c>
      <c r="D871" s="91">
        <v>5394</v>
      </c>
      <c r="E871" s="91">
        <v>163367</v>
      </c>
      <c r="F871" s="91">
        <v>7.1999999999999998E-3</v>
      </c>
      <c r="H871" s="90">
        <v>45936</v>
      </c>
      <c r="I871" s="91">
        <v>1360</v>
      </c>
      <c r="J871" s="91">
        <v>1375</v>
      </c>
      <c r="K871" s="91">
        <v>1375</v>
      </c>
      <c r="L871" s="91">
        <v>12396580</v>
      </c>
      <c r="M871" s="91">
        <v>8.5000000000000006E-3</v>
      </c>
      <c r="O871" s="90">
        <v>45936</v>
      </c>
      <c r="P871" s="91">
        <v>971.90002440000001</v>
      </c>
      <c r="Q871" s="91">
        <v>973.45001219999995</v>
      </c>
      <c r="R871" s="91">
        <v>973.45001219999995</v>
      </c>
      <c r="S871" s="91">
        <v>18542683</v>
      </c>
      <c r="T871" s="91">
        <v>8.6E-3</v>
      </c>
      <c r="V871" s="90">
        <v>45936</v>
      </c>
      <c r="W871" s="91">
        <v>1446.599976</v>
      </c>
      <c r="X871" s="91">
        <v>1476</v>
      </c>
      <c r="Y871" s="91">
        <v>1453.7448730000001</v>
      </c>
      <c r="Z871" s="91">
        <v>4630590</v>
      </c>
      <c r="AA871" s="91">
        <v>2.0299999999999999E-2</v>
      </c>
      <c r="AB871" s="91"/>
      <c r="AC871" s="90">
        <v>45936</v>
      </c>
      <c r="AD871" s="91">
        <v>4817</v>
      </c>
      <c r="AE871" s="91">
        <v>4777.2998049999997</v>
      </c>
      <c r="AF871" s="91">
        <v>4777.2998049999997</v>
      </c>
      <c r="AG871" s="91">
        <v>1075080</v>
      </c>
      <c r="AH871" s="91">
        <v>-8.0000000000000002E-3</v>
      </c>
      <c r="AI871" s="91"/>
      <c r="AJ871" s="91">
        <f>(F871*'Part 3 Portfolio Analysis'!$B$8+M871*'Part 3 Portfolio Analysis'!$C$8+T871*'Part 3 Portfolio Analysis'!$D$8+AA871*'Part 3 Portfolio Analysis'!$E$8+AH871*'Part 3 Portfolio Analysis'!$F$8)/100</f>
        <v>9.8644330475140107E-3</v>
      </c>
      <c r="AK871" s="91">
        <f>'Part 3 Portfolio Analysis'!$B$107*F871+M871*'Part 3 Portfolio Analysis'!$C$107+T871*'Part 3 Portfolio Analysis'!$D$107+AA871*'Part 3 Portfolio Analysis'!$E$107+AH871*'Part 3 Portfolio Analysis'!$F$107</f>
        <v>5.3034999999999992E-3</v>
      </c>
      <c r="AL871" s="91">
        <f>F871*'Part 3 Portfolio Analysis'!$B$121+M871*'Part 3 Portfolio Analysis'!$C$121+'Part 3 Portfolio Analysis'!$D$121*T871+AA871*'Part 3 Portfolio Analysis'!$E$121+'Part 3 Portfolio Analysis'!$F$121*AH871</f>
        <v>1.0348039999999999E-2</v>
      </c>
      <c r="AM871" s="91"/>
      <c r="AN871" s="90">
        <v>45936</v>
      </c>
      <c r="AO871" s="91">
        <v>24916.550780000001</v>
      </c>
      <c r="AP871" s="91">
        <v>25077.650389999999</v>
      </c>
      <c r="AQ871" s="91">
        <v>25077.650389999999</v>
      </c>
      <c r="AR871" s="91">
        <v>268800</v>
      </c>
      <c r="AS871" s="91">
        <v>7.4000000000000003E-3</v>
      </c>
    </row>
    <row r="872" spans="1:45" x14ac:dyDescent="0.55000000000000004">
      <c r="A872" s="90">
        <v>45937</v>
      </c>
      <c r="B872" s="91">
        <v>5420</v>
      </c>
      <c r="C872" s="91">
        <v>5389.5</v>
      </c>
      <c r="D872" s="91">
        <v>5389.5</v>
      </c>
      <c r="E872" s="91">
        <v>158874</v>
      </c>
      <c r="F872" s="91">
        <v>-8.0000000000000004E-4</v>
      </c>
      <c r="H872" s="90">
        <v>45937</v>
      </c>
      <c r="I872" s="91">
        <v>1376</v>
      </c>
      <c r="J872" s="91">
        <v>1384.8000489999999</v>
      </c>
      <c r="K872" s="91">
        <v>1384.8000489999999</v>
      </c>
      <c r="L872" s="91">
        <v>11244040</v>
      </c>
      <c r="M872" s="91">
        <v>7.1000000000000004E-3</v>
      </c>
      <c r="O872" s="90">
        <v>45937</v>
      </c>
      <c r="P872" s="91">
        <v>974</v>
      </c>
      <c r="Q872" s="91">
        <v>982.5</v>
      </c>
      <c r="R872" s="91">
        <v>982.5</v>
      </c>
      <c r="S872" s="91">
        <v>25535736</v>
      </c>
      <c r="T872" s="91">
        <v>9.2999999999999992E-3</v>
      </c>
      <c r="V872" s="90">
        <v>45937</v>
      </c>
      <c r="W872" s="91">
        <v>1477.6999510000001</v>
      </c>
      <c r="X872" s="91">
        <v>1458.5</v>
      </c>
      <c r="Y872" s="91">
        <v>1436.5086670000001</v>
      </c>
      <c r="Z872" s="91">
        <v>5570320</v>
      </c>
      <c r="AA872" s="91">
        <v>-1.1900000000000001E-2</v>
      </c>
      <c r="AB872" s="91"/>
      <c r="AC872" s="90">
        <v>45937</v>
      </c>
      <c r="AD872" s="91">
        <v>4695</v>
      </c>
      <c r="AE872" s="91">
        <v>4686</v>
      </c>
      <c r="AF872" s="91">
        <v>4686</v>
      </c>
      <c r="AG872" s="91">
        <v>2789651</v>
      </c>
      <c r="AH872" s="91">
        <v>-1.9099999999999999E-2</v>
      </c>
      <c r="AI872" s="91"/>
      <c r="AJ872" s="91">
        <f>(F872*'Part 3 Portfolio Analysis'!$B$8+M872*'Part 3 Portfolio Analysis'!$C$8+T872*'Part 3 Portfolio Analysis'!$D$8+AA872*'Part 3 Portfolio Analysis'!$E$8+AH872*'Part 3 Portfolio Analysis'!$F$8)/100</f>
        <v>1.7831818767010026E-3</v>
      </c>
      <c r="AK872" s="91">
        <f>'Part 3 Portfolio Analysis'!$B$107*F872+M872*'Part 3 Portfolio Analysis'!$C$107+T872*'Part 3 Portfolio Analysis'!$D$107+AA872*'Part 3 Portfolio Analysis'!$E$107+AH872*'Part 3 Portfolio Analysis'!$F$107</f>
        <v>-2.4834000000000002E-3</v>
      </c>
      <c r="AL872" s="91">
        <f>F872*'Part 3 Portfolio Analysis'!$B$121+M872*'Part 3 Portfolio Analysis'!$C$121+'Part 3 Portfolio Analysis'!$D$121*T872+AA872*'Part 3 Portfolio Analysis'!$E$121+'Part 3 Portfolio Analysis'!$F$121*AH872</f>
        <v>2.5625799999999996E-3</v>
      </c>
      <c r="AM872" s="91"/>
      <c r="AN872" s="90">
        <v>45937</v>
      </c>
      <c r="AO872" s="91">
        <v>25085.300780000001</v>
      </c>
      <c r="AP872" s="91">
        <v>25108.300780000001</v>
      </c>
      <c r="AQ872" s="91">
        <v>25108.300780000001</v>
      </c>
      <c r="AR872" s="91">
        <v>288000</v>
      </c>
      <c r="AS872" s="91">
        <v>1.1999999999999999E-3</v>
      </c>
    </row>
    <row r="873" spans="1:45" x14ac:dyDescent="0.55000000000000004">
      <c r="A873" s="90">
        <v>45938</v>
      </c>
      <c r="B873" s="91">
        <v>5389.5</v>
      </c>
      <c r="C873" s="91">
        <v>5460</v>
      </c>
      <c r="D873" s="91">
        <v>5460</v>
      </c>
      <c r="E873" s="91">
        <v>378764</v>
      </c>
      <c r="F873" s="91">
        <v>1.3100000000000001E-2</v>
      </c>
      <c r="H873" s="90">
        <v>45938</v>
      </c>
      <c r="I873" s="91">
        <v>1384.8000489999999</v>
      </c>
      <c r="J873" s="91">
        <v>1367.400024</v>
      </c>
      <c r="K873" s="91">
        <v>1367.400024</v>
      </c>
      <c r="L873" s="91">
        <v>8525081</v>
      </c>
      <c r="M873" s="91">
        <v>-1.26E-2</v>
      </c>
      <c r="O873" s="90">
        <v>45938</v>
      </c>
      <c r="P873" s="91">
        <v>976</v>
      </c>
      <c r="Q873" s="91">
        <v>978.70001219999995</v>
      </c>
      <c r="R873" s="91">
        <v>978.70001219999995</v>
      </c>
      <c r="S873" s="91">
        <v>15939710</v>
      </c>
      <c r="T873" s="91">
        <v>-3.8999999999999998E-3</v>
      </c>
      <c r="V873" s="90">
        <v>45938</v>
      </c>
      <c r="W873" s="91">
        <v>1457</v>
      </c>
      <c r="X873" s="91">
        <v>1495</v>
      </c>
      <c r="Y873" s="91">
        <v>1472.458374</v>
      </c>
      <c r="Z873" s="91">
        <v>4657192</v>
      </c>
      <c r="AA873" s="91">
        <v>2.5000000000000001E-2</v>
      </c>
      <c r="AB873" s="91"/>
      <c r="AC873" s="90">
        <v>45938</v>
      </c>
      <c r="AD873" s="91">
        <v>4709</v>
      </c>
      <c r="AE873" s="91">
        <v>4616.6000979999999</v>
      </c>
      <c r="AF873" s="91">
        <v>4616.6000979999999</v>
      </c>
      <c r="AG873" s="91">
        <v>1114855</v>
      </c>
      <c r="AH873" s="91">
        <v>-1.4800000000000001E-2</v>
      </c>
      <c r="AI873" s="91"/>
      <c r="AJ873" s="91">
        <f>(F873*'Part 3 Portfolio Analysis'!$B$8+M873*'Part 3 Portfolio Analysis'!$C$8+T873*'Part 3 Portfolio Analysis'!$D$8+AA873*'Part 3 Portfolio Analysis'!$E$8+AH873*'Part 3 Portfolio Analysis'!$F$8)/100</f>
        <v>2.5908708087945755E-3</v>
      </c>
      <c r="AK873" s="91">
        <f>'Part 3 Portfolio Analysis'!$B$107*F873+M873*'Part 3 Portfolio Analysis'!$C$107+T873*'Part 3 Portfolio Analysis'!$D$107+AA873*'Part 3 Portfolio Analysis'!$E$107+AH873*'Part 3 Portfolio Analysis'!$F$107</f>
        <v>-3.4198999999999996E-3</v>
      </c>
      <c r="AL873" s="91">
        <f>F873*'Part 3 Portfolio Analysis'!$B$121+M873*'Part 3 Portfolio Analysis'!$C$121+'Part 3 Portfolio Analysis'!$D$121*T873+AA873*'Part 3 Portfolio Analysis'!$E$121+'Part 3 Portfolio Analysis'!$F$121*AH873</f>
        <v>-6.5869999999999818E-4</v>
      </c>
      <c r="AM873" s="91"/>
      <c r="AN873" s="90">
        <v>45938</v>
      </c>
      <c r="AO873" s="91">
        <v>25079.75</v>
      </c>
      <c r="AP873" s="91">
        <v>25046.150389999999</v>
      </c>
      <c r="AQ873" s="91">
        <v>25046.150389999999</v>
      </c>
      <c r="AR873" s="91">
        <v>227400</v>
      </c>
      <c r="AS873" s="91">
        <v>-2.5000000000000001E-3</v>
      </c>
    </row>
    <row r="874" spans="1:45" x14ac:dyDescent="0.55000000000000004">
      <c r="A874" s="90">
        <v>45939</v>
      </c>
      <c r="B874" s="91">
        <v>5460</v>
      </c>
      <c r="C874" s="91">
        <v>5573</v>
      </c>
      <c r="D874" s="91">
        <v>5573</v>
      </c>
      <c r="E874" s="91">
        <v>361874</v>
      </c>
      <c r="F874" s="91">
        <v>2.07E-2</v>
      </c>
      <c r="H874" s="90">
        <v>45939</v>
      </c>
      <c r="I874" s="91">
        <v>1374</v>
      </c>
      <c r="J874" s="91">
        <v>1377.8000489999999</v>
      </c>
      <c r="K874" s="91">
        <v>1377.8000489999999</v>
      </c>
      <c r="L874" s="91">
        <v>8826633</v>
      </c>
      <c r="M874" s="91">
        <v>7.6E-3</v>
      </c>
      <c r="O874" s="90">
        <v>45939</v>
      </c>
      <c r="P874" s="91">
        <v>974.5</v>
      </c>
      <c r="Q874" s="91">
        <v>977.09997559999999</v>
      </c>
      <c r="R874" s="91">
        <v>977.09997559999999</v>
      </c>
      <c r="S874" s="91">
        <v>15370950</v>
      </c>
      <c r="T874" s="91">
        <v>-1.6000000000000001E-3</v>
      </c>
      <c r="V874" s="90">
        <v>45939</v>
      </c>
      <c r="W874" s="91">
        <v>1502</v>
      </c>
      <c r="X874" s="91">
        <v>1509.3000489999999</v>
      </c>
      <c r="Y874" s="91">
        <v>1486.5428469999999</v>
      </c>
      <c r="Z874" s="91">
        <v>7028753</v>
      </c>
      <c r="AA874" s="91">
        <v>9.5999999999999992E-3</v>
      </c>
      <c r="AB874" s="91"/>
      <c r="AC874" s="90">
        <v>45939</v>
      </c>
      <c r="AD874" s="91">
        <v>4630</v>
      </c>
      <c r="AE874" s="91">
        <v>4660.8999020000001</v>
      </c>
      <c r="AF874" s="91">
        <v>4660.8999020000001</v>
      </c>
      <c r="AG874" s="91">
        <v>749429</v>
      </c>
      <c r="AH874" s="91">
        <v>9.5999999999999992E-3</v>
      </c>
      <c r="AI874" s="91"/>
      <c r="AJ874" s="91">
        <f>(F874*'Part 3 Portfolio Analysis'!$B$8+M874*'Part 3 Portfolio Analysis'!$C$8+T874*'Part 3 Portfolio Analysis'!$D$8+AA874*'Part 3 Portfolio Analysis'!$E$8+AH874*'Part 3 Portfolio Analysis'!$F$8)/100</f>
        <v>1.0336737489410735E-2</v>
      </c>
      <c r="AK874" s="91">
        <f>'Part 3 Portfolio Analysis'!$B$107*F874+M874*'Part 3 Portfolio Analysis'!$C$107+T874*'Part 3 Portfolio Analysis'!$D$107+AA874*'Part 3 Portfolio Analysis'!$E$107+AH874*'Part 3 Portfolio Analysis'!$F$107</f>
        <v>9.2359999999999994E-3</v>
      </c>
      <c r="AL874" s="91">
        <f>F874*'Part 3 Portfolio Analysis'!$B$121+M874*'Part 3 Portfolio Analysis'!$C$121+'Part 3 Portfolio Analysis'!$D$121*T874+AA874*'Part 3 Portfolio Analysis'!$E$121+'Part 3 Portfolio Analysis'!$F$121*AH874</f>
        <v>6.6268199999999994E-3</v>
      </c>
      <c r="AM874" s="91"/>
      <c r="AN874" s="90">
        <v>45939</v>
      </c>
      <c r="AO874" s="91">
        <v>25074.300780000001</v>
      </c>
      <c r="AP874" s="91">
        <v>25181.800780000001</v>
      </c>
      <c r="AQ874" s="91">
        <v>25181.800780000001</v>
      </c>
      <c r="AR874" s="91">
        <v>286300</v>
      </c>
      <c r="AS874" s="91">
        <v>5.4000000000000003E-3</v>
      </c>
    </row>
    <row r="875" spans="1:45" x14ac:dyDescent="0.55000000000000004">
      <c r="A875" s="90">
        <v>45940</v>
      </c>
      <c r="B875" s="91">
        <v>5549.5</v>
      </c>
      <c r="C875" s="91">
        <v>5407.5</v>
      </c>
      <c r="D875" s="91">
        <v>5407.5</v>
      </c>
      <c r="E875" s="91">
        <v>791616</v>
      </c>
      <c r="F875" s="91">
        <v>-2.9700000000000001E-2</v>
      </c>
      <c r="H875" s="90">
        <v>45940</v>
      </c>
      <c r="I875" s="91">
        <v>1377.8000489999999</v>
      </c>
      <c r="J875" s="91">
        <v>1381.6999510000001</v>
      </c>
      <c r="K875" s="91">
        <v>1381.6999510000001</v>
      </c>
      <c r="L875" s="91">
        <v>6373084</v>
      </c>
      <c r="M875" s="91">
        <v>2.8E-3</v>
      </c>
      <c r="O875" s="90">
        <v>45940</v>
      </c>
      <c r="P875" s="91">
        <v>979</v>
      </c>
      <c r="Q875" s="91">
        <v>980.90002440000001</v>
      </c>
      <c r="R875" s="91">
        <v>980.90002440000001</v>
      </c>
      <c r="S875" s="91">
        <v>13757080</v>
      </c>
      <c r="T875" s="91">
        <v>3.8999999999999998E-3</v>
      </c>
      <c r="V875" s="90">
        <v>45940</v>
      </c>
      <c r="W875" s="91">
        <v>1510</v>
      </c>
      <c r="X875" s="91">
        <v>1514.900024</v>
      </c>
      <c r="Y875" s="91">
        <v>1492.05835</v>
      </c>
      <c r="Z875" s="91">
        <v>3738353</v>
      </c>
      <c r="AA875" s="91">
        <v>3.7000000000000002E-3</v>
      </c>
      <c r="AB875" s="91"/>
      <c r="AC875" s="90">
        <v>45940</v>
      </c>
      <c r="AD875" s="91">
        <v>4670</v>
      </c>
      <c r="AE875" s="91">
        <v>4691.1000979999999</v>
      </c>
      <c r="AF875" s="91">
        <v>4691.1000979999999</v>
      </c>
      <c r="AG875" s="91">
        <v>735165</v>
      </c>
      <c r="AH875" s="91">
        <v>6.4999999999999997E-3</v>
      </c>
      <c r="AI875" s="91"/>
      <c r="AJ875" s="91">
        <f>(F875*'Part 3 Portfolio Analysis'!$B$8+M875*'Part 3 Portfolio Analysis'!$C$8+T875*'Part 3 Portfolio Analysis'!$D$8+AA875*'Part 3 Portfolio Analysis'!$E$8+AH875*'Part 3 Portfolio Analysis'!$F$8)/100</f>
        <v>-6.5855035084430771E-3</v>
      </c>
      <c r="AK875" s="91">
        <f>'Part 3 Portfolio Analysis'!$B$107*F875+M875*'Part 3 Portfolio Analysis'!$C$107+T875*'Part 3 Portfolio Analysis'!$D$107+AA875*'Part 3 Portfolio Analysis'!$E$107+AH875*'Part 3 Portfolio Analysis'!$F$107</f>
        <v>-1.8570999999999998E-3</v>
      </c>
      <c r="AL875" s="91">
        <f>F875*'Part 3 Portfolio Analysis'!$B$121+M875*'Part 3 Portfolio Analysis'!$C$121+'Part 3 Portfolio Analysis'!$D$121*T875+AA875*'Part 3 Portfolio Analysis'!$E$121+'Part 3 Portfolio Analysis'!$F$121*AH875</f>
        <v>7.0464000000000019E-4</v>
      </c>
      <c r="AM875" s="91"/>
      <c r="AN875" s="90">
        <v>45940</v>
      </c>
      <c r="AO875" s="91">
        <v>25167.650389999999</v>
      </c>
      <c r="AP875" s="91">
        <v>25285.349610000001</v>
      </c>
      <c r="AQ875" s="91">
        <v>25285.349610000001</v>
      </c>
      <c r="AR875" s="91">
        <v>232900</v>
      </c>
      <c r="AS875" s="91">
        <v>4.1000000000000003E-3</v>
      </c>
    </row>
    <row r="876" spans="1:45" x14ac:dyDescent="0.55000000000000004">
      <c r="A876" s="90">
        <v>45943</v>
      </c>
      <c r="B876" s="91">
        <v>5369.5</v>
      </c>
      <c r="C876" s="91">
        <v>5352</v>
      </c>
      <c r="D876" s="91">
        <v>5352</v>
      </c>
      <c r="E876" s="91">
        <v>232299</v>
      </c>
      <c r="F876" s="91">
        <v>-1.03E-2</v>
      </c>
      <c r="H876" s="90">
        <v>45943</v>
      </c>
      <c r="I876" s="91">
        <v>1376.900024</v>
      </c>
      <c r="J876" s="91">
        <v>1375</v>
      </c>
      <c r="K876" s="91">
        <v>1375</v>
      </c>
      <c r="L876" s="91">
        <v>7600682</v>
      </c>
      <c r="M876" s="91">
        <v>-4.7999999999999996E-3</v>
      </c>
      <c r="O876" s="90">
        <v>45943</v>
      </c>
      <c r="P876" s="91">
        <v>974.29998780000005</v>
      </c>
      <c r="Q876" s="91">
        <v>977</v>
      </c>
      <c r="R876" s="91">
        <v>977</v>
      </c>
      <c r="S876" s="91">
        <v>18634254</v>
      </c>
      <c r="T876" s="91">
        <v>-4.0000000000000001E-3</v>
      </c>
      <c r="V876" s="90">
        <v>45943</v>
      </c>
      <c r="W876" s="91">
        <v>1497</v>
      </c>
      <c r="X876" s="91">
        <v>1493.1999510000001</v>
      </c>
      <c r="Y876" s="91">
        <v>1470.6854249999999</v>
      </c>
      <c r="Z876" s="91">
        <v>5859355</v>
      </c>
      <c r="AA876" s="91">
        <v>-1.43E-2</v>
      </c>
      <c r="AB876" s="91"/>
      <c r="AC876" s="90">
        <v>45943</v>
      </c>
      <c r="AD876" s="91">
        <v>4677.1000979999999</v>
      </c>
      <c r="AE876" s="91">
        <v>4681.6000979999999</v>
      </c>
      <c r="AF876" s="91">
        <v>4681.6000979999999</v>
      </c>
      <c r="AG876" s="91">
        <v>602116</v>
      </c>
      <c r="AH876" s="91">
        <v>-2E-3</v>
      </c>
      <c r="AI876" s="91"/>
      <c r="AJ876" s="91">
        <f>(F876*'Part 3 Portfolio Analysis'!$B$8+M876*'Part 3 Portfolio Analysis'!$C$8+T876*'Part 3 Portfolio Analysis'!$D$8+AA876*'Part 3 Portfolio Analysis'!$E$8+AH876*'Part 3 Portfolio Analysis'!$F$8)/100</f>
        <v>-7.8180526825894336E-3</v>
      </c>
      <c r="AK876" s="91">
        <f>'Part 3 Portfolio Analysis'!$B$107*F876+M876*'Part 3 Portfolio Analysis'!$C$107+T876*'Part 3 Portfolio Analysis'!$D$107+AA876*'Part 3 Portfolio Analysis'!$E$107+AH876*'Part 3 Portfolio Analysis'!$F$107</f>
        <v>-5.9103999999999997E-3</v>
      </c>
      <c r="AL876" s="91">
        <f>F876*'Part 3 Portfolio Analysis'!$B$121+M876*'Part 3 Portfolio Analysis'!$C$121+'Part 3 Portfolio Analysis'!$D$121*T876+AA876*'Part 3 Portfolio Analysis'!$E$121+'Part 3 Portfolio Analysis'!$F$121*AH876</f>
        <v>-6.8611400000000008E-3</v>
      </c>
      <c r="AM876" s="91"/>
      <c r="AN876" s="90">
        <v>45943</v>
      </c>
      <c r="AO876" s="91">
        <v>25177.300780000001</v>
      </c>
      <c r="AP876" s="91">
        <v>25227.349610000001</v>
      </c>
      <c r="AQ876" s="91">
        <v>25227.349610000001</v>
      </c>
      <c r="AR876" s="91">
        <v>234300</v>
      </c>
      <c r="AS876" s="91">
        <v>-2.3E-3</v>
      </c>
    </row>
    <row r="877" spans="1:45" x14ac:dyDescent="0.55000000000000004">
      <c r="A877" s="90">
        <v>45944</v>
      </c>
      <c r="B877" s="91">
        <v>5370</v>
      </c>
      <c r="C877" s="91">
        <v>5335</v>
      </c>
      <c r="D877" s="91">
        <v>5335</v>
      </c>
      <c r="E877" s="91">
        <v>174112</v>
      </c>
      <c r="F877" s="91">
        <v>-3.2000000000000002E-3</v>
      </c>
      <c r="H877" s="90">
        <v>45944</v>
      </c>
      <c r="I877" s="91">
        <v>1380</v>
      </c>
      <c r="J877" s="91">
        <v>1375.900024</v>
      </c>
      <c r="K877" s="91">
        <v>1375.900024</v>
      </c>
      <c r="L877" s="91">
        <v>9768174</v>
      </c>
      <c r="M877" s="91">
        <v>6.9999999999999999E-4</v>
      </c>
      <c r="O877" s="90">
        <v>45944</v>
      </c>
      <c r="P877" s="91">
        <v>970</v>
      </c>
      <c r="Q877" s="91">
        <v>977.15002440000001</v>
      </c>
      <c r="R877" s="91">
        <v>977.15002440000001</v>
      </c>
      <c r="S877" s="91">
        <v>22934382</v>
      </c>
      <c r="T877" s="91">
        <v>2.0000000000000001E-4</v>
      </c>
      <c r="V877" s="90">
        <v>45944</v>
      </c>
      <c r="W877" s="91">
        <v>1499</v>
      </c>
      <c r="X877" s="91">
        <v>1489.900024</v>
      </c>
      <c r="Y877" s="91">
        <v>1467.435303</v>
      </c>
      <c r="Z877" s="91">
        <v>5600789</v>
      </c>
      <c r="AA877" s="91">
        <v>-2.2000000000000001E-3</v>
      </c>
      <c r="AB877" s="91"/>
      <c r="AC877" s="90">
        <v>45944</v>
      </c>
      <c r="AD877" s="91">
        <v>4690</v>
      </c>
      <c r="AE877" s="91">
        <v>4617.2001950000003</v>
      </c>
      <c r="AF877" s="91">
        <v>4617.2001950000003</v>
      </c>
      <c r="AG877" s="91">
        <v>913650</v>
      </c>
      <c r="AH877" s="91">
        <v>-1.38E-2</v>
      </c>
      <c r="AI877" s="91"/>
      <c r="AJ877" s="91">
        <f>(F877*'Part 3 Portfolio Analysis'!$B$8+M877*'Part 3 Portfolio Analysis'!$C$8+T877*'Part 3 Portfolio Analysis'!$D$8+AA877*'Part 3 Portfolio Analysis'!$E$8+AH877*'Part 3 Portfolio Analysis'!$F$8)/100</f>
        <v>-1.1618308565715923E-3</v>
      </c>
      <c r="AK877" s="91">
        <f>'Part 3 Portfolio Analysis'!$B$107*F877+M877*'Part 3 Portfolio Analysis'!$C$107+T877*'Part 3 Portfolio Analysis'!$D$107+AA877*'Part 3 Portfolio Analysis'!$E$107+AH877*'Part 3 Portfolio Analysis'!$F$107</f>
        <v>-4.0235000000000002E-3</v>
      </c>
      <c r="AL877" s="91">
        <f>F877*'Part 3 Portfolio Analysis'!$B$121+M877*'Part 3 Portfolio Analysis'!$C$121+'Part 3 Portfolio Analysis'!$D$121*T877+AA877*'Part 3 Portfolio Analysis'!$E$121+'Part 3 Portfolio Analysis'!$F$121*AH877</f>
        <v>-7.1648000000000002E-4</v>
      </c>
      <c r="AM877" s="91"/>
      <c r="AN877" s="90">
        <v>45944</v>
      </c>
      <c r="AO877" s="91">
        <v>25277.550780000001</v>
      </c>
      <c r="AP877" s="91">
        <v>25145.5</v>
      </c>
      <c r="AQ877" s="91">
        <v>25145.5</v>
      </c>
      <c r="AR877" s="91">
        <v>292100</v>
      </c>
      <c r="AS877" s="91">
        <v>-3.2000000000000002E-3</v>
      </c>
    </row>
    <row r="878" spans="1:45" x14ac:dyDescent="0.55000000000000004">
      <c r="A878" s="90">
        <v>45945</v>
      </c>
      <c r="B878" s="91">
        <v>5335</v>
      </c>
      <c r="C878" s="91">
        <v>5367.5</v>
      </c>
      <c r="D878" s="91">
        <v>5367.5</v>
      </c>
      <c r="E878" s="91">
        <v>141704</v>
      </c>
      <c r="F878" s="91">
        <v>6.1000000000000004E-3</v>
      </c>
      <c r="H878" s="90">
        <v>45945</v>
      </c>
      <c r="I878" s="91">
        <v>1383</v>
      </c>
      <c r="J878" s="91">
        <v>1374.3000489999999</v>
      </c>
      <c r="K878" s="91">
        <v>1374.3000489999999</v>
      </c>
      <c r="L878" s="91">
        <v>10882743</v>
      </c>
      <c r="M878" s="91">
        <v>-1.1999999999999999E-3</v>
      </c>
      <c r="O878" s="90">
        <v>45945</v>
      </c>
      <c r="P878" s="91">
        <v>975</v>
      </c>
      <c r="Q878" s="91">
        <v>978.25</v>
      </c>
      <c r="R878" s="91">
        <v>978.25</v>
      </c>
      <c r="S878" s="91">
        <v>23310447</v>
      </c>
      <c r="T878" s="91">
        <v>1.1000000000000001E-3</v>
      </c>
      <c r="V878" s="90">
        <v>45945</v>
      </c>
      <c r="W878" s="91">
        <v>1483.900024</v>
      </c>
      <c r="X878" s="91">
        <v>1474.400024</v>
      </c>
      <c r="Y878" s="91">
        <v>1452.169067</v>
      </c>
      <c r="Z878" s="91">
        <v>6986098</v>
      </c>
      <c r="AA878" s="91">
        <v>-1.04E-2</v>
      </c>
      <c r="AB878" s="91"/>
      <c r="AC878" s="90">
        <v>45945</v>
      </c>
      <c r="AD878" s="91">
        <v>4617.2001950000003</v>
      </c>
      <c r="AE878" s="91">
        <v>4724.2001950000003</v>
      </c>
      <c r="AF878" s="91">
        <v>4724.2001950000003</v>
      </c>
      <c r="AG878" s="91">
        <v>1298534</v>
      </c>
      <c r="AH878" s="91">
        <v>2.3199999999999998E-2</v>
      </c>
      <c r="AI878" s="91"/>
      <c r="AJ878" s="91">
        <f>(F878*'Part 3 Portfolio Analysis'!$B$8+M878*'Part 3 Portfolio Analysis'!$C$8+T878*'Part 3 Portfolio Analysis'!$D$8+AA878*'Part 3 Portfolio Analysis'!$E$8+AH878*'Part 3 Portfolio Analysis'!$F$8)/100</f>
        <v>1.3155613000347298E-4</v>
      </c>
      <c r="AK878" s="91">
        <f>'Part 3 Portfolio Analysis'!$B$107*F878+M878*'Part 3 Portfolio Analysis'!$C$107+T878*'Part 3 Portfolio Analysis'!$D$107+AA878*'Part 3 Portfolio Analysis'!$E$107+AH878*'Part 3 Portfolio Analysis'!$F$107</f>
        <v>5.6993E-3</v>
      </c>
      <c r="AL878" s="91">
        <f>F878*'Part 3 Portfolio Analysis'!$B$121+M878*'Part 3 Portfolio Analysis'!$C$121+'Part 3 Portfolio Analysis'!$D$121*T878+AA878*'Part 3 Portfolio Analysis'!$E$121+'Part 3 Portfolio Analysis'!$F$121*AH878</f>
        <v>-1.1750599999999995E-3</v>
      </c>
      <c r="AM878" s="91"/>
      <c r="AN878" s="90">
        <v>45945</v>
      </c>
      <c r="AO878" s="91">
        <v>25181.949219999999</v>
      </c>
      <c r="AP878" s="91">
        <v>25323.550780000001</v>
      </c>
      <c r="AQ878" s="91">
        <v>25323.550780000001</v>
      </c>
      <c r="AR878" s="91">
        <v>289900</v>
      </c>
      <c r="AS878" s="91">
        <v>7.1000000000000004E-3</v>
      </c>
    </row>
    <row r="879" spans="1:45" x14ac:dyDescent="0.55000000000000004">
      <c r="A879" s="90">
        <v>45946</v>
      </c>
      <c r="B879" s="91">
        <v>5388</v>
      </c>
      <c r="C879" s="91">
        <v>5403.5</v>
      </c>
      <c r="D879" s="91">
        <v>5403.5</v>
      </c>
      <c r="E879" s="91">
        <v>122296</v>
      </c>
      <c r="F879" s="91">
        <v>6.7000000000000002E-3</v>
      </c>
      <c r="H879" s="90">
        <v>45946</v>
      </c>
      <c r="I879" s="91">
        <v>1375.099976</v>
      </c>
      <c r="J879" s="91">
        <v>1398.3000489999999</v>
      </c>
      <c r="K879" s="91">
        <v>1398.3000489999999</v>
      </c>
      <c r="L879" s="91">
        <v>12315932</v>
      </c>
      <c r="M879" s="91">
        <v>1.7500000000000002E-2</v>
      </c>
      <c r="O879" s="90">
        <v>45946</v>
      </c>
      <c r="P879" s="91">
        <v>982.65002440000001</v>
      </c>
      <c r="Q879" s="91">
        <v>994.34997559999999</v>
      </c>
      <c r="R879" s="91">
        <v>994.34997559999999</v>
      </c>
      <c r="S879" s="91">
        <v>22936566</v>
      </c>
      <c r="T879" s="91">
        <v>1.6500000000000001E-2</v>
      </c>
      <c r="V879" s="90">
        <v>45946</v>
      </c>
      <c r="W879" s="91">
        <v>1473.900024</v>
      </c>
      <c r="X879" s="91">
        <v>1471.5</v>
      </c>
      <c r="Y879" s="91">
        <v>1449.3127440000001</v>
      </c>
      <c r="Z879" s="91">
        <v>8005748</v>
      </c>
      <c r="AA879" s="91">
        <v>-2E-3</v>
      </c>
      <c r="AB879" s="91"/>
      <c r="AC879" s="90">
        <v>45946</v>
      </c>
      <c r="AD879" s="91">
        <v>4743</v>
      </c>
      <c r="AE879" s="91">
        <v>4793.3999020000001</v>
      </c>
      <c r="AF879" s="91">
        <v>4793.3999020000001</v>
      </c>
      <c r="AG879" s="91">
        <v>1140794</v>
      </c>
      <c r="AH879" s="91">
        <v>1.46E-2</v>
      </c>
      <c r="AI879" s="91"/>
      <c r="AJ879" s="91">
        <f>(F879*'Part 3 Portfolio Analysis'!$B$8+M879*'Part 3 Portfolio Analysis'!$C$8+T879*'Part 3 Portfolio Analysis'!$D$8+AA879*'Part 3 Portfolio Analysis'!$E$8+AH879*'Part 3 Portfolio Analysis'!$F$8)/100</f>
        <v>1.0926639255910737E-2</v>
      </c>
      <c r="AK879" s="91">
        <f>'Part 3 Portfolio Analysis'!$B$107*F879+M879*'Part 3 Portfolio Analysis'!$C$107+T879*'Part 3 Portfolio Analysis'!$D$107+AA879*'Part 3 Portfolio Analysis'!$E$107+AH879*'Part 3 Portfolio Analysis'!$F$107</f>
        <v>1.2720200000000001E-2</v>
      </c>
      <c r="AL879" s="91">
        <f>F879*'Part 3 Portfolio Analysis'!$B$121+M879*'Part 3 Portfolio Analysis'!$C$121+'Part 3 Portfolio Analysis'!$D$121*T879+AA879*'Part 3 Portfolio Analysis'!$E$121+'Part 3 Portfolio Analysis'!$F$121*AH879</f>
        <v>1.2364260000000002E-2</v>
      </c>
      <c r="AM879" s="91"/>
      <c r="AN879" s="90">
        <v>45946</v>
      </c>
      <c r="AO879" s="91">
        <v>25394.900389999999</v>
      </c>
      <c r="AP879" s="91">
        <v>25585.300780000001</v>
      </c>
      <c r="AQ879" s="91">
        <v>25585.300780000001</v>
      </c>
      <c r="AR879" s="91">
        <v>372800</v>
      </c>
      <c r="AS879" s="91">
        <v>1.03E-2</v>
      </c>
    </row>
    <row r="880" spans="1:45" x14ac:dyDescent="0.55000000000000004">
      <c r="A880" s="90">
        <v>45947</v>
      </c>
      <c r="B880" s="91">
        <v>5403.5</v>
      </c>
      <c r="C880" s="91">
        <v>5369.5</v>
      </c>
      <c r="D880" s="91">
        <v>5369.5</v>
      </c>
      <c r="E880" s="91">
        <v>193891</v>
      </c>
      <c r="F880" s="91">
        <v>-6.3E-3</v>
      </c>
      <c r="H880" s="90">
        <v>45947</v>
      </c>
      <c r="I880" s="91">
        <v>1401</v>
      </c>
      <c r="J880" s="91">
        <v>1416.8000489999999</v>
      </c>
      <c r="K880" s="91">
        <v>1416.8000489999999</v>
      </c>
      <c r="L880" s="91">
        <v>19335561</v>
      </c>
      <c r="M880" s="91">
        <v>1.32E-2</v>
      </c>
      <c r="O880" s="90">
        <v>45947</v>
      </c>
      <c r="P880" s="91">
        <v>993.95001219999995</v>
      </c>
      <c r="Q880" s="91">
        <v>1002.549988</v>
      </c>
      <c r="R880" s="91">
        <v>1002.549988</v>
      </c>
      <c r="S880" s="91">
        <v>25210511</v>
      </c>
      <c r="T880" s="91">
        <v>8.2000000000000007E-3</v>
      </c>
      <c r="V880" s="90">
        <v>45947</v>
      </c>
      <c r="W880" s="91">
        <v>1454.900024</v>
      </c>
      <c r="X880" s="91">
        <v>1441.099976</v>
      </c>
      <c r="Y880" s="91">
        <v>1419.3710940000001</v>
      </c>
      <c r="Z880" s="91">
        <v>16959378</v>
      </c>
      <c r="AA880" s="91">
        <v>-2.07E-2</v>
      </c>
      <c r="AB880" s="91"/>
      <c r="AC880" s="90">
        <v>45947</v>
      </c>
      <c r="AD880" s="91">
        <v>4793.3999020000001</v>
      </c>
      <c r="AE880" s="91">
        <v>4814.3999020000001</v>
      </c>
      <c r="AF880" s="91">
        <v>4814.3999020000001</v>
      </c>
      <c r="AG880" s="91">
        <v>1243932</v>
      </c>
      <c r="AH880" s="91">
        <v>4.4000000000000003E-3</v>
      </c>
      <c r="AI880" s="91"/>
      <c r="AJ880" s="91">
        <f>(F880*'Part 3 Portfolio Analysis'!$B$8+M880*'Part 3 Portfolio Analysis'!$C$8+T880*'Part 3 Portfolio Analysis'!$D$8+AA880*'Part 3 Portfolio Analysis'!$E$8+AH880*'Part 3 Portfolio Analysis'!$F$8)/100</f>
        <v>9.7428082656564926E-4</v>
      </c>
      <c r="AK880" s="91">
        <f>'Part 3 Portfolio Analysis'!$B$107*F880+M880*'Part 3 Portfolio Analysis'!$C$107+T880*'Part 3 Portfolio Analysis'!$D$107+AA880*'Part 3 Portfolio Analysis'!$E$107+AH880*'Part 3 Portfolio Analysis'!$F$107</f>
        <v>3.3073999999999998E-3</v>
      </c>
      <c r="AL880" s="91">
        <f>F880*'Part 3 Portfolio Analysis'!$B$121+M880*'Part 3 Portfolio Analysis'!$C$121+'Part 3 Portfolio Analysis'!$D$121*T880+AA880*'Part 3 Portfolio Analysis'!$E$121+'Part 3 Portfolio Analysis'!$F$121*AH880</f>
        <v>3.2265399999999995E-3</v>
      </c>
      <c r="AM880" s="91"/>
      <c r="AN880" s="90">
        <v>45947</v>
      </c>
      <c r="AO880" s="91">
        <v>25546.849610000001</v>
      </c>
      <c r="AP880" s="91">
        <v>25709.849610000001</v>
      </c>
      <c r="AQ880" s="91">
        <v>25709.849610000001</v>
      </c>
      <c r="AR880" s="91">
        <v>422100</v>
      </c>
      <c r="AS880" s="91">
        <v>4.8999999999999998E-3</v>
      </c>
    </row>
    <row r="881" spans="1:45" x14ac:dyDescent="0.55000000000000004">
      <c r="A881" s="90">
        <v>45950</v>
      </c>
      <c r="B881" s="91">
        <v>5369.5</v>
      </c>
      <c r="C881" s="91">
        <v>5397.5</v>
      </c>
      <c r="D881" s="91">
        <v>5397.5</v>
      </c>
      <c r="E881" s="91">
        <v>91698</v>
      </c>
      <c r="F881" s="91">
        <v>5.1999999999999998E-3</v>
      </c>
      <c r="H881" s="90">
        <v>45950</v>
      </c>
      <c r="I881" s="91">
        <v>1440</v>
      </c>
      <c r="J881" s="91">
        <v>1466.8000489999999</v>
      </c>
      <c r="K881" s="91">
        <v>1466.8000489999999</v>
      </c>
      <c r="L881" s="91">
        <v>24721978</v>
      </c>
      <c r="M881" s="91">
        <v>3.5299999999999998E-2</v>
      </c>
      <c r="O881" s="90">
        <v>45950</v>
      </c>
      <c r="P881" s="91">
        <v>997</v>
      </c>
      <c r="Q881" s="91">
        <v>1002.950012</v>
      </c>
      <c r="R881" s="91">
        <v>1002.950012</v>
      </c>
      <c r="S881" s="91">
        <v>22195202</v>
      </c>
      <c r="T881" s="91">
        <v>4.0000000000000002E-4</v>
      </c>
      <c r="V881" s="90">
        <v>45950</v>
      </c>
      <c r="W881" s="91">
        <v>1453.6999510000001</v>
      </c>
      <c r="X881" s="91">
        <v>1460.900024</v>
      </c>
      <c r="Y881" s="91">
        <v>1438.8725589999999</v>
      </c>
      <c r="Z881" s="91">
        <v>6994246</v>
      </c>
      <c r="AA881" s="91">
        <v>1.37E-2</v>
      </c>
      <c r="AB881" s="91"/>
      <c r="AC881" s="90">
        <v>45950</v>
      </c>
      <c r="AD881" s="91">
        <v>4821.8999020000001</v>
      </c>
      <c r="AE881" s="91">
        <v>4802.2998049999997</v>
      </c>
      <c r="AF881" s="91">
        <v>4802.2998049999997</v>
      </c>
      <c r="AG881" s="91">
        <v>610816</v>
      </c>
      <c r="AH881" s="91">
        <v>-2.5000000000000001E-3</v>
      </c>
      <c r="AI881" s="91"/>
      <c r="AJ881" s="91">
        <f>(F881*'Part 3 Portfolio Analysis'!$B$8+M881*'Part 3 Portfolio Analysis'!$C$8+T881*'Part 3 Portfolio Analysis'!$D$8+AA881*'Part 3 Portfolio Analysis'!$E$8+AH881*'Part 3 Portfolio Analysis'!$F$8)/100</f>
        <v>1.6602629685976544E-2</v>
      </c>
      <c r="AK881" s="91">
        <f>'Part 3 Portfolio Analysis'!$B$107*F881+M881*'Part 3 Portfolio Analysis'!$C$107+T881*'Part 3 Portfolio Analysis'!$D$107+AA881*'Part 3 Portfolio Analysis'!$E$107+AH881*'Part 3 Portfolio Analysis'!$F$107</f>
        <v>1.2786899999999997E-2</v>
      </c>
      <c r="AL881" s="91">
        <f>F881*'Part 3 Portfolio Analysis'!$B$121+M881*'Part 3 Portfolio Analysis'!$C$121+'Part 3 Portfolio Analysis'!$D$121*T881+AA881*'Part 3 Portfolio Analysis'!$E$121+'Part 3 Portfolio Analysis'!$F$121*AH881</f>
        <v>1.8022619999999996E-2</v>
      </c>
      <c r="AM881" s="91"/>
      <c r="AN881" s="90">
        <v>45950</v>
      </c>
      <c r="AO881" s="91">
        <v>25824.599610000001</v>
      </c>
      <c r="AP881" s="91">
        <v>25843.150389999999</v>
      </c>
      <c r="AQ881" s="91">
        <v>25843.150389999999</v>
      </c>
      <c r="AR881" s="91">
        <v>301100</v>
      </c>
      <c r="AS881" s="91">
        <v>5.1999999999999998E-3</v>
      </c>
    </row>
    <row r="882" spans="1:45" x14ac:dyDescent="0.55000000000000004">
      <c r="A882" s="90">
        <v>45951</v>
      </c>
      <c r="B882" s="91">
        <v>5424.5</v>
      </c>
      <c r="C882" s="91">
        <v>5354.5</v>
      </c>
      <c r="D882" s="91">
        <v>5354.5</v>
      </c>
      <c r="E882" s="91">
        <v>46044</v>
      </c>
      <c r="F882" s="91">
        <v>-8.0000000000000002E-3</v>
      </c>
      <c r="H882" s="90">
        <v>45951</v>
      </c>
      <c r="I882" s="91">
        <v>1468</v>
      </c>
      <c r="J882" s="91">
        <v>1465.1999510000001</v>
      </c>
      <c r="K882" s="91">
        <v>1465.1999510000001</v>
      </c>
      <c r="L882" s="91">
        <v>2066169</v>
      </c>
      <c r="M882" s="91">
        <v>-1.1000000000000001E-3</v>
      </c>
      <c r="O882" s="90">
        <v>45951</v>
      </c>
      <c r="P882" s="91">
        <v>1006</v>
      </c>
      <c r="Q882" s="91">
        <v>1007.700012</v>
      </c>
      <c r="R882" s="91">
        <v>1007.700012</v>
      </c>
      <c r="S882" s="91">
        <v>3471600</v>
      </c>
      <c r="T882" s="91">
        <v>4.7000000000000002E-3</v>
      </c>
      <c r="V882" s="90">
        <v>45951</v>
      </c>
      <c r="W882" s="91">
        <v>1478</v>
      </c>
      <c r="X882" s="91">
        <v>1472.400024</v>
      </c>
      <c r="Y882" s="91">
        <v>1450.1992190000001</v>
      </c>
      <c r="Z882" s="91">
        <v>1698704</v>
      </c>
      <c r="AA882" s="91">
        <v>7.9000000000000008E-3</v>
      </c>
      <c r="AB882" s="91"/>
      <c r="AC882" s="90">
        <v>45951</v>
      </c>
      <c r="AD882" s="91">
        <v>4827</v>
      </c>
      <c r="AE882" s="91">
        <v>4791.1000979999999</v>
      </c>
      <c r="AF882" s="91">
        <v>4791.1000979999999</v>
      </c>
      <c r="AG882" s="91">
        <v>82502</v>
      </c>
      <c r="AH882" s="91">
        <v>-2.3E-3</v>
      </c>
      <c r="AI882" s="91"/>
      <c r="AJ882" s="91">
        <f>(F882*'Part 3 Portfolio Analysis'!$B$8+M882*'Part 3 Portfolio Analysis'!$C$8+T882*'Part 3 Portfolio Analysis'!$D$8+AA882*'Part 3 Portfolio Analysis'!$E$8+AH882*'Part 3 Portfolio Analysis'!$F$8)/100</f>
        <v>-7.6581252461141165E-4</v>
      </c>
      <c r="AK882" s="91">
        <f>'Part 3 Portfolio Analysis'!$B$107*F882+M882*'Part 3 Portfolio Analysis'!$C$107+T882*'Part 3 Portfolio Analysis'!$D$107+AA882*'Part 3 Portfolio Analysis'!$E$107+AH882*'Part 3 Portfolio Analysis'!$F$107</f>
        <v>-8.4539999999999984E-4</v>
      </c>
      <c r="AL882" s="91">
        <f>F882*'Part 3 Portfolio Analysis'!$B$121+M882*'Part 3 Portfolio Analysis'!$C$121+'Part 3 Portfolio Analysis'!$D$121*T882+AA882*'Part 3 Portfolio Analysis'!$E$121+'Part 3 Portfolio Analysis'!$F$121*AH882</f>
        <v>1.6789800000000005E-3</v>
      </c>
      <c r="AM882" s="91"/>
      <c r="AN882" s="90">
        <v>45951</v>
      </c>
      <c r="AO882" s="91">
        <v>25901.199219999999</v>
      </c>
      <c r="AP882" s="91">
        <v>25868.599610000001</v>
      </c>
      <c r="AQ882" s="91">
        <v>25868.599610000001</v>
      </c>
      <c r="AR882" s="91">
        <v>42500</v>
      </c>
      <c r="AS882" s="91">
        <v>1E-3</v>
      </c>
    </row>
    <row r="883" spans="1:45" x14ac:dyDescent="0.55000000000000004">
      <c r="A883" s="90">
        <v>45953</v>
      </c>
      <c r="B883" s="91">
        <v>5401.5</v>
      </c>
      <c r="C883" s="91">
        <v>5471</v>
      </c>
      <c r="D883" s="91">
        <v>5471</v>
      </c>
      <c r="E883" s="91">
        <v>289323</v>
      </c>
      <c r="F883" s="91">
        <v>2.18E-2</v>
      </c>
      <c r="H883" s="90">
        <v>45953</v>
      </c>
      <c r="I883" s="91">
        <v>1475</v>
      </c>
      <c r="J883" s="91">
        <v>1448.400024</v>
      </c>
      <c r="K883" s="91">
        <v>1448.400024</v>
      </c>
      <c r="L883" s="91">
        <v>18707090</v>
      </c>
      <c r="M883" s="91">
        <v>-1.15E-2</v>
      </c>
      <c r="O883" s="90">
        <v>45953</v>
      </c>
      <c r="P883" s="91">
        <v>1016</v>
      </c>
      <c r="Q883" s="91">
        <v>1008.799988</v>
      </c>
      <c r="R883" s="91">
        <v>1008.799988</v>
      </c>
      <c r="S883" s="91">
        <v>43526526</v>
      </c>
      <c r="T883" s="91">
        <v>1.1000000000000001E-3</v>
      </c>
      <c r="V883" s="90">
        <v>45953</v>
      </c>
      <c r="W883" s="91">
        <v>1510</v>
      </c>
      <c r="X883" s="91">
        <v>1528.5</v>
      </c>
      <c r="Y883" s="91">
        <v>1505.4532469999999</v>
      </c>
      <c r="Z883" s="91">
        <v>20358624</v>
      </c>
      <c r="AA883" s="91">
        <v>3.8100000000000002E-2</v>
      </c>
      <c r="AB883" s="91"/>
      <c r="AC883" s="90">
        <v>45953</v>
      </c>
      <c r="AD883" s="91">
        <v>4800</v>
      </c>
      <c r="AE883" s="91">
        <v>4783.2998049999997</v>
      </c>
      <c r="AF883" s="91">
        <v>4783.2998049999997</v>
      </c>
      <c r="AG883" s="91">
        <v>769642</v>
      </c>
      <c r="AH883" s="91">
        <v>-1.6000000000000001E-3</v>
      </c>
      <c r="AI883" s="91"/>
      <c r="AJ883" s="91">
        <f>(F883*'Part 3 Portfolio Analysis'!$B$8+M883*'Part 3 Portfolio Analysis'!$C$8+T883*'Part 3 Portfolio Analysis'!$D$8+AA883*'Part 3 Portfolio Analysis'!$E$8+AH883*'Part 3 Portfolio Analysis'!$F$8)/100</f>
        <v>8.6709037005392349E-3</v>
      </c>
      <c r="AK883" s="91">
        <f>'Part 3 Portfolio Analysis'!$B$107*F883+M883*'Part 3 Portfolio Analysis'!$C$107+T883*'Part 3 Portfolio Analysis'!$D$107+AA883*'Part 3 Portfolio Analysis'!$E$107+AH883*'Part 3 Portfolio Analysis'!$F$107</f>
        <v>3.9017999999999995E-3</v>
      </c>
      <c r="AL883" s="91">
        <f>F883*'Part 3 Portfolio Analysis'!$B$121+M883*'Part 3 Portfolio Analysis'!$C$121+'Part 3 Portfolio Analysis'!$D$121*T883+AA883*'Part 3 Portfolio Analysis'!$E$121+'Part 3 Portfolio Analysis'!$F$121*AH883</f>
        <v>4.8438400000000012E-3</v>
      </c>
      <c r="AM883" s="91"/>
      <c r="AN883" s="90">
        <v>45953</v>
      </c>
      <c r="AO883" s="91">
        <v>26057.199219999999</v>
      </c>
      <c r="AP883" s="91">
        <v>25891.400389999999</v>
      </c>
      <c r="AQ883" s="91">
        <v>25891.400389999999</v>
      </c>
      <c r="AR883" s="91">
        <v>448400</v>
      </c>
      <c r="AS883" s="91">
        <v>8.9999999999999998E-4</v>
      </c>
    </row>
    <row r="884" spans="1:45" x14ac:dyDescent="0.55000000000000004">
      <c r="A884" s="90">
        <v>45954</v>
      </c>
      <c r="B884" s="91">
        <v>5499.5</v>
      </c>
      <c r="C884" s="91">
        <v>5544</v>
      </c>
      <c r="D884" s="91">
        <v>5544</v>
      </c>
      <c r="E884" s="91">
        <v>216677</v>
      </c>
      <c r="F884" s="91">
        <v>1.3299999999999999E-2</v>
      </c>
      <c r="H884" s="90">
        <v>45954</v>
      </c>
      <c r="I884" s="91">
        <v>1450</v>
      </c>
      <c r="J884" s="91">
        <v>1451.599976</v>
      </c>
      <c r="K884" s="91">
        <v>1451.599976</v>
      </c>
      <c r="L884" s="91">
        <v>9700837</v>
      </c>
      <c r="M884" s="91">
        <v>2.2000000000000001E-3</v>
      </c>
      <c r="O884" s="90">
        <v>45954</v>
      </c>
      <c r="P884" s="91">
        <v>1011</v>
      </c>
      <c r="Q884" s="91">
        <v>994.75</v>
      </c>
      <c r="R884" s="91">
        <v>994.75</v>
      </c>
      <c r="S884" s="91">
        <v>17707768</v>
      </c>
      <c r="T884" s="91">
        <v>-1.3899999999999999E-2</v>
      </c>
      <c r="V884" s="90">
        <v>45954</v>
      </c>
      <c r="W884" s="91">
        <v>1539.5</v>
      </c>
      <c r="X884" s="91">
        <v>1525.400024</v>
      </c>
      <c r="Y884" s="91">
        <v>1502.400024</v>
      </c>
      <c r="Z884" s="91">
        <v>8652257</v>
      </c>
      <c r="AA884" s="91">
        <v>-2E-3</v>
      </c>
      <c r="AB884" s="91"/>
      <c r="AC884" s="90">
        <v>45954</v>
      </c>
      <c r="AD884" s="91">
        <v>4796</v>
      </c>
      <c r="AE884" s="91">
        <v>4789.6000979999999</v>
      </c>
      <c r="AF884" s="91">
        <v>4789.6000979999999</v>
      </c>
      <c r="AG884" s="91">
        <v>519615</v>
      </c>
      <c r="AH884" s="91">
        <v>1.2999999999999999E-3</v>
      </c>
      <c r="AI884" s="91"/>
      <c r="AJ884" s="91">
        <f>(F884*'Part 3 Portfolio Analysis'!$B$8+M884*'Part 3 Portfolio Analysis'!$C$8+T884*'Part 3 Portfolio Analysis'!$D$8+AA884*'Part 3 Portfolio Analysis'!$E$8+AH884*'Part 3 Portfolio Analysis'!$F$8)/100</f>
        <v>2.1595982923494285E-3</v>
      </c>
      <c r="AK884" s="91">
        <f>'Part 3 Portfolio Analysis'!$B$107*F884+M884*'Part 3 Portfolio Analysis'!$C$107+T884*'Part 3 Portfolio Analysis'!$D$107+AA884*'Part 3 Portfolio Analysis'!$E$107+AH884*'Part 3 Portfolio Analysis'!$F$107</f>
        <v>1.0557000000000003E-3</v>
      </c>
      <c r="AL884" s="91">
        <f>F884*'Part 3 Portfolio Analysis'!$B$121+M884*'Part 3 Portfolio Analysis'!$C$121+'Part 3 Portfolio Analysis'!$D$121*T884+AA884*'Part 3 Portfolio Analysis'!$E$121+'Part 3 Portfolio Analysis'!$F$121*AH884</f>
        <v>-2.1303600000000004E-3</v>
      </c>
      <c r="AM884" s="91"/>
      <c r="AN884" s="90">
        <v>45954</v>
      </c>
      <c r="AO884" s="91">
        <v>25935.099610000001</v>
      </c>
      <c r="AP884" s="91">
        <v>25795.150389999999</v>
      </c>
      <c r="AQ884" s="91">
        <v>25795.150389999999</v>
      </c>
      <c r="AR884" s="91">
        <v>284900</v>
      </c>
      <c r="AS884" s="91">
        <v>-3.7000000000000002E-3</v>
      </c>
    </row>
    <row r="885" spans="1:45" x14ac:dyDescent="0.55000000000000004">
      <c r="A885" s="90">
        <v>45957</v>
      </c>
      <c r="B885" s="91">
        <v>5549</v>
      </c>
      <c r="C885" s="91">
        <v>5585.5</v>
      </c>
      <c r="D885" s="91">
        <v>5585.5</v>
      </c>
      <c r="E885" s="91">
        <v>212923</v>
      </c>
      <c r="F885" s="91">
        <v>7.4999999999999997E-3</v>
      </c>
      <c r="H885" s="90">
        <v>45957</v>
      </c>
      <c r="I885" s="91">
        <v>1463</v>
      </c>
      <c r="J885" s="91">
        <v>1484.099976</v>
      </c>
      <c r="K885" s="91">
        <v>1484.099976</v>
      </c>
      <c r="L885" s="91">
        <v>14113867</v>
      </c>
      <c r="M885" s="91">
        <v>2.24E-2</v>
      </c>
      <c r="O885" s="90">
        <v>45957</v>
      </c>
      <c r="P885" s="91">
        <v>996.5</v>
      </c>
      <c r="Q885" s="91">
        <v>1002.950012</v>
      </c>
      <c r="R885" s="91">
        <v>1002.950012</v>
      </c>
      <c r="S885" s="91">
        <v>15700796</v>
      </c>
      <c r="T885" s="91">
        <v>8.2000000000000007E-3</v>
      </c>
      <c r="V885" s="90">
        <v>45957</v>
      </c>
      <c r="W885" s="91">
        <v>1510</v>
      </c>
      <c r="X885" s="91">
        <v>1504.5</v>
      </c>
      <c r="Y885" s="91">
        <v>1504.5</v>
      </c>
      <c r="Z885" s="91">
        <v>7273211</v>
      </c>
      <c r="AA885" s="91">
        <v>1.4E-3</v>
      </c>
      <c r="AB885" s="91"/>
      <c r="AC885" s="90">
        <v>45957</v>
      </c>
      <c r="AD885" s="91">
        <v>4810</v>
      </c>
      <c r="AE885" s="91">
        <v>4798.7001950000003</v>
      </c>
      <c r="AF885" s="91">
        <v>4798.7001950000003</v>
      </c>
      <c r="AG885" s="91">
        <v>414172</v>
      </c>
      <c r="AH885" s="91">
        <v>1.9E-3</v>
      </c>
      <c r="AI885" s="91"/>
      <c r="AJ885" s="91">
        <f>(F885*'Part 3 Portfolio Analysis'!$B$8+M885*'Part 3 Portfolio Analysis'!$C$8+T885*'Part 3 Portfolio Analysis'!$D$8+AA885*'Part 3 Portfolio Analysis'!$E$8+AH885*'Part 3 Portfolio Analysis'!$F$8)/100</f>
        <v>1.1981295951595255E-2</v>
      </c>
      <c r="AK885" s="91">
        <f>'Part 3 Portfolio Analysis'!$B$107*F885+M885*'Part 3 Portfolio Analysis'!$C$107+T885*'Part 3 Portfolio Analysis'!$D$107+AA885*'Part 3 Portfolio Analysis'!$E$107+AH885*'Part 3 Portfolio Analysis'!$F$107</f>
        <v>1.0250999999999998E-2</v>
      </c>
      <c r="AL885" s="91">
        <f>F885*'Part 3 Portfolio Analysis'!$B$121+M885*'Part 3 Portfolio Analysis'!$C$121+'Part 3 Portfolio Analysis'!$D$121*T885+AA885*'Part 3 Portfolio Analysis'!$E$121+'Part 3 Portfolio Analysis'!$F$121*AH885</f>
        <v>1.257572E-2</v>
      </c>
      <c r="AM885" s="91"/>
      <c r="AN885" s="90">
        <v>45957</v>
      </c>
      <c r="AO885" s="91">
        <v>25843.199219999999</v>
      </c>
      <c r="AP885" s="91">
        <v>25966.050780000001</v>
      </c>
      <c r="AQ885" s="91">
        <v>25966.050780000001</v>
      </c>
      <c r="AR885" s="91">
        <v>266300</v>
      </c>
      <c r="AS885" s="91">
        <v>6.6E-3</v>
      </c>
    </row>
    <row r="886" spans="1:45" x14ac:dyDescent="0.55000000000000004">
      <c r="A886" s="90">
        <v>45958</v>
      </c>
      <c r="B886" s="91">
        <v>5600</v>
      </c>
      <c r="C886" s="91">
        <v>5545</v>
      </c>
      <c r="D886" s="91">
        <v>5545</v>
      </c>
      <c r="E886" s="91">
        <v>138538</v>
      </c>
      <c r="F886" s="91">
        <v>-7.3000000000000001E-3</v>
      </c>
      <c r="H886" s="90">
        <v>45958</v>
      </c>
      <c r="I886" s="91">
        <v>1484.099976</v>
      </c>
      <c r="J886" s="91">
        <v>1486.900024</v>
      </c>
      <c r="K886" s="91">
        <v>1486.900024</v>
      </c>
      <c r="L886" s="91">
        <v>17631577</v>
      </c>
      <c r="M886" s="91">
        <v>1.9E-3</v>
      </c>
      <c r="O886" s="90">
        <v>45958</v>
      </c>
      <c r="P886" s="91">
        <v>997.65002440000001</v>
      </c>
      <c r="Q886" s="91">
        <v>1003.549988</v>
      </c>
      <c r="R886" s="91">
        <v>1003.549988</v>
      </c>
      <c r="S886" s="91">
        <v>33904289</v>
      </c>
      <c r="T886" s="91">
        <v>5.9999999999999995E-4</v>
      </c>
      <c r="V886" s="90">
        <v>45958</v>
      </c>
      <c r="W886" s="91">
        <v>1499.6999510000001</v>
      </c>
      <c r="X886" s="91">
        <v>1500.1999510000001</v>
      </c>
      <c r="Y886" s="91">
        <v>1500.1999510000001</v>
      </c>
      <c r="Z886" s="91">
        <v>8211019</v>
      </c>
      <c r="AA886" s="91">
        <v>-2.8999999999999998E-3</v>
      </c>
      <c r="AB886" s="91"/>
      <c r="AC886" s="90">
        <v>45958</v>
      </c>
      <c r="AD886" s="91">
        <v>4800.6000979999999</v>
      </c>
      <c r="AE886" s="91">
        <v>4725.3999020000001</v>
      </c>
      <c r="AF886" s="91">
        <v>4725.3999020000001</v>
      </c>
      <c r="AG886" s="91">
        <v>616890</v>
      </c>
      <c r="AH886" s="91">
        <v>-1.5299999999999999E-2</v>
      </c>
      <c r="AI886" s="91"/>
      <c r="AJ886" s="91">
        <f>(F886*'Part 3 Portfolio Analysis'!$B$8+M886*'Part 3 Portfolio Analysis'!$C$8+T886*'Part 3 Portfolio Analysis'!$D$8+AA886*'Part 3 Portfolio Analysis'!$E$8+AH886*'Part 3 Portfolio Analysis'!$F$8)/100</f>
        <v>-2.0174435110876681E-3</v>
      </c>
      <c r="AK886" s="91">
        <f>'Part 3 Portfolio Analysis'!$B$107*F886+M886*'Part 3 Portfolio Analysis'!$C$107+T886*'Part 3 Portfolio Analysis'!$D$107+AA886*'Part 3 Portfolio Analysis'!$E$107+AH886*'Part 3 Portfolio Analysis'!$F$107</f>
        <v>-4.7718999999999999E-3</v>
      </c>
      <c r="AL886" s="91">
        <f>F886*'Part 3 Portfolio Analysis'!$B$121+M886*'Part 3 Portfolio Analysis'!$C$121+'Part 3 Portfolio Analysis'!$D$121*T886+AA886*'Part 3 Portfolio Analysis'!$E$121+'Part 3 Portfolio Analysis'!$F$121*AH886</f>
        <v>-6.2048000000000008E-4</v>
      </c>
      <c r="AM886" s="91"/>
      <c r="AN886" s="90">
        <v>45958</v>
      </c>
      <c r="AO886" s="91">
        <v>25939.949219999999</v>
      </c>
      <c r="AP886" s="91">
        <v>25936.199219999999</v>
      </c>
      <c r="AQ886" s="91">
        <v>25936.199219999999</v>
      </c>
      <c r="AR886" s="91">
        <v>395200</v>
      </c>
      <c r="AS886" s="91">
        <v>-1.1000000000000001E-3</v>
      </c>
    </row>
    <row r="887" spans="1:45" x14ac:dyDescent="0.55000000000000004">
      <c r="A887" s="90">
        <v>45959</v>
      </c>
      <c r="B887" s="91">
        <v>5556.5</v>
      </c>
      <c r="C887" s="91">
        <v>5538.5</v>
      </c>
      <c r="D887" s="91">
        <v>5538.5</v>
      </c>
      <c r="E887" s="91">
        <v>81128</v>
      </c>
      <c r="F887" s="91">
        <v>-1.1999999999999999E-3</v>
      </c>
      <c r="H887" s="90">
        <v>45959</v>
      </c>
      <c r="I887" s="91">
        <v>1490</v>
      </c>
      <c r="J887" s="91">
        <v>1504.1999510000001</v>
      </c>
      <c r="K887" s="91">
        <v>1504.1999510000001</v>
      </c>
      <c r="L887" s="91">
        <v>11884745</v>
      </c>
      <c r="M887" s="91">
        <v>1.1599999999999999E-2</v>
      </c>
      <c r="O887" s="90">
        <v>45959</v>
      </c>
      <c r="P887" s="91">
        <v>1004.900024</v>
      </c>
      <c r="Q887" s="91">
        <v>1007.849976</v>
      </c>
      <c r="R887" s="91">
        <v>1007.849976</v>
      </c>
      <c r="S887" s="91">
        <v>17769445</v>
      </c>
      <c r="T887" s="91">
        <v>4.3E-3</v>
      </c>
      <c r="V887" s="90">
        <v>45959</v>
      </c>
      <c r="W887" s="91">
        <v>1500.1999510000001</v>
      </c>
      <c r="X887" s="91">
        <v>1510.400024</v>
      </c>
      <c r="Y887" s="91">
        <v>1510.400024</v>
      </c>
      <c r="Z887" s="91">
        <v>4884976</v>
      </c>
      <c r="AA887" s="91">
        <v>6.7999999999999996E-3</v>
      </c>
      <c r="AB887" s="91"/>
      <c r="AC887" s="90">
        <v>45959</v>
      </c>
      <c r="AD887" s="91">
        <v>4735</v>
      </c>
      <c r="AE887" s="91">
        <v>4780.6000979999999</v>
      </c>
      <c r="AF887" s="91">
        <v>4780.6000979999999</v>
      </c>
      <c r="AG887" s="91">
        <v>305268</v>
      </c>
      <c r="AH887" s="91">
        <v>1.17E-2</v>
      </c>
      <c r="AI887" s="91"/>
      <c r="AJ887" s="91">
        <f>(F887*'Part 3 Portfolio Analysis'!$B$8+M887*'Part 3 Portfolio Analysis'!$C$8+T887*'Part 3 Portfolio Analysis'!$D$8+AA887*'Part 3 Portfolio Analysis'!$E$8+AH887*'Part 3 Portfolio Analysis'!$F$8)/100</f>
        <v>5.770763511029545E-3</v>
      </c>
      <c r="AK887" s="91">
        <f>'Part 3 Portfolio Analysis'!$B$107*F887+M887*'Part 3 Portfolio Analysis'!$C$107+T887*'Part 3 Portfolio Analysis'!$D$107+AA887*'Part 3 Portfolio Analysis'!$E$107+AH887*'Part 3 Portfolio Analysis'!$F$107</f>
        <v>7.7096999999999999E-3</v>
      </c>
      <c r="AL887" s="91">
        <f>F887*'Part 3 Portfolio Analysis'!$B$121+M887*'Part 3 Portfolio Analysis'!$C$121+'Part 3 Portfolio Analysis'!$D$121*T887+AA887*'Part 3 Portfolio Analysis'!$E$121+'Part 3 Portfolio Analysis'!$F$121*AH887</f>
        <v>7.6048599999999997E-3</v>
      </c>
      <c r="AM887" s="91"/>
      <c r="AN887" s="90">
        <v>45959</v>
      </c>
      <c r="AO887" s="91">
        <v>25982</v>
      </c>
      <c r="AP887" s="91">
        <v>26053.900389999999</v>
      </c>
      <c r="AQ887" s="91">
        <v>26053.900389999999</v>
      </c>
      <c r="AR887" s="91">
        <v>321900</v>
      </c>
      <c r="AS887" s="91">
        <v>4.4999999999999997E-3</v>
      </c>
    </row>
    <row r="888" spans="1:45" x14ac:dyDescent="0.55000000000000004">
      <c r="A888" s="90">
        <v>45960</v>
      </c>
      <c r="B888" s="91">
        <v>5555</v>
      </c>
      <c r="C888" s="91">
        <v>5539.5</v>
      </c>
      <c r="D888" s="91">
        <v>5539.5</v>
      </c>
      <c r="E888" s="91">
        <v>123485</v>
      </c>
      <c r="F888" s="91">
        <v>2.0000000000000001E-4</v>
      </c>
      <c r="H888" s="90">
        <v>45960</v>
      </c>
      <c r="I888" s="91">
        <v>1500</v>
      </c>
      <c r="J888" s="91">
        <v>1488.5</v>
      </c>
      <c r="K888" s="91">
        <v>1488.5</v>
      </c>
      <c r="L888" s="91">
        <v>9318663</v>
      </c>
      <c r="M888" s="91">
        <v>-1.04E-2</v>
      </c>
      <c r="O888" s="90">
        <v>45960</v>
      </c>
      <c r="P888" s="91">
        <v>1000</v>
      </c>
      <c r="Q888" s="91">
        <v>998.15002440000001</v>
      </c>
      <c r="R888" s="91">
        <v>998.15002440000001</v>
      </c>
      <c r="S888" s="91">
        <v>19962917</v>
      </c>
      <c r="T888" s="91">
        <v>-9.5999999999999992E-3</v>
      </c>
      <c r="V888" s="90">
        <v>45960</v>
      </c>
      <c r="W888" s="91">
        <v>1507</v>
      </c>
      <c r="X888" s="91">
        <v>1493.8000489999999</v>
      </c>
      <c r="Y888" s="91">
        <v>1493.8000489999999</v>
      </c>
      <c r="Z888" s="91">
        <v>5608867</v>
      </c>
      <c r="AA888" s="91">
        <v>-1.0999999999999999E-2</v>
      </c>
      <c r="AB888" s="91"/>
      <c r="AC888" s="90">
        <v>45960</v>
      </c>
      <c r="AD888" s="91">
        <v>4781.1000979999999</v>
      </c>
      <c r="AE888" s="91">
        <v>4744.5</v>
      </c>
      <c r="AF888" s="91">
        <v>4744.5</v>
      </c>
      <c r="AG888" s="91">
        <v>346569</v>
      </c>
      <c r="AH888" s="91">
        <v>-7.6E-3</v>
      </c>
      <c r="AI888" s="91"/>
      <c r="AJ888" s="91">
        <f>(F888*'Part 3 Portfolio Analysis'!$B$8+M888*'Part 3 Portfolio Analysis'!$C$8+T888*'Part 3 Portfolio Analysis'!$D$8+AA888*'Part 3 Portfolio Analysis'!$E$8+AH888*'Part 3 Portfolio Analysis'!$F$8)/100</f>
        <v>-7.1557439105372446E-3</v>
      </c>
      <c r="AK888" s="91">
        <f>'Part 3 Portfolio Analysis'!$B$107*F888+M888*'Part 3 Portfolio Analysis'!$C$107+T888*'Part 3 Portfolio Analysis'!$D$107+AA888*'Part 3 Portfolio Analysis'!$E$107+AH888*'Part 3 Portfolio Analysis'!$F$107</f>
        <v>-7.7223999999999999E-3</v>
      </c>
      <c r="AL888" s="91">
        <f>F888*'Part 3 Portfolio Analysis'!$B$121+M888*'Part 3 Portfolio Analysis'!$C$121+'Part 3 Portfolio Analysis'!$D$121*T888+AA888*'Part 3 Portfolio Analysis'!$E$121+'Part 3 Portfolio Analysis'!$F$121*AH888</f>
        <v>-9.3577199999999999E-3</v>
      </c>
      <c r="AM888" s="91"/>
      <c r="AN888" s="90">
        <v>45960</v>
      </c>
      <c r="AO888" s="91">
        <v>25984.400389999999</v>
      </c>
      <c r="AP888" s="91">
        <v>25877.849610000001</v>
      </c>
      <c r="AQ888" s="91">
        <v>25877.849610000001</v>
      </c>
      <c r="AR888" s="91">
        <v>257400</v>
      </c>
      <c r="AS888" s="91">
        <v>-6.7999999999999996E-3</v>
      </c>
    </row>
    <row r="889" spans="1:45" x14ac:dyDescent="0.55000000000000004">
      <c r="A889" s="90">
        <v>45961</v>
      </c>
      <c r="B889" s="91">
        <v>5539.5</v>
      </c>
      <c r="C889" s="91">
        <v>5454.5</v>
      </c>
      <c r="D889" s="91">
        <v>5454.5</v>
      </c>
      <c r="E889" s="91">
        <v>87662</v>
      </c>
      <c r="F889" s="91">
        <v>-1.5299999999999999E-2</v>
      </c>
      <c r="H889" s="90">
        <v>45961</v>
      </c>
      <c r="I889" s="91">
        <v>1490.400024</v>
      </c>
      <c r="J889" s="91">
        <v>1486.400024</v>
      </c>
      <c r="K889" s="91">
        <v>1486.400024</v>
      </c>
      <c r="L889" s="91">
        <v>8758053</v>
      </c>
      <c r="M889" s="91">
        <v>-1.4E-3</v>
      </c>
      <c r="O889" s="90">
        <v>45961</v>
      </c>
      <c r="P889" s="91">
        <v>994</v>
      </c>
      <c r="Q889" s="91">
        <v>987.29998780000005</v>
      </c>
      <c r="R889" s="91">
        <v>987.29998780000005</v>
      </c>
      <c r="S889" s="91">
        <v>23221330</v>
      </c>
      <c r="T889" s="91">
        <v>-1.09E-2</v>
      </c>
      <c r="V889" s="90">
        <v>45961</v>
      </c>
      <c r="W889" s="91">
        <v>1490</v>
      </c>
      <c r="X889" s="91">
        <v>1482.3000489999999</v>
      </c>
      <c r="Y889" s="91">
        <v>1482.3000489999999</v>
      </c>
      <c r="Z889" s="91">
        <v>4819814</v>
      </c>
      <c r="AA889" s="91">
        <v>-7.7000000000000002E-3</v>
      </c>
      <c r="AB889" s="91"/>
      <c r="AC889" s="90">
        <v>45961</v>
      </c>
      <c r="AD889" s="91">
        <v>4745</v>
      </c>
      <c r="AE889" s="91">
        <v>4694.2998049999997</v>
      </c>
      <c r="AF889" s="91">
        <v>4694.2998049999997</v>
      </c>
      <c r="AG889" s="91">
        <v>498496</v>
      </c>
      <c r="AH889" s="91">
        <v>-1.06E-2</v>
      </c>
      <c r="AI889" s="91"/>
      <c r="AJ889" s="91">
        <f>(F889*'Part 3 Portfolio Analysis'!$B$8+M889*'Part 3 Portfolio Analysis'!$C$8+T889*'Part 3 Portfolio Analysis'!$D$8+AA889*'Part 3 Portfolio Analysis'!$E$8+AH889*'Part 3 Portfolio Analysis'!$F$8)/100</f>
        <v>-8.2585192350446163E-3</v>
      </c>
      <c r="AK889" s="91">
        <f>'Part 3 Portfolio Analysis'!$B$107*F889+M889*'Part 3 Portfolio Analysis'!$C$107+T889*'Part 3 Portfolio Analysis'!$D$107+AA889*'Part 3 Portfolio Analysis'!$E$107+AH889*'Part 3 Portfolio Analysis'!$F$107</f>
        <v>-8.3228999999999994E-3</v>
      </c>
      <c r="AL889" s="91">
        <f>F889*'Part 3 Portfolio Analysis'!$B$121+M889*'Part 3 Portfolio Analysis'!$C$121+'Part 3 Portfolio Analysis'!$D$121*T889+AA889*'Part 3 Portfolio Analysis'!$E$121+'Part 3 Portfolio Analysis'!$F$121*AH889</f>
        <v>-6.6276200000000007E-3</v>
      </c>
      <c r="AM889" s="91"/>
      <c r="AN889" s="90">
        <v>45961</v>
      </c>
      <c r="AO889" s="91">
        <v>25863.800780000001</v>
      </c>
      <c r="AP889" s="91">
        <v>25722.099610000001</v>
      </c>
      <c r="AQ889" s="91">
        <v>25722.099610000001</v>
      </c>
      <c r="AR889" s="91">
        <v>334400</v>
      </c>
      <c r="AS889" s="91">
        <v>-6.0000000000000001E-3</v>
      </c>
    </row>
    <row r="890" spans="1:45" x14ac:dyDescent="0.55000000000000004">
      <c r="A890" s="90">
        <v>45964</v>
      </c>
      <c r="B890" s="91">
        <v>5453</v>
      </c>
      <c r="C890" s="91">
        <v>5434</v>
      </c>
      <c r="D890" s="91">
        <v>5434</v>
      </c>
      <c r="E890" s="91">
        <v>67952</v>
      </c>
      <c r="F890" s="91">
        <v>-3.8E-3</v>
      </c>
      <c r="H890" s="90">
        <v>45964</v>
      </c>
      <c r="I890" s="91">
        <v>1486</v>
      </c>
      <c r="J890" s="91">
        <v>1484.6999510000001</v>
      </c>
      <c r="K890" s="91">
        <v>1484.6999510000001</v>
      </c>
      <c r="L890" s="91">
        <v>8452085</v>
      </c>
      <c r="M890" s="91">
        <v>-1.1000000000000001E-3</v>
      </c>
      <c r="O890" s="90">
        <v>45964</v>
      </c>
      <c r="P890" s="91">
        <v>985</v>
      </c>
      <c r="Q890" s="91">
        <v>992.65002440000001</v>
      </c>
      <c r="R890" s="91">
        <v>992.65002440000001</v>
      </c>
      <c r="S890" s="91">
        <v>16607180</v>
      </c>
      <c r="T890" s="91">
        <v>5.4000000000000003E-3</v>
      </c>
      <c r="V890" s="90">
        <v>45964</v>
      </c>
      <c r="W890" s="91">
        <v>1482.3000489999999</v>
      </c>
      <c r="X890" s="91">
        <v>1485.5</v>
      </c>
      <c r="Y890" s="91">
        <v>1485.5</v>
      </c>
      <c r="Z890" s="91">
        <v>5470600</v>
      </c>
      <c r="AA890" s="91">
        <v>2.2000000000000001E-3</v>
      </c>
      <c r="AB890" s="91"/>
      <c r="AC890" s="90">
        <v>45964</v>
      </c>
      <c r="AD890" s="91">
        <v>4694.2998049999997</v>
      </c>
      <c r="AE890" s="91">
        <v>4713.3999020000001</v>
      </c>
      <c r="AF890" s="91">
        <v>4713.3999020000001</v>
      </c>
      <c r="AG890" s="91">
        <v>292566</v>
      </c>
      <c r="AH890" s="91">
        <v>4.1000000000000003E-3</v>
      </c>
      <c r="AI890" s="91"/>
      <c r="AJ890" s="91">
        <f>(F890*'Part 3 Portfolio Analysis'!$B$8+M890*'Part 3 Portfolio Analysis'!$C$8+T890*'Part 3 Portfolio Analysis'!$D$8+AA890*'Part 3 Portfolio Analysis'!$E$8+AH890*'Part 3 Portfolio Analysis'!$F$8)/100</f>
        <v>-2.4381396315299251E-4</v>
      </c>
      <c r="AK890" s="91">
        <f>'Part 3 Portfolio Analysis'!$B$107*F890+M890*'Part 3 Portfolio Analysis'!$C$107+T890*'Part 3 Portfolio Analysis'!$D$107+AA890*'Part 3 Portfolio Analysis'!$E$107+AH890*'Part 3 Portfolio Analysis'!$F$107</f>
        <v>1.0619000000000002E-3</v>
      </c>
      <c r="AL890" s="91">
        <f>F890*'Part 3 Portfolio Analysis'!$B$121+M890*'Part 3 Portfolio Analysis'!$C$121+'Part 3 Portfolio Analysis'!$D$121*T890+AA890*'Part 3 Portfolio Analysis'!$E$121+'Part 3 Portfolio Analysis'!$F$121*AH890</f>
        <v>1.2423000000000002E-3</v>
      </c>
      <c r="AM890" s="91"/>
      <c r="AN890" s="90">
        <v>45964</v>
      </c>
      <c r="AO890" s="91">
        <v>25696.849610000001</v>
      </c>
      <c r="AP890" s="91">
        <v>25763.349610000001</v>
      </c>
      <c r="AQ890" s="91">
        <v>25763.349610000001</v>
      </c>
      <c r="AR890" s="91">
        <v>23300</v>
      </c>
      <c r="AS890" s="91">
        <v>1.6000000000000001E-3</v>
      </c>
    </row>
    <row r="891" spans="1:45" x14ac:dyDescent="0.55000000000000004">
      <c r="A891" s="90">
        <v>45965</v>
      </c>
      <c r="B891" s="91">
        <v>5440</v>
      </c>
      <c r="C891" s="91">
        <v>5381</v>
      </c>
      <c r="D891" s="91">
        <v>5381</v>
      </c>
      <c r="E891" s="91">
        <v>89899</v>
      </c>
      <c r="F891" s="91">
        <v>-9.7999999999999997E-3</v>
      </c>
      <c r="H891" s="90">
        <v>45965</v>
      </c>
      <c r="I891" s="91">
        <v>1483.900024</v>
      </c>
      <c r="J891" s="91">
        <v>1473.099976</v>
      </c>
      <c r="K891" s="91">
        <v>1473.099976</v>
      </c>
      <c r="L891" s="91">
        <v>10007806</v>
      </c>
      <c r="M891" s="91">
        <v>-7.7999999999999996E-3</v>
      </c>
      <c r="O891" s="90">
        <v>45965</v>
      </c>
      <c r="P891" s="91">
        <v>987</v>
      </c>
      <c r="Q891" s="91">
        <v>985.25</v>
      </c>
      <c r="R891" s="91">
        <v>985.25</v>
      </c>
      <c r="S891" s="91">
        <v>20024544</v>
      </c>
      <c r="T891" s="91">
        <v>-7.4999999999999997E-3</v>
      </c>
      <c r="V891" s="90">
        <v>45965</v>
      </c>
      <c r="W891" s="91">
        <v>1479.6999510000001</v>
      </c>
      <c r="X891" s="91">
        <v>1467.900024</v>
      </c>
      <c r="Y891" s="91">
        <v>1467.900024</v>
      </c>
      <c r="Z891" s="91">
        <v>8691330</v>
      </c>
      <c r="AA891" s="91">
        <v>-1.18E-2</v>
      </c>
      <c r="AB891" s="91"/>
      <c r="AC891" s="90">
        <v>45965</v>
      </c>
      <c r="AD891" s="91">
        <v>4720</v>
      </c>
      <c r="AE891" s="91">
        <v>4660.6000979999999</v>
      </c>
      <c r="AF891" s="91">
        <v>4660.6000979999999</v>
      </c>
      <c r="AG891" s="91">
        <v>475909</v>
      </c>
      <c r="AH891" s="91">
        <v>-1.12E-2</v>
      </c>
      <c r="AI891" s="91"/>
      <c r="AJ891" s="91">
        <f>(F891*'Part 3 Portfolio Analysis'!$B$8+M891*'Part 3 Portfolio Analysis'!$C$8+T891*'Part 3 Portfolio Analysis'!$D$8+AA891*'Part 3 Portfolio Analysis'!$E$8+AH891*'Part 3 Portfolio Analysis'!$F$8)/100</f>
        <v>-9.0269206985790391E-3</v>
      </c>
      <c r="AK891" s="91">
        <f>'Part 3 Portfolio Analysis'!$B$107*F891+M891*'Part 3 Portfolio Analysis'!$C$107+T891*'Part 3 Portfolio Analysis'!$D$107+AA891*'Part 3 Portfolio Analysis'!$E$107+AH891*'Part 3 Portfolio Analysis'!$F$107</f>
        <v>-9.3703000000000015E-3</v>
      </c>
      <c r="AL891" s="91">
        <f>F891*'Part 3 Portfolio Analysis'!$B$121+M891*'Part 3 Portfolio Analysis'!$C$121+'Part 3 Portfolio Analysis'!$D$121*T891+AA891*'Part 3 Portfolio Analysis'!$E$121+'Part 3 Portfolio Analysis'!$F$121*AH891</f>
        <v>-8.771880000000001E-3</v>
      </c>
      <c r="AM891" s="91"/>
      <c r="AN891" s="90">
        <v>45965</v>
      </c>
      <c r="AO891" s="91">
        <v>25744.75</v>
      </c>
      <c r="AP891" s="91">
        <v>25597.650389999999</v>
      </c>
      <c r="AQ891" s="91">
        <v>25597.650389999999</v>
      </c>
      <c r="AR891" s="91">
        <v>305100</v>
      </c>
      <c r="AS891" s="91">
        <v>-6.4000000000000003E-3</v>
      </c>
    </row>
    <row r="892" spans="1:45" x14ac:dyDescent="0.55000000000000004">
      <c r="A892" s="90">
        <v>45967</v>
      </c>
      <c r="B892" s="91">
        <v>5379.5</v>
      </c>
      <c r="C892" s="91">
        <v>5242.5</v>
      </c>
      <c r="D892" s="91">
        <v>5242.5</v>
      </c>
      <c r="E892" s="91">
        <v>222332</v>
      </c>
      <c r="F892" s="91">
        <v>-2.5700000000000001E-2</v>
      </c>
      <c r="H892" s="90">
        <v>45967</v>
      </c>
      <c r="I892" s="91">
        <v>1484</v>
      </c>
      <c r="J892" s="91">
        <v>1496.099976</v>
      </c>
      <c r="K892" s="91">
        <v>1496.099976</v>
      </c>
      <c r="L892" s="91">
        <v>16772678</v>
      </c>
      <c r="M892" s="91">
        <v>1.5599999999999999E-2</v>
      </c>
      <c r="O892" s="90">
        <v>45967</v>
      </c>
      <c r="P892" s="91">
        <v>981</v>
      </c>
      <c r="Q892" s="91">
        <v>984.65002440000001</v>
      </c>
      <c r="R892" s="91">
        <v>984.65002440000001</v>
      </c>
      <c r="S892" s="91">
        <v>22279516</v>
      </c>
      <c r="T892" s="91">
        <v>-5.9999999999999995E-4</v>
      </c>
      <c r="V892" s="90">
        <v>45967</v>
      </c>
      <c r="W892" s="91">
        <v>1478.599976</v>
      </c>
      <c r="X892" s="91">
        <v>1466.6999510000001</v>
      </c>
      <c r="Y892" s="91">
        <v>1466.6999510000001</v>
      </c>
      <c r="Z892" s="91">
        <v>7944752</v>
      </c>
      <c r="AA892" s="91">
        <v>-8.0000000000000004E-4</v>
      </c>
      <c r="AB892" s="91"/>
      <c r="AC892" s="90">
        <v>45967</v>
      </c>
      <c r="AD892" s="91">
        <v>4660.6000979999999</v>
      </c>
      <c r="AE892" s="91">
        <v>4679.2001950000003</v>
      </c>
      <c r="AF892" s="91">
        <v>4679.2001950000003</v>
      </c>
      <c r="AG892" s="91">
        <v>476465</v>
      </c>
      <c r="AH892" s="91">
        <v>4.0000000000000001E-3</v>
      </c>
      <c r="AI892" s="91"/>
      <c r="AJ892" s="91">
        <f>(F892*'Part 3 Portfolio Analysis'!$B$8+M892*'Part 3 Portfolio Analysis'!$C$8+T892*'Part 3 Portfolio Analysis'!$D$8+AA892*'Part 3 Portfolio Analysis'!$E$8+AH892*'Part 3 Portfolio Analysis'!$F$8)/100</f>
        <v>-2.2450500162017571E-3</v>
      </c>
      <c r="AK892" s="91">
        <f>'Part 3 Portfolio Analysis'!$B$107*F892+M892*'Part 3 Portfolio Analysis'!$C$107+T892*'Part 3 Portfolio Analysis'!$D$107+AA892*'Part 3 Portfolio Analysis'!$E$107+AH892*'Part 3 Portfolio Analysis'!$F$107</f>
        <v>1.0917999999999998E-3</v>
      </c>
      <c r="AL892" s="91">
        <f>F892*'Part 3 Portfolio Analysis'!$B$121+M892*'Part 3 Portfolio Analysis'!$C$121+'Part 3 Portfolio Analysis'!$D$121*T892+AA892*'Part 3 Portfolio Analysis'!$E$121+'Part 3 Portfolio Analysis'!$F$121*AH892</f>
        <v>4.2148200000000002E-3</v>
      </c>
      <c r="AM892" s="91"/>
      <c r="AN892" s="90">
        <v>45967</v>
      </c>
      <c r="AO892" s="91">
        <v>25593.349610000001</v>
      </c>
      <c r="AP892" s="91">
        <v>25509.699219999999</v>
      </c>
      <c r="AQ892" s="91">
        <v>25509.699219999999</v>
      </c>
      <c r="AR892" s="91">
        <v>371900</v>
      </c>
      <c r="AS892" s="91">
        <v>-3.3999999999999998E-3</v>
      </c>
    </row>
    <row r="893" spans="1:45" x14ac:dyDescent="0.55000000000000004">
      <c r="A893" s="90">
        <v>45968</v>
      </c>
      <c r="B893" s="91">
        <v>5213</v>
      </c>
      <c r="C893" s="91">
        <v>5180</v>
      </c>
      <c r="D893" s="91">
        <v>5180</v>
      </c>
      <c r="E893" s="91">
        <v>172150</v>
      </c>
      <c r="F893" s="91">
        <v>-1.1900000000000001E-2</v>
      </c>
      <c r="H893" s="90">
        <v>45968</v>
      </c>
      <c r="I893" s="91">
        <v>1494.599976</v>
      </c>
      <c r="J893" s="91">
        <v>1478</v>
      </c>
      <c r="K893" s="91">
        <v>1478</v>
      </c>
      <c r="L893" s="91">
        <v>7821765</v>
      </c>
      <c r="M893" s="91">
        <v>-1.21E-2</v>
      </c>
      <c r="O893" s="90">
        <v>45968</v>
      </c>
      <c r="P893" s="91">
        <v>980</v>
      </c>
      <c r="Q893" s="91">
        <v>982.29998780000005</v>
      </c>
      <c r="R893" s="91">
        <v>982.29998780000005</v>
      </c>
      <c r="S893" s="91">
        <v>15004568</v>
      </c>
      <c r="T893" s="91">
        <v>-2.3999999999999998E-3</v>
      </c>
      <c r="V893" s="90">
        <v>45968</v>
      </c>
      <c r="W893" s="91">
        <v>1470</v>
      </c>
      <c r="X893" s="91">
        <v>1476.8000489999999</v>
      </c>
      <c r="Y893" s="91">
        <v>1476.8000489999999</v>
      </c>
      <c r="Z893" s="91">
        <v>8765759</v>
      </c>
      <c r="AA893" s="91">
        <v>6.8999999999999999E-3</v>
      </c>
      <c r="AB893" s="91"/>
      <c r="AC893" s="90">
        <v>45968</v>
      </c>
      <c r="AD893" s="91">
        <v>4679.5</v>
      </c>
      <c r="AE893" s="91">
        <v>4627.2998049999997</v>
      </c>
      <c r="AF893" s="91">
        <v>4627.2998049999997</v>
      </c>
      <c r="AG893" s="91">
        <v>543059</v>
      </c>
      <c r="AH893" s="91">
        <v>-1.11E-2</v>
      </c>
      <c r="AI893" s="91"/>
      <c r="AJ893" s="91">
        <f>(F893*'Part 3 Portfolio Analysis'!$B$8+M893*'Part 3 Portfolio Analysis'!$C$8+T893*'Part 3 Portfolio Analysis'!$D$8+AA893*'Part 3 Portfolio Analysis'!$E$8+AH893*'Part 3 Portfolio Analysis'!$F$8)/100</f>
        <v>-7.3544053810173536E-3</v>
      </c>
      <c r="AK893" s="91">
        <f>'Part 3 Portfolio Analysis'!$B$107*F893+M893*'Part 3 Portfolio Analysis'!$C$107+T893*'Part 3 Portfolio Analysis'!$D$107+AA893*'Part 3 Portfolio Analysis'!$E$107+AH893*'Part 3 Portfolio Analysis'!$F$107</f>
        <v>-8.4084999999999993E-3</v>
      </c>
      <c r="AL893" s="91">
        <f>F893*'Part 3 Portfolio Analysis'!$B$121+M893*'Part 3 Portfolio Analysis'!$C$121+'Part 3 Portfolio Analysis'!$D$121*T893+AA893*'Part 3 Portfolio Analysis'!$E$121+'Part 3 Portfolio Analysis'!$F$121*AH893</f>
        <v>-5.6189599999999992E-3</v>
      </c>
      <c r="AM893" s="91"/>
      <c r="AN893" s="90">
        <v>45968</v>
      </c>
      <c r="AO893" s="91">
        <v>25433.800780000001</v>
      </c>
      <c r="AP893" s="91">
        <v>25492.300780000001</v>
      </c>
      <c r="AQ893" s="91">
        <v>25492.300780000001</v>
      </c>
      <c r="AR893" s="91">
        <v>305600</v>
      </c>
      <c r="AS893" s="91">
        <v>-6.9999999999999999E-4</v>
      </c>
    </row>
    <row r="894" spans="1:45" x14ac:dyDescent="0.55000000000000004">
      <c r="A894" s="90">
        <v>45971</v>
      </c>
      <c r="B894" s="91">
        <v>5180</v>
      </c>
      <c r="C894" s="91">
        <v>5207</v>
      </c>
      <c r="D894" s="91">
        <v>5207</v>
      </c>
      <c r="E894" s="91">
        <v>110874</v>
      </c>
      <c r="F894" s="91">
        <v>5.1999999999999998E-3</v>
      </c>
      <c r="H894" s="90">
        <v>45971</v>
      </c>
      <c r="I894" s="91">
        <v>1477.900024</v>
      </c>
      <c r="J894" s="91">
        <v>1489.3000489999999</v>
      </c>
      <c r="K894" s="91">
        <v>1489.3000489999999</v>
      </c>
      <c r="L894" s="91">
        <v>7068438</v>
      </c>
      <c r="M894" s="91">
        <v>7.6E-3</v>
      </c>
      <c r="O894" s="90">
        <v>45971</v>
      </c>
      <c r="P894" s="91">
        <v>982.29998780000005</v>
      </c>
      <c r="Q894" s="91">
        <v>984.5</v>
      </c>
      <c r="R894" s="91">
        <v>984.5</v>
      </c>
      <c r="S894" s="91">
        <v>15988262</v>
      </c>
      <c r="T894" s="91">
        <v>2.2000000000000001E-3</v>
      </c>
      <c r="V894" s="90">
        <v>45971</v>
      </c>
      <c r="W894" s="91">
        <v>1490.099976</v>
      </c>
      <c r="X894" s="91">
        <v>1513.5</v>
      </c>
      <c r="Y894" s="91">
        <v>1513.5</v>
      </c>
      <c r="Z894" s="91">
        <v>9787975</v>
      </c>
      <c r="AA894" s="91">
        <v>2.4899999999999999E-2</v>
      </c>
      <c r="AB894" s="91"/>
      <c r="AC894" s="90">
        <v>45971</v>
      </c>
      <c r="AD894" s="91">
        <v>4568</v>
      </c>
      <c r="AE894" s="91">
        <v>4283.7001950000003</v>
      </c>
      <c r="AF894" s="91">
        <v>4283.7001950000003</v>
      </c>
      <c r="AG894" s="91">
        <v>6807962</v>
      </c>
      <c r="AH894" s="91">
        <v>-7.4300000000000005E-2</v>
      </c>
      <c r="AI894" s="91"/>
      <c r="AJ894" s="91">
        <f>(F894*'Part 3 Portfolio Analysis'!$B$8+M894*'Part 3 Portfolio Analysis'!$C$8+T894*'Part 3 Portfolio Analysis'!$D$8+AA894*'Part 3 Portfolio Analysis'!$E$8+AH894*'Part 3 Portfolio Analysis'!$F$8)/100</f>
        <v>7.9629045985379187E-3</v>
      </c>
      <c r="AK894" s="91">
        <f>'Part 3 Portfolio Analysis'!$B$107*F894+M894*'Part 3 Portfolio Analysis'!$C$107+T894*'Part 3 Portfolio Analysis'!$D$107+AA894*'Part 3 Portfolio Analysis'!$E$107+AH894*'Part 3 Portfolio Analysis'!$F$107</f>
        <v>-1.25778E-2</v>
      </c>
      <c r="AL894" s="91">
        <f>F894*'Part 3 Portfolio Analysis'!$B$121+M894*'Part 3 Portfolio Analysis'!$C$121+'Part 3 Portfolio Analysis'!$D$121*T894+AA894*'Part 3 Portfolio Analysis'!$E$121+'Part 3 Portfolio Analysis'!$F$121*AH894</f>
        <v>7.2481399999999993E-3</v>
      </c>
      <c r="AM894" s="91"/>
      <c r="AN894" s="90">
        <v>45971</v>
      </c>
      <c r="AO894" s="91">
        <v>25503.5</v>
      </c>
      <c r="AP894" s="91">
        <v>25574.349610000001</v>
      </c>
      <c r="AQ894" s="91">
        <v>25574.349610000001</v>
      </c>
      <c r="AR894" s="91">
        <v>243600</v>
      </c>
      <c r="AS894" s="91">
        <v>3.2000000000000002E-3</v>
      </c>
    </row>
    <row r="895" spans="1:45" x14ac:dyDescent="0.55000000000000004">
      <c r="A895" s="90">
        <v>45972</v>
      </c>
      <c r="B895" s="91">
        <v>5206.5</v>
      </c>
      <c r="C895" s="91">
        <v>5283.5</v>
      </c>
      <c r="D895" s="91">
        <v>5283.5</v>
      </c>
      <c r="E895" s="91">
        <v>102792</v>
      </c>
      <c r="F895" s="91">
        <v>1.47E-2</v>
      </c>
      <c r="H895" s="90">
        <v>45972</v>
      </c>
      <c r="I895" s="91">
        <v>1497</v>
      </c>
      <c r="J895" s="91">
        <v>1493.400024</v>
      </c>
      <c r="K895" s="91">
        <v>1493.400024</v>
      </c>
      <c r="L895" s="91">
        <v>7127506</v>
      </c>
      <c r="M895" s="91">
        <v>2.8E-3</v>
      </c>
      <c r="O895" s="90">
        <v>45972</v>
      </c>
      <c r="P895" s="91">
        <v>983.5</v>
      </c>
      <c r="Q895" s="91">
        <v>991.70001219999995</v>
      </c>
      <c r="R895" s="91">
        <v>991.70001219999995</v>
      </c>
      <c r="S895" s="91">
        <v>10200530</v>
      </c>
      <c r="T895" s="91">
        <v>7.3000000000000001E-3</v>
      </c>
      <c r="V895" s="90">
        <v>45972</v>
      </c>
      <c r="W895" s="91">
        <v>1525</v>
      </c>
      <c r="X895" s="91">
        <v>1530.3000489999999</v>
      </c>
      <c r="Y895" s="91">
        <v>1530.3000489999999</v>
      </c>
      <c r="Z895" s="91">
        <v>13692989</v>
      </c>
      <c r="AA895" s="91">
        <v>1.11E-2</v>
      </c>
      <c r="AB895" s="91"/>
      <c r="AC895" s="90">
        <v>45972</v>
      </c>
      <c r="AD895" s="91">
        <v>4295</v>
      </c>
      <c r="AE895" s="91">
        <v>4315.7998049999997</v>
      </c>
      <c r="AF895" s="91">
        <v>4315.7998049999997</v>
      </c>
      <c r="AG895" s="91">
        <v>1802510</v>
      </c>
      <c r="AH895" s="91">
        <v>7.4999999999999997E-3</v>
      </c>
      <c r="AI895" s="91"/>
      <c r="AJ895" s="91">
        <f>(F895*'Part 3 Portfolio Analysis'!$B$8+M895*'Part 3 Portfolio Analysis'!$C$8+T895*'Part 3 Portfolio Analysis'!$D$8+AA895*'Part 3 Portfolio Analysis'!$E$8+AH895*'Part 3 Portfolio Analysis'!$F$8)/100</f>
        <v>8.5023416870460052E-3</v>
      </c>
      <c r="AK895" s="91">
        <f>'Part 3 Portfolio Analysis'!$B$107*F895+M895*'Part 3 Portfolio Analysis'!$C$107+T895*'Part 3 Portfolio Analysis'!$D$107+AA895*'Part 3 Portfolio Analysis'!$E$107+AH895*'Part 3 Portfolio Analysis'!$F$107</f>
        <v>7.6538999999999999E-3</v>
      </c>
      <c r="AL895" s="91">
        <f>F895*'Part 3 Portfolio Analysis'!$B$121+M895*'Part 3 Portfolio Analysis'!$C$121+'Part 3 Portfolio Analysis'!$D$121*T895+AA895*'Part 3 Portfolio Analysis'!$E$121+'Part 3 Portfolio Analysis'!$F$121*AH895</f>
        <v>6.7853200000000001E-3</v>
      </c>
      <c r="AM895" s="91"/>
      <c r="AN895" s="90">
        <v>45972</v>
      </c>
      <c r="AO895" s="91">
        <v>25617</v>
      </c>
      <c r="AP895" s="91">
        <v>25694.949219999999</v>
      </c>
      <c r="AQ895" s="91">
        <v>25694.949219999999</v>
      </c>
      <c r="AR895" s="91">
        <v>297700</v>
      </c>
      <c r="AS895" s="91">
        <v>4.7000000000000002E-3</v>
      </c>
    </row>
    <row r="896" spans="1:45" x14ac:dyDescent="0.55000000000000004">
      <c r="A896" s="90">
        <v>45973</v>
      </c>
      <c r="B896" s="91">
        <v>5283.5</v>
      </c>
      <c r="C896" s="91">
        <v>5388</v>
      </c>
      <c r="D896" s="91">
        <v>5388</v>
      </c>
      <c r="E896" s="91">
        <v>208841</v>
      </c>
      <c r="F896" s="91">
        <v>1.9800000000000002E-2</v>
      </c>
      <c r="H896" s="90">
        <v>45973</v>
      </c>
      <c r="I896" s="91">
        <v>1505</v>
      </c>
      <c r="J896" s="91">
        <v>1511.5</v>
      </c>
      <c r="K896" s="91">
        <v>1511.5</v>
      </c>
      <c r="L896" s="91">
        <v>12384459</v>
      </c>
      <c r="M896" s="91">
        <v>1.21E-2</v>
      </c>
      <c r="O896" s="90">
        <v>45973</v>
      </c>
      <c r="P896" s="91">
        <v>998.79998780000005</v>
      </c>
      <c r="Q896" s="91">
        <v>989.5</v>
      </c>
      <c r="R896" s="91">
        <v>989.5</v>
      </c>
      <c r="S896" s="91">
        <v>13137263</v>
      </c>
      <c r="T896" s="91">
        <v>-2.2000000000000001E-3</v>
      </c>
      <c r="V896" s="90">
        <v>45973</v>
      </c>
      <c r="W896" s="91">
        <v>1540</v>
      </c>
      <c r="X896" s="91">
        <v>1551.6999510000001</v>
      </c>
      <c r="Y896" s="91">
        <v>1551.6999510000001</v>
      </c>
      <c r="Z896" s="91">
        <v>14635417</v>
      </c>
      <c r="AA896" s="91">
        <v>1.4E-2</v>
      </c>
      <c r="AB896" s="91"/>
      <c r="AC896" s="90">
        <v>45973</v>
      </c>
      <c r="AD896" s="91">
        <v>4330</v>
      </c>
      <c r="AE896" s="91">
        <v>4375.7998049999997</v>
      </c>
      <c r="AF896" s="91">
        <v>4375.7998049999997</v>
      </c>
      <c r="AG896" s="91">
        <v>937925</v>
      </c>
      <c r="AH896" s="91">
        <v>1.3899999999999999E-2</v>
      </c>
      <c r="AI896" s="91"/>
      <c r="AJ896" s="91">
        <f>(F896*'Part 3 Portfolio Analysis'!$B$8+M896*'Part 3 Portfolio Analysis'!$C$8+T896*'Part 3 Portfolio Analysis'!$D$8+AA896*'Part 3 Portfolio Analysis'!$E$8+AH896*'Part 3 Portfolio Analysis'!$F$8)/100</f>
        <v>1.2347944640851385E-2</v>
      </c>
      <c r="AK896" s="91">
        <f>'Part 3 Portfolio Analysis'!$B$107*F896+M896*'Part 3 Portfolio Analysis'!$C$107+T896*'Part 3 Portfolio Analysis'!$D$107+AA896*'Part 3 Portfolio Analysis'!$E$107+AH896*'Part 3 Portfolio Analysis'!$F$107</f>
        <v>1.1913099999999999E-2</v>
      </c>
      <c r="AL896" s="91">
        <f>F896*'Part 3 Portfolio Analysis'!$B$121+M896*'Part 3 Portfolio Analysis'!$C$121+'Part 3 Portfolio Analysis'!$D$121*T896+AA896*'Part 3 Portfolio Analysis'!$E$121+'Part 3 Portfolio Analysis'!$F$121*AH896</f>
        <v>9.270500000000001E-3</v>
      </c>
      <c r="AM896" s="91"/>
      <c r="AN896" s="90">
        <v>45973</v>
      </c>
      <c r="AO896" s="91">
        <v>25834.300780000001</v>
      </c>
      <c r="AP896" s="91">
        <v>25875.800780000001</v>
      </c>
      <c r="AQ896" s="91">
        <v>25875.800780000001</v>
      </c>
      <c r="AR896" s="91">
        <v>312600</v>
      </c>
      <c r="AS896" s="91">
        <v>7.0000000000000001E-3</v>
      </c>
    </row>
    <row r="897" spans="1:45" x14ac:dyDescent="0.55000000000000004">
      <c r="A897" s="90">
        <v>45974</v>
      </c>
      <c r="B897" s="91">
        <v>5408.5</v>
      </c>
      <c r="C897" s="91">
        <v>5307.5</v>
      </c>
      <c r="D897" s="91">
        <v>5307.5</v>
      </c>
      <c r="E897" s="91">
        <v>72589</v>
      </c>
      <c r="F897" s="91">
        <v>-1.49E-2</v>
      </c>
      <c r="H897" s="90">
        <v>45974</v>
      </c>
      <c r="I897" s="91">
        <v>1515</v>
      </c>
      <c r="J897" s="91">
        <v>1510.900024</v>
      </c>
      <c r="K897" s="91">
        <v>1510.900024</v>
      </c>
      <c r="L897" s="91">
        <v>7196443</v>
      </c>
      <c r="M897" s="91">
        <v>-4.0000000000000002E-4</v>
      </c>
      <c r="O897" s="90">
        <v>45974</v>
      </c>
      <c r="P897" s="91">
        <v>984</v>
      </c>
      <c r="Q897" s="91">
        <v>986.65002440000001</v>
      </c>
      <c r="R897" s="91">
        <v>986.65002440000001</v>
      </c>
      <c r="S897" s="91">
        <v>14124839</v>
      </c>
      <c r="T897" s="91">
        <v>-2.8999999999999998E-3</v>
      </c>
      <c r="V897" s="90">
        <v>45974</v>
      </c>
      <c r="W897" s="91">
        <v>1557.099976</v>
      </c>
      <c r="X897" s="91">
        <v>1541.8000489999999</v>
      </c>
      <c r="Y897" s="91">
        <v>1541.8000489999999</v>
      </c>
      <c r="Z897" s="91">
        <v>19655689</v>
      </c>
      <c r="AA897" s="91">
        <v>-6.4000000000000003E-3</v>
      </c>
      <c r="AB897" s="91"/>
      <c r="AC897" s="90">
        <v>45974</v>
      </c>
      <c r="AD897" s="91">
        <v>4378</v>
      </c>
      <c r="AE897" s="91">
        <v>4326.3999020000001</v>
      </c>
      <c r="AF897" s="91">
        <v>4326.3999020000001</v>
      </c>
      <c r="AG897" s="91">
        <v>926858</v>
      </c>
      <c r="AH897" s="91">
        <v>-1.1299999999999999E-2</v>
      </c>
      <c r="AI897" s="91"/>
      <c r="AJ897" s="91">
        <f>(F897*'Part 3 Portfolio Analysis'!$B$8+M897*'Part 3 Portfolio Analysis'!$C$8+T897*'Part 3 Portfolio Analysis'!$D$8+AA897*'Part 3 Portfolio Analysis'!$E$8+AH897*'Part 3 Portfolio Analysis'!$F$8)/100</f>
        <v>-6.2391653756119249E-3</v>
      </c>
      <c r="AK897" s="91">
        <f>'Part 3 Portfolio Analysis'!$B$107*F897+M897*'Part 3 Portfolio Analysis'!$C$107+T897*'Part 3 Portfolio Analysis'!$D$107+AA897*'Part 3 Portfolio Analysis'!$E$107+AH897*'Part 3 Portfolio Analysis'!$F$107</f>
        <v>-6.7442999999999999E-3</v>
      </c>
      <c r="AL897" s="91">
        <f>F897*'Part 3 Portfolio Analysis'!$B$121+M897*'Part 3 Portfolio Analysis'!$C$121+'Part 3 Portfolio Analysis'!$D$121*T897+AA897*'Part 3 Portfolio Analysis'!$E$121+'Part 3 Portfolio Analysis'!$F$121*AH897</f>
        <v>-3.7574799999999997E-3</v>
      </c>
      <c r="AM897" s="91"/>
      <c r="AN897" s="90">
        <v>45974</v>
      </c>
      <c r="AO897" s="91">
        <v>25906.099610000001</v>
      </c>
      <c r="AP897" s="91">
        <v>25879.150389999999</v>
      </c>
      <c r="AQ897" s="91">
        <v>25879.150389999999</v>
      </c>
      <c r="AR897" s="91">
        <v>385200</v>
      </c>
      <c r="AS897" s="91">
        <v>1E-4</v>
      </c>
    </row>
    <row r="898" spans="1:45" x14ac:dyDescent="0.55000000000000004">
      <c r="A898" s="90">
        <v>45975</v>
      </c>
      <c r="B898" s="91">
        <v>5300</v>
      </c>
      <c r="C898" s="91">
        <v>5266.5</v>
      </c>
      <c r="D898" s="91">
        <v>5266.5</v>
      </c>
      <c r="E898" s="91">
        <v>125968</v>
      </c>
      <c r="F898" s="91">
        <v>-7.7000000000000002E-3</v>
      </c>
      <c r="H898" s="90">
        <v>45975</v>
      </c>
      <c r="I898" s="91">
        <v>1505.5</v>
      </c>
      <c r="J898" s="91">
        <v>1518.900024</v>
      </c>
      <c r="K898" s="91">
        <v>1518.900024</v>
      </c>
      <c r="L898" s="91">
        <v>7682823</v>
      </c>
      <c r="M898" s="91">
        <v>5.3E-3</v>
      </c>
      <c r="O898" s="90">
        <v>45975</v>
      </c>
      <c r="P898" s="91">
        <v>976.04998780000005</v>
      </c>
      <c r="Q898" s="91">
        <v>989.59997559999999</v>
      </c>
      <c r="R898" s="91">
        <v>989.59997559999999</v>
      </c>
      <c r="S898" s="91">
        <v>21386965</v>
      </c>
      <c r="T898" s="91">
        <v>3.0000000000000001E-3</v>
      </c>
      <c r="V898" s="90">
        <v>45975</v>
      </c>
      <c r="W898" s="91">
        <v>1520</v>
      </c>
      <c r="X898" s="91">
        <v>1502.8000489999999</v>
      </c>
      <c r="Y898" s="91">
        <v>1502.8000489999999</v>
      </c>
      <c r="Z898" s="91">
        <v>9739549</v>
      </c>
      <c r="AA898" s="91">
        <v>-2.53E-2</v>
      </c>
      <c r="AB898" s="91"/>
      <c r="AC898" s="90">
        <v>45975</v>
      </c>
      <c r="AD898" s="91">
        <v>4335</v>
      </c>
      <c r="AE898" s="91">
        <v>4391.2001950000003</v>
      </c>
      <c r="AF898" s="91">
        <v>4391.2001950000003</v>
      </c>
      <c r="AG898" s="91">
        <v>808967</v>
      </c>
      <c r="AH898" s="91">
        <v>1.4999999999999999E-2</v>
      </c>
      <c r="AI898" s="91"/>
      <c r="AJ898" s="91">
        <f>(F898*'Part 3 Portfolio Analysis'!$B$8+M898*'Part 3 Portfolio Analysis'!$C$8+T898*'Part 3 Portfolio Analysis'!$D$8+AA898*'Part 3 Portfolio Analysis'!$E$8+AH898*'Part 3 Portfolio Analysis'!$F$8)/100</f>
        <v>-3.8134325607347896E-3</v>
      </c>
      <c r="AK898" s="91">
        <f>'Part 3 Portfolio Analysis'!$B$107*F898+M898*'Part 3 Portfolio Analysis'!$C$107+T898*'Part 3 Portfolio Analysis'!$D$107+AA898*'Part 3 Portfolio Analysis'!$E$107+AH898*'Part 3 Portfolio Analysis'!$F$107</f>
        <v>1.9878999999999999E-3</v>
      </c>
      <c r="AL898" s="91">
        <f>F898*'Part 3 Portfolio Analysis'!$B$121+M898*'Part 3 Portfolio Analysis'!$C$121+'Part 3 Portfolio Analysis'!$D$121*T898+AA898*'Part 3 Portfolio Analysis'!$E$121+'Part 3 Portfolio Analysis'!$F$121*AH898</f>
        <v>-2.2600600000000004E-3</v>
      </c>
      <c r="AM898" s="91"/>
      <c r="AN898" s="90">
        <v>45975</v>
      </c>
      <c r="AO898" s="91">
        <v>25767.900389999999</v>
      </c>
      <c r="AP898" s="91">
        <v>25910.050780000001</v>
      </c>
      <c r="AQ898" s="91">
        <v>25910.050780000001</v>
      </c>
      <c r="AR898" s="91">
        <v>518900</v>
      </c>
      <c r="AS898" s="91">
        <v>1.1999999999999999E-3</v>
      </c>
    </row>
    <row r="899" spans="1:45" x14ac:dyDescent="0.55000000000000004">
      <c r="A899" s="90">
        <v>45978</v>
      </c>
      <c r="B899" s="91">
        <v>5266.5</v>
      </c>
      <c r="C899" s="91">
        <v>5303</v>
      </c>
      <c r="D899" s="91">
        <v>5303</v>
      </c>
      <c r="E899" s="91">
        <v>135921</v>
      </c>
      <c r="F899" s="91">
        <v>6.8999999999999999E-3</v>
      </c>
      <c r="H899" s="90">
        <v>45978</v>
      </c>
      <c r="I899" s="91">
        <v>1520.900024</v>
      </c>
      <c r="J899" s="91">
        <v>1518.3000489999999</v>
      </c>
      <c r="K899" s="91">
        <v>1518.3000489999999</v>
      </c>
      <c r="L899" s="91">
        <v>5871416</v>
      </c>
      <c r="M899" s="91">
        <v>-4.0000000000000002E-4</v>
      </c>
      <c r="O899" s="90">
        <v>45978</v>
      </c>
      <c r="P899" s="91">
        <v>991.25</v>
      </c>
      <c r="Q899" s="91">
        <v>996.54998780000005</v>
      </c>
      <c r="R899" s="91">
        <v>996.54998780000005</v>
      </c>
      <c r="S899" s="91">
        <v>18396408</v>
      </c>
      <c r="T899" s="91">
        <v>7.0000000000000001E-3</v>
      </c>
      <c r="V899" s="90">
        <v>45978</v>
      </c>
      <c r="W899" s="91">
        <v>1496</v>
      </c>
      <c r="X899" s="91">
        <v>1507.599976</v>
      </c>
      <c r="Y899" s="91">
        <v>1507.599976</v>
      </c>
      <c r="Z899" s="91">
        <v>7910354</v>
      </c>
      <c r="AA899" s="91">
        <v>3.2000000000000002E-3</v>
      </c>
      <c r="AB899" s="91"/>
      <c r="AC899" s="90">
        <v>45978</v>
      </c>
      <c r="AD899" s="91">
        <v>4391.8999020000001</v>
      </c>
      <c r="AE899" s="91">
        <v>4404.6000979999999</v>
      </c>
      <c r="AF899" s="91">
        <v>4404.6000979999999</v>
      </c>
      <c r="AG899" s="91">
        <v>551524</v>
      </c>
      <c r="AH899" s="91">
        <v>3.0999999999999999E-3</v>
      </c>
      <c r="AI899" s="91"/>
      <c r="AJ899" s="91">
        <f>(F899*'Part 3 Portfolio Analysis'!$B$8+M899*'Part 3 Portfolio Analysis'!$C$8+T899*'Part 3 Portfolio Analysis'!$D$8+AA899*'Part 3 Portfolio Analysis'!$E$8+AH899*'Part 3 Portfolio Analysis'!$F$8)/100</f>
        <v>3.6379824236374174E-3</v>
      </c>
      <c r="AK899" s="91">
        <f>'Part 3 Portfolio Analysis'!$B$107*F899+M899*'Part 3 Portfolio Analysis'!$C$107+T899*'Part 3 Portfolio Analysis'!$D$107+AA899*'Part 3 Portfolio Analysis'!$E$107+AH899*'Part 3 Portfolio Analysis'!$F$107</f>
        <v>3.3029999999999999E-3</v>
      </c>
      <c r="AL899" s="91">
        <f>F899*'Part 3 Portfolio Analysis'!$B$121+M899*'Part 3 Portfolio Analysis'!$C$121+'Part 3 Portfolio Analysis'!$D$121*T899+AA899*'Part 3 Portfolio Analysis'!$E$121+'Part 3 Portfolio Analysis'!$F$121*AH899</f>
        <v>3.0245599999999999E-3</v>
      </c>
      <c r="AM899" s="91"/>
      <c r="AN899" s="90">
        <v>45978</v>
      </c>
      <c r="AO899" s="91">
        <v>25948.199219999999</v>
      </c>
      <c r="AP899" s="91">
        <v>26013.449219999999</v>
      </c>
      <c r="AQ899" s="91">
        <v>26013.449219999999</v>
      </c>
      <c r="AR899" s="91">
        <v>281800</v>
      </c>
      <c r="AS899" s="91">
        <v>4.0000000000000001E-3</v>
      </c>
    </row>
    <row r="900" spans="1:45" x14ac:dyDescent="0.55000000000000004">
      <c r="A900" s="90">
        <v>45979</v>
      </c>
      <c r="B900" s="91">
        <v>5302</v>
      </c>
      <c r="C900" s="91">
        <v>5277</v>
      </c>
      <c r="D900" s="91">
        <v>5277</v>
      </c>
      <c r="E900" s="91">
        <v>134520</v>
      </c>
      <c r="F900" s="91">
        <v>-4.8999999999999998E-3</v>
      </c>
      <c r="H900" s="90">
        <v>45979</v>
      </c>
      <c r="I900" s="91">
        <v>1521.6999510000001</v>
      </c>
      <c r="J900" s="91">
        <v>1519.400024</v>
      </c>
      <c r="K900" s="91">
        <v>1519.400024</v>
      </c>
      <c r="L900" s="91">
        <v>11045042</v>
      </c>
      <c r="M900" s="91">
        <v>6.9999999999999999E-4</v>
      </c>
      <c r="O900" s="90">
        <v>45979</v>
      </c>
      <c r="P900" s="91">
        <v>997.65002440000001</v>
      </c>
      <c r="Q900" s="91">
        <v>992.45001219999995</v>
      </c>
      <c r="R900" s="91">
        <v>992.45001219999995</v>
      </c>
      <c r="S900" s="91">
        <v>20002640</v>
      </c>
      <c r="T900" s="91">
        <v>-4.1000000000000003E-3</v>
      </c>
      <c r="V900" s="90">
        <v>45979</v>
      </c>
      <c r="W900" s="91">
        <v>1506</v>
      </c>
      <c r="X900" s="91">
        <v>1486.400024</v>
      </c>
      <c r="Y900" s="91">
        <v>1486.400024</v>
      </c>
      <c r="Z900" s="91">
        <v>7525119</v>
      </c>
      <c r="AA900" s="91">
        <v>-1.41E-2</v>
      </c>
      <c r="AB900" s="91"/>
      <c r="AC900" s="90">
        <v>45979</v>
      </c>
      <c r="AD900" s="91">
        <v>4404.6000979999999</v>
      </c>
      <c r="AE900" s="91">
        <v>4374</v>
      </c>
      <c r="AF900" s="91">
        <v>4374</v>
      </c>
      <c r="AG900" s="91">
        <v>316742</v>
      </c>
      <c r="AH900" s="91">
        <v>-6.8999999999999999E-3</v>
      </c>
      <c r="AI900" s="91"/>
      <c r="AJ900" s="91">
        <f>(F900*'Part 3 Portfolio Analysis'!$B$8+M900*'Part 3 Portfolio Analysis'!$C$8+T900*'Part 3 Portfolio Analysis'!$D$8+AA900*'Part 3 Portfolio Analysis'!$E$8+AH900*'Part 3 Portfolio Analysis'!$F$8)/100</f>
        <v>-4.2367971322165012E-3</v>
      </c>
      <c r="AK900" s="91">
        <f>'Part 3 Portfolio Analysis'!$B$107*F900+M900*'Part 3 Portfolio Analysis'!$C$107+T900*'Part 3 Portfolio Analysis'!$D$107+AA900*'Part 3 Portfolio Analysis'!$E$107+AH900*'Part 3 Portfolio Analysis'!$F$107</f>
        <v>-4.4472000000000001E-3</v>
      </c>
      <c r="AL900" s="91">
        <f>F900*'Part 3 Portfolio Analysis'!$B$121+M900*'Part 3 Portfolio Analysis'!$C$121+'Part 3 Portfolio Analysis'!$D$121*T900+AA900*'Part 3 Portfolio Analysis'!$E$121+'Part 3 Portfolio Analysis'!$F$121*AH900</f>
        <v>-4.2250400000000002E-3</v>
      </c>
      <c r="AM900" s="91"/>
      <c r="AN900" s="90">
        <v>45979</v>
      </c>
      <c r="AO900" s="91">
        <v>26021.800780000001</v>
      </c>
      <c r="AP900" s="91">
        <v>25910.050780000001</v>
      </c>
      <c r="AQ900" s="91">
        <v>25910.050780000001</v>
      </c>
      <c r="AR900" s="91">
        <v>280000</v>
      </c>
      <c r="AS900" s="91">
        <v>-4.0000000000000001E-3</v>
      </c>
    </row>
    <row r="901" spans="1:45" x14ac:dyDescent="0.55000000000000004">
      <c r="A901" s="90">
        <v>45980</v>
      </c>
      <c r="B901" s="91">
        <v>5270</v>
      </c>
      <c r="C901" s="91">
        <v>5347.5</v>
      </c>
      <c r="D901" s="91">
        <v>5347.5</v>
      </c>
      <c r="E901" s="91">
        <v>137005</v>
      </c>
      <c r="F901" s="91">
        <v>1.34E-2</v>
      </c>
      <c r="H901" s="90">
        <v>45980</v>
      </c>
      <c r="I901" s="91">
        <v>1517.400024</v>
      </c>
      <c r="J901" s="91">
        <v>1518.900024</v>
      </c>
      <c r="K901" s="91">
        <v>1518.900024</v>
      </c>
      <c r="L901" s="91">
        <v>5692366</v>
      </c>
      <c r="M901" s="91">
        <v>-2.9999999999999997E-4</v>
      </c>
      <c r="O901" s="90">
        <v>45980</v>
      </c>
      <c r="P901" s="91">
        <v>990</v>
      </c>
      <c r="Q901" s="91">
        <v>994.59997559999999</v>
      </c>
      <c r="R901" s="91">
        <v>994.59997559999999</v>
      </c>
      <c r="S901" s="91">
        <v>19813847</v>
      </c>
      <c r="T901" s="91">
        <v>2.2000000000000001E-3</v>
      </c>
      <c r="V901" s="90">
        <v>45980</v>
      </c>
      <c r="W901" s="91">
        <v>1490.5</v>
      </c>
      <c r="X901" s="91">
        <v>1541.099976</v>
      </c>
      <c r="Y901" s="91">
        <v>1541.099976</v>
      </c>
      <c r="Z901" s="91">
        <v>10981126</v>
      </c>
      <c r="AA901" s="91">
        <v>3.6799999999999999E-2</v>
      </c>
      <c r="AB901" s="91"/>
      <c r="AC901" s="90">
        <v>45980</v>
      </c>
      <c r="AD901" s="91">
        <v>4380</v>
      </c>
      <c r="AE901" s="91">
        <v>4358.8999020000001</v>
      </c>
      <c r="AF901" s="91">
        <v>4358.8999020000001</v>
      </c>
      <c r="AG901" s="91">
        <v>593957</v>
      </c>
      <c r="AH901" s="91">
        <v>-3.5000000000000001E-3</v>
      </c>
      <c r="AI901" s="91"/>
      <c r="AJ901" s="91">
        <f>(F901*'Part 3 Portfolio Analysis'!$B$8+M901*'Part 3 Portfolio Analysis'!$C$8+T901*'Part 3 Portfolio Analysis'!$D$8+AA901*'Part 3 Portfolio Analysis'!$E$8+AH901*'Part 3 Portfolio Analysis'!$F$8)/100</f>
        <v>1.0166391684357822E-2</v>
      </c>
      <c r="AK901" s="91">
        <f>'Part 3 Portfolio Analysis'!$B$107*F901+M901*'Part 3 Portfolio Analysis'!$C$107+T901*'Part 3 Portfolio Analysis'!$D$107+AA901*'Part 3 Portfolio Analysis'!$E$107+AH901*'Part 3 Portfolio Analysis'!$F$107</f>
        <v>5.4571000000000003E-3</v>
      </c>
      <c r="AL901" s="91">
        <f>F901*'Part 3 Portfolio Analysis'!$B$121+M901*'Part 3 Portfolio Analysis'!$C$121+'Part 3 Portfolio Analysis'!$D$121*T901+AA901*'Part 3 Portfolio Analysis'!$E$121+'Part 3 Portfolio Analysis'!$F$121*AH901</f>
        <v>8.8423000000000009E-3</v>
      </c>
      <c r="AM901" s="91"/>
      <c r="AN901" s="90">
        <v>45980</v>
      </c>
      <c r="AO901" s="91">
        <v>25918.099610000001</v>
      </c>
      <c r="AP901" s="91">
        <v>26052.650389999999</v>
      </c>
      <c r="AQ901" s="91">
        <v>26052.650389999999</v>
      </c>
      <c r="AR901" s="91">
        <v>250100</v>
      </c>
      <c r="AS901" s="91">
        <v>5.4999999999999997E-3</v>
      </c>
    </row>
    <row r="902" spans="1:45" x14ac:dyDescent="0.55000000000000004">
      <c r="A902" s="90">
        <v>45981</v>
      </c>
      <c r="B902" s="91">
        <v>5399</v>
      </c>
      <c r="C902" s="91">
        <v>5366.5</v>
      </c>
      <c r="D902" s="91">
        <v>5366.5</v>
      </c>
      <c r="E902" s="91">
        <v>161695</v>
      </c>
      <c r="F902" s="91">
        <v>3.5999999999999999E-3</v>
      </c>
      <c r="H902" s="90">
        <v>45981</v>
      </c>
      <c r="I902" s="91">
        <v>1530</v>
      </c>
      <c r="J902" s="91">
        <v>1549.099976</v>
      </c>
      <c r="K902" s="91">
        <v>1549.099976</v>
      </c>
      <c r="L902" s="91">
        <v>18171724</v>
      </c>
      <c r="M902" s="91">
        <v>1.9900000000000001E-2</v>
      </c>
      <c r="O902" s="90">
        <v>45981</v>
      </c>
      <c r="P902" s="91">
        <v>995.29998780000005</v>
      </c>
      <c r="Q902" s="91">
        <v>1008.849976</v>
      </c>
      <c r="R902" s="91">
        <v>1008.849976</v>
      </c>
      <c r="S902" s="91">
        <v>19850865</v>
      </c>
      <c r="T902" s="91">
        <v>1.43E-2</v>
      </c>
      <c r="V902" s="90">
        <v>45981</v>
      </c>
      <c r="W902" s="91">
        <v>1555</v>
      </c>
      <c r="X902" s="91">
        <v>1536.5</v>
      </c>
      <c r="Y902" s="91">
        <v>1536.5</v>
      </c>
      <c r="Z902" s="91">
        <v>7387584</v>
      </c>
      <c r="AA902" s="91">
        <v>-3.0000000000000001E-3</v>
      </c>
      <c r="AB902" s="91"/>
      <c r="AC902" s="90">
        <v>45981</v>
      </c>
      <c r="AD902" s="91">
        <v>4352.2001950000003</v>
      </c>
      <c r="AE902" s="91">
        <v>4388.8999020000001</v>
      </c>
      <c r="AF902" s="91">
        <v>4388.8999020000001</v>
      </c>
      <c r="AG902" s="91">
        <v>513726</v>
      </c>
      <c r="AH902" s="91">
        <v>6.8999999999999999E-3</v>
      </c>
      <c r="AI902" s="91"/>
      <c r="AJ902" s="91">
        <f>(F902*'Part 3 Portfolio Analysis'!$B$8+M902*'Part 3 Portfolio Analysis'!$C$8+T902*'Part 3 Portfolio Analysis'!$D$8+AA902*'Part 3 Portfolio Analysis'!$E$8+AH902*'Part 3 Portfolio Analysis'!$F$8)/100</f>
        <v>1.0263413368555806E-2</v>
      </c>
      <c r="AK902" s="91">
        <f>'Part 3 Portfolio Analysis'!$B$107*F902+M902*'Part 3 Portfolio Analysis'!$C$107+T902*'Part 3 Portfolio Analysis'!$D$107+AA902*'Part 3 Portfolio Analysis'!$E$107+AH902*'Part 3 Portfolio Analysis'!$F$107</f>
        <v>1.0532000000000001E-2</v>
      </c>
      <c r="AL902" s="91">
        <f>F902*'Part 3 Portfolio Analysis'!$B$121+M902*'Part 3 Portfolio Analysis'!$C$121+'Part 3 Portfolio Analysis'!$D$121*T902+AA902*'Part 3 Portfolio Analysis'!$E$121+'Part 3 Portfolio Analysis'!$F$121*AH902</f>
        <v>1.211634E-2</v>
      </c>
      <c r="AM902" s="91"/>
      <c r="AN902" s="90">
        <v>45981</v>
      </c>
      <c r="AO902" s="91">
        <v>26132.099610000001</v>
      </c>
      <c r="AP902" s="91">
        <v>26192.150389999999</v>
      </c>
      <c r="AQ902" s="91">
        <v>26192.150389999999</v>
      </c>
      <c r="AR902" s="91">
        <v>240400</v>
      </c>
      <c r="AS902" s="91">
        <v>5.4000000000000003E-3</v>
      </c>
    </row>
    <row r="903" spans="1:45" x14ac:dyDescent="0.55000000000000004">
      <c r="A903" s="90">
        <v>45982</v>
      </c>
      <c r="B903" s="91">
        <v>5324</v>
      </c>
      <c r="C903" s="91">
        <v>5320.5</v>
      </c>
      <c r="D903" s="91">
        <v>5320.5</v>
      </c>
      <c r="E903" s="91">
        <v>162673</v>
      </c>
      <c r="F903" s="91">
        <v>-8.6E-3</v>
      </c>
      <c r="H903" s="90">
        <v>45982</v>
      </c>
      <c r="I903" s="91">
        <v>1541</v>
      </c>
      <c r="J903" s="91">
        <v>1546.599976</v>
      </c>
      <c r="K903" s="91">
        <v>1546.599976</v>
      </c>
      <c r="L903" s="91">
        <v>9615271</v>
      </c>
      <c r="M903" s="91">
        <v>-1.6000000000000001E-3</v>
      </c>
      <c r="O903" s="90">
        <v>45982</v>
      </c>
      <c r="P903" s="91">
        <v>1003.099976</v>
      </c>
      <c r="Q903" s="91">
        <v>998.04998780000005</v>
      </c>
      <c r="R903" s="91">
        <v>998.04998780000005</v>
      </c>
      <c r="S903" s="91">
        <v>17499897</v>
      </c>
      <c r="T903" s="91">
        <v>-1.0699999999999999E-2</v>
      </c>
      <c r="V903" s="90">
        <v>45982</v>
      </c>
      <c r="W903" s="91">
        <v>1531</v>
      </c>
      <c r="X903" s="91">
        <v>1545</v>
      </c>
      <c r="Y903" s="91">
        <v>1545</v>
      </c>
      <c r="Z903" s="91">
        <v>9186302</v>
      </c>
      <c r="AA903" s="91">
        <v>5.4999999999999997E-3</v>
      </c>
      <c r="AB903" s="91"/>
      <c r="AC903" s="90">
        <v>45982</v>
      </c>
      <c r="AD903" s="91">
        <v>4397</v>
      </c>
      <c r="AE903" s="91">
        <v>4359.1000979999999</v>
      </c>
      <c r="AF903" s="91">
        <v>4359.1000979999999</v>
      </c>
      <c r="AG903" s="91">
        <v>411274</v>
      </c>
      <c r="AH903" s="91">
        <v>-6.7999999999999996E-3</v>
      </c>
      <c r="AI903" s="91"/>
      <c r="AJ903" s="91">
        <f>(F903*'Part 3 Portfolio Analysis'!$B$8+M903*'Part 3 Portfolio Analysis'!$C$8+T903*'Part 3 Portfolio Analysis'!$D$8+AA903*'Part 3 Portfolio Analysis'!$E$8+AH903*'Part 3 Portfolio Analysis'!$F$8)/100</f>
        <v>-4.1261899310807808E-3</v>
      </c>
      <c r="AK903" s="91">
        <f>'Part 3 Portfolio Analysis'!$B$107*F903+M903*'Part 3 Portfolio Analysis'!$C$107+T903*'Part 3 Portfolio Analysis'!$D$107+AA903*'Part 3 Portfolio Analysis'!$E$107+AH903*'Part 3 Portfolio Analysis'!$F$107</f>
        <v>-4.8708999999999992E-3</v>
      </c>
      <c r="AL903" s="91">
        <f>F903*'Part 3 Portfolio Analysis'!$B$121+M903*'Part 3 Portfolio Analysis'!$C$121+'Part 3 Portfolio Analysis'!$D$121*T903+AA903*'Part 3 Portfolio Analysis'!$E$121+'Part 3 Portfolio Analysis'!$F$121*AH903</f>
        <v>-3.3668399999999994E-3</v>
      </c>
      <c r="AM903" s="91"/>
      <c r="AN903" s="90">
        <v>45982</v>
      </c>
      <c r="AO903" s="91">
        <v>26109.550780000001</v>
      </c>
      <c r="AP903" s="91">
        <v>26068.150389999999</v>
      </c>
      <c r="AQ903" s="91">
        <v>26068.150389999999</v>
      </c>
      <c r="AR903" s="91">
        <v>235600</v>
      </c>
      <c r="AS903" s="91">
        <v>-4.7000000000000002E-3</v>
      </c>
    </row>
    <row r="904" spans="1:45" x14ac:dyDescent="0.55000000000000004">
      <c r="A904" s="90">
        <v>45985</v>
      </c>
      <c r="B904" s="91">
        <v>5326</v>
      </c>
      <c r="C904" s="91">
        <v>5231</v>
      </c>
      <c r="D904" s="91">
        <v>5231</v>
      </c>
      <c r="E904" s="91">
        <v>5075701</v>
      </c>
      <c r="F904" s="91">
        <v>-1.6799999999999999E-2</v>
      </c>
      <c r="H904" s="90">
        <v>45985</v>
      </c>
      <c r="I904" s="91">
        <v>1550</v>
      </c>
      <c r="J904" s="91">
        <v>1535.900024</v>
      </c>
      <c r="K904" s="91">
        <v>1535.900024</v>
      </c>
      <c r="L904" s="91">
        <v>18433951</v>
      </c>
      <c r="M904" s="91">
        <v>-6.8999999999999999E-3</v>
      </c>
      <c r="O904" s="90">
        <v>45985</v>
      </c>
      <c r="P904" s="91">
        <v>1000</v>
      </c>
      <c r="Q904" s="91">
        <v>999.15002440000001</v>
      </c>
      <c r="R904" s="91">
        <v>999.15002440000001</v>
      </c>
      <c r="S904" s="91">
        <v>32204053</v>
      </c>
      <c r="T904" s="91">
        <v>1.1000000000000001E-3</v>
      </c>
      <c r="V904" s="90">
        <v>45985</v>
      </c>
      <c r="W904" s="91">
        <v>1563.599976</v>
      </c>
      <c r="X904" s="91">
        <v>1548</v>
      </c>
      <c r="Y904" s="91">
        <v>1548</v>
      </c>
      <c r="Z904" s="91">
        <v>19270381</v>
      </c>
      <c r="AA904" s="91">
        <v>1.9E-3</v>
      </c>
      <c r="AB904" s="91"/>
      <c r="AC904" s="90">
        <v>45985</v>
      </c>
      <c r="AD904" s="91">
        <v>4370</v>
      </c>
      <c r="AE904" s="91">
        <v>4310.8999020000001</v>
      </c>
      <c r="AF904" s="91">
        <v>4310.8999020000001</v>
      </c>
      <c r="AG904" s="91">
        <v>1144110</v>
      </c>
      <c r="AH904" s="91">
        <v>-1.11E-2</v>
      </c>
      <c r="AI904" s="91"/>
      <c r="AJ904" s="91">
        <f>(F904*'Part 3 Portfolio Analysis'!$B$8+M904*'Part 3 Portfolio Analysis'!$C$8+T904*'Part 3 Portfolio Analysis'!$D$8+AA904*'Part 3 Portfolio Analysis'!$E$8+AH904*'Part 3 Portfolio Analysis'!$F$8)/100</f>
        <v>-7.1603320880503692E-3</v>
      </c>
      <c r="AK904" s="91">
        <f>'Part 3 Portfolio Analysis'!$B$107*F904+M904*'Part 3 Portfolio Analysis'!$C$107+T904*'Part 3 Portfolio Analysis'!$D$107+AA904*'Part 3 Portfolio Analysis'!$E$107+AH904*'Part 3 Portfolio Analysis'!$F$107</f>
        <v>-7.6203999999999994E-3</v>
      </c>
      <c r="AL904" s="91">
        <f>F904*'Part 3 Portfolio Analysis'!$B$121+M904*'Part 3 Portfolio Analysis'!$C$121+'Part 3 Portfolio Analysis'!$D$121*T904+AA904*'Part 3 Portfolio Analysis'!$E$121+'Part 3 Portfolio Analysis'!$F$121*AH904</f>
        <v>-3.8878199999999993E-3</v>
      </c>
      <c r="AM904" s="91"/>
      <c r="AN904" s="90">
        <v>45985</v>
      </c>
      <c r="AO904" s="91">
        <v>26122.800780000001</v>
      </c>
      <c r="AP904" s="91">
        <v>25959.5</v>
      </c>
      <c r="AQ904" s="91">
        <v>25959.5</v>
      </c>
      <c r="AR904" s="91">
        <v>464700</v>
      </c>
      <c r="AS904" s="91">
        <v>-4.1999999999999997E-3</v>
      </c>
    </row>
    <row r="905" spans="1:45" x14ac:dyDescent="0.55000000000000004">
      <c r="A905" s="90">
        <v>45986</v>
      </c>
      <c r="B905" s="91">
        <v>5165</v>
      </c>
      <c r="C905" s="91">
        <v>5164</v>
      </c>
      <c r="D905" s="91">
        <v>5164</v>
      </c>
      <c r="E905" s="91">
        <v>188860</v>
      </c>
      <c r="F905" s="91">
        <v>-1.2800000000000001E-2</v>
      </c>
      <c r="H905" s="90">
        <v>45986</v>
      </c>
      <c r="I905" s="91">
        <v>1535.900024</v>
      </c>
      <c r="J905" s="91">
        <v>1539.6999510000001</v>
      </c>
      <c r="K905" s="91">
        <v>1539.6999510000001</v>
      </c>
      <c r="L905" s="91">
        <v>15033482</v>
      </c>
      <c r="M905" s="91">
        <v>2.5000000000000001E-3</v>
      </c>
      <c r="O905" s="90">
        <v>45986</v>
      </c>
      <c r="P905" s="91">
        <v>1004</v>
      </c>
      <c r="Q905" s="91">
        <v>989.79998780000005</v>
      </c>
      <c r="R905" s="91">
        <v>989.79998780000005</v>
      </c>
      <c r="S905" s="91">
        <v>24989383</v>
      </c>
      <c r="T905" s="91">
        <v>-9.4000000000000004E-3</v>
      </c>
      <c r="V905" s="90">
        <v>45986</v>
      </c>
      <c r="W905" s="91">
        <v>1549</v>
      </c>
      <c r="X905" s="91">
        <v>1530.599976</v>
      </c>
      <c r="Y905" s="91">
        <v>1530.599976</v>
      </c>
      <c r="Z905" s="91">
        <v>8107952</v>
      </c>
      <c r="AA905" s="91">
        <v>-1.12E-2</v>
      </c>
      <c r="AB905" s="91"/>
      <c r="AC905" s="90">
        <v>45986</v>
      </c>
      <c r="AD905" s="91">
        <v>4310.8999020000001</v>
      </c>
      <c r="AE905" s="91">
        <v>4243.8999020000001</v>
      </c>
      <c r="AF905" s="91">
        <v>4243.8999020000001</v>
      </c>
      <c r="AG905" s="91">
        <v>1019740</v>
      </c>
      <c r="AH905" s="91">
        <v>-1.55E-2</v>
      </c>
      <c r="AI905" s="91"/>
      <c r="AJ905" s="91">
        <f>(F905*'Part 3 Portfolio Analysis'!$B$8+M905*'Part 3 Portfolio Analysis'!$C$8+T905*'Part 3 Portfolio Analysis'!$D$8+AA905*'Part 3 Portfolio Analysis'!$E$8+AH905*'Part 3 Portfolio Analysis'!$F$8)/100</f>
        <v>-6.4557857851748847E-3</v>
      </c>
      <c r="AK905" s="91">
        <f>'Part 3 Portfolio Analysis'!$B$107*F905+M905*'Part 3 Portfolio Analysis'!$C$107+T905*'Part 3 Portfolio Analysis'!$D$107+AA905*'Part 3 Portfolio Analysis'!$E$107+AH905*'Part 3 Portfolio Analysis'!$F$107</f>
        <v>-8.0045000000000012E-3</v>
      </c>
      <c r="AL905" s="91">
        <f>F905*'Part 3 Portfolio Analysis'!$B$121+M905*'Part 3 Portfolio Analysis'!$C$121+'Part 3 Portfolio Analysis'!$D$121*T905+AA905*'Part 3 Portfolio Analysis'!$E$121+'Part 3 Portfolio Analysis'!$F$121*AH905</f>
        <v>-5.2060600000000011E-3</v>
      </c>
      <c r="AM905" s="91"/>
      <c r="AN905" s="90">
        <v>45986</v>
      </c>
      <c r="AO905" s="91">
        <v>25998.5</v>
      </c>
      <c r="AP905" s="91">
        <v>25884.800780000001</v>
      </c>
      <c r="AQ905" s="91">
        <v>25884.800780000001</v>
      </c>
      <c r="AR905" s="91">
        <v>260500</v>
      </c>
      <c r="AS905" s="91">
        <v>-2.8999999999999998E-3</v>
      </c>
    </row>
    <row r="906" spans="1:45" x14ac:dyDescent="0.55000000000000004">
      <c r="A906" s="90">
        <v>45987</v>
      </c>
      <c r="B906" s="91">
        <v>5174.5</v>
      </c>
      <c r="C906" s="91">
        <v>5229.5</v>
      </c>
      <c r="D906" s="91">
        <v>5229.5</v>
      </c>
      <c r="E906" s="91">
        <v>169001</v>
      </c>
      <c r="F906" s="91">
        <v>1.2699999999999999E-2</v>
      </c>
      <c r="H906" s="90">
        <v>45987</v>
      </c>
      <c r="I906" s="91">
        <v>1542.3000489999999</v>
      </c>
      <c r="J906" s="91">
        <v>1569.900024</v>
      </c>
      <c r="K906" s="91">
        <v>1569.900024</v>
      </c>
      <c r="L906" s="91">
        <v>14054299</v>
      </c>
      <c r="M906" s="91">
        <v>1.9599999999999999E-2</v>
      </c>
      <c r="O906" s="90">
        <v>45987</v>
      </c>
      <c r="P906" s="91">
        <v>981.29998780000005</v>
      </c>
      <c r="Q906" s="91">
        <v>1003.900024</v>
      </c>
      <c r="R906" s="91">
        <v>1003.900024</v>
      </c>
      <c r="S906" s="91">
        <v>19494356</v>
      </c>
      <c r="T906" s="91">
        <v>1.4200000000000001E-2</v>
      </c>
      <c r="V906" s="90">
        <v>45987</v>
      </c>
      <c r="W906" s="91">
        <v>1532.099976</v>
      </c>
      <c r="X906" s="91">
        <v>1557.900024</v>
      </c>
      <c r="Y906" s="91">
        <v>1557.900024</v>
      </c>
      <c r="Z906" s="91">
        <v>7575038</v>
      </c>
      <c r="AA906" s="91">
        <v>1.78E-2</v>
      </c>
      <c r="AB906" s="91"/>
      <c r="AC906" s="90">
        <v>45987</v>
      </c>
      <c r="AD906" s="91">
        <v>4246.5</v>
      </c>
      <c r="AE906" s="91">
        <v>4292.3999020000001</v>
      </c>
      <c r="AF906" s="91">
        <v>4292.3999020000001</v>
      </c>
      <c r="AG906" s="91">
        <v>804098</v>
      </c>
      <c r="AH906" s="91">
        <v>1.14E-2</v>
      </c>
      <c r="AI906" s="91"/>
      <c r="AJ906" s="91">
        <f>(F906*'Part 3 Portfolio Analysis'!$B$8+M906*'Part 3 Portfolio Analysis'!$C$8+T906*'Part 3 Portfolio Analysis'!$D$8+AA906*'Part 3 Portfolio Analysis'!$E$8+AH906*'Part 3 Portfolio Analysis'!$F$8)/100</f>
        <v>1.6259387498056513E-2</v>
      </c>
      <c r="AK906" s="91">
        <f>'Part 3 Portfolio Analysis'!$B$107*F906+M906*'Part 3 Portfolio Analysis'!$C$107+T906*'Part 3 Portfolio Analysis'!$D$107+AA906*'Part 3 Portfolio Analysis'!$E$107+AH906*'Part 3 Portfolio Analysis'!$F$107</f>
        <v>1.5274599999999999E-2</v>
      </c>
      <c r="AL906" s="91">
        <f>F906*'Part 3 Portfolio Analysis'!$B$121+M906*'Part 3 Portfolio Analysis'!$C$121+'Part 3 Portfolio Analysis'!$D$121*T906+AA906*'Part 3 Portfolio Analysis'!$E$121+'Part 3 Portfolio Analysis'!$F$121*AH906</f>
        <v>1.698918E-2</v>
      </c>
      <c r="AM906" s="91"/>
      <c r="AN906" s="90">
        <v>45987</v>
      </c>
      <c r="AO906" s="91">
        <v>25842.949219999999</v>
      </c>
      <c r="AP906" s="91">
        <v>26205.300780000001</v>
      </c>
      <c r="AQ906" s="91">
        <v>26205.300780000001</v>
      </c>
      <c r="AR906" s="91">
        <v>275300</v>
      </c>
      <c r="AS906" s="91">
        <v>1.24E-2</v>
      </c>
    </row>
    <row r="907" spans="1:45" x14ac:dyDescent="0.55000000000000004">
      <c r="A907" s="90">
        <v>45988</v>
      </c>
      <c r="B907" s="91">
        <v>5231.5</v>
      </c>
      <c r="C907" s="91">
        <v>5197</v>
      </c>
      <c r="D907" s="91">
        <v>5197</v>
      </c>
      <c r="E907" s="91">
        <v>106818</v>
      </c>
      <c r="F907" s="91">
        <v>-6.1999999999999998E-3</v>
      </c>
      <c r="H907" s="90">
        <v>45988</v>
      </c>
      <c r="I907" s="91">
        <v>1575</v>
      </c>
      <c r="J907" s="91">
        <v>1563.400024</v>
      </c>
      <c r="K907" s="91">
        <v>1563.400024</v>
      </c>
      <c r="L907" s="91">
        <v>9794643</v>
      </c>
      <c r="M907" s="91">
        <v>-4.1000000000000003E-3</v>
      </c>
      <c r="O907" s="90">
        <v>45988</v>
      </c>
      <c r="P907" s="91">
        <v>1002.099976</v>
      </c>
      <c r="Q907" s="91">
        <v>1009.5</v>
      </c>
      <c r="R907" s="91">
        <v>1009.5</v>
      </c>
      <c r="S907" s="91">
        <v>25536848</v>
      </c>
      <c r="T907" s="91">
        <v>5.5999999999999999E-3</v>
      </c>
      <c r="V907" s="90">
        <v>45988</v>
      </c>
      <c r="W907" s="91">
        <v>1564</v>
      </c>
      <c r="X907" s="91">
        <v>1566.400024</v>
      </c>
      <c r="Y907" s="91">
        <v>1566.400024</v>
      </c>
      <c r="Z907" s="91">
        <v>7552252</v>
      </c>
      <c r="AA907" s="91">
        <v>5.4999999999999997E-3</v>
      </c>
      <c r="AB907" s="91"/>
      <c r="AC907" s="90">
        <v>45988</v>
      </c>
      <c r="AD907" s="91">
        <v>4305.5</v>
      </c>
      <c r="AE907" s="91">
        <v>4266.1000979999999</v>
      </c>
      <c r="AF907" s="91">
        <v>4266.1000979999999</v>
      </c>
      <c r="AG907" s="91">
        <v>669342</v>
      </c>
      <c r="AH907" s="91">
        <v>-6.1000000000000004E-3</v>
      </c>
      <c r="AI907" s="91"/>
      <c r="AJ907" s="91">
        <f>(F907*'Part 3 Portfolio Analysis'!$B$8+M907*'Part 3 Portfolio Analysis'!$C$8+T907*'Part 3 Portfolio Analysis'!$D$8+AA907*'Part 3 Portfolio Analysis'!$E$8+AH907*'Part 3 Portfolio Analysis'!$F$8)/100</f>
        <v>-1.5865017284295046E-3</v>
      </c>
      <c r="AK907" s="91">
        <f>'Part 3 Portfolio Analysis'!$B$107*F907+M907*'Part 3 Portfolio Analysis'!$C$107+T907*'Part 3 Portfolio Analysis'!$D$107+AA907*'Part 3 Portfolio Analysis'!$E$107+AH907*'Part 3 Portfolio Analysis'!$F$107</f>
        <v>-2.5184999999999999E-3</v>
      </c>
      <c r="AL907" s="91">
        <f>F907*'Part 3 Portfolio Analysis'!$B$121+M907*'Part 3 Portfolio Analysis'!$C$121+'Part 3 Portfolio Analysis'!$D$121*T907+AA907*'Part 3 Portfolio Analysis'!$E$121+'Part 3 Portfolio Analysis'!$F$121*AH907</f>
        <v>2.3337999999999999E-4</v>
      </c>
      <c r="AM907" s="91"/>
      <c r="AN907" s="90">
        <v>45988</v>
      </c>
      <c r="AO907" s="91">
        <v>26261.25</v>
      </c>
      <c r="AP907" s="91">
        <v>26215.550780000001</v>
      </c>
      <c r="AQ907" s="91">
        <v>26215.550780000001</v>
      </c>
      <c r="AR907" s="91">
        <v>240300</v>
      </c>
      <c r="AS907" s="91">
        <v>4.0000000000000002E-4</v>
      </c>
    </row>
    <row r="908" spans="1:45" x14ac:dyDescent="0.55000000000000004">
      <c r="A908" s="90">
        <v>45989</v>
      </c>
      <c r="B908" s="91">
        <v>5205.5</v>
      </c>
      <c r="C908" s="91">
        <v>5158.5</v>
      </c>
      <c r="D908" s="91">
        <v>5158.5</v>
      </c>
      <c r="E908" s="91">
        <v>136784</v>
      </c>
      <c r="F908" s="91">
        <v>-7.4000000000000003E-3</v>
      </c>
      <c r="H908" s="90">
        <v>45989</v>
      </c>
      <c r="I908" s="91">
        <v>1568</v>
      </c>
      <c r="J908" s="91">
        <v>1567.5</v>
      </c>
      <c r="K908" s="91">
        <v>1567.5</v>
      </c>
      <c r="L908" s="91">
        <v>8959508</v>
      </c>
      <c r="M908" s="91">
        <v>2.5999999999999999E-3</v>
      </c>
      <c r="O908" s="90">
        <v>45989</v>
      </c>
      <c r="P908" s="91">
        <v>1007</v>
      </c>
      <c r="Q908" s="91">
        <v>1007.599976</v>
      </c>
      <c r="R908" s="91">
        <v>1007.599976</v>
      </c>
      <c r="S908" s="91">
        <v>15988807</v>
      </c>
      <c r="T908" s="91">
        <v>-1.9E-3</v>
      </c>
      <c r="V908" s="90">
        <v>45989</v>
      </c>
      <c r="W908" s="91">
        <v>1565</v>
      </c>
      <c r="X908" s="91">
        <v>1560.099976</v>
      </c>
      <c r="Y908" s="91">
        <v>1560.099976</v>
      </c>
      <c r="Z908" s="91">
        <v>4453221</v>
      </c>
      <c r="AA908" s="91">
        <v>-4.0000000000000001E-3</v>
      </c>
      <c r="AB908" s="91"/>
      <c r="AC908" s="90">
        <v>45989</v>
      </c>
      <c r="AD908" s="91">
        <v>4276.1000979999999</v>
      </c>
      <c r="AE908" s="91">
        <v>4250.3999020000001</v>
      </c>
      <c r="AF908" s="91">
        <v>4250.3999020000001</v>
      </c>
      <c r="AG908" s="91">
        <v>549814</v>
      </c>
      <c r="AH908" s="91">
        <v>-3.7000000000000002E-3</v>
      </c>
      <c r="AI908" s="91"/>
      <c r="AJ908" s="91">
        <f>(F908*'Part 3 Portfolio Analysis'!$B$8+M908*'Part 3 Portfolio Analysis'!$C$8+T908*'Part 3 Portfolio Analysis'!$D$8+AA908*'Part 3 Portfolio Analysis'!$E$8+AH908*'Part 3 Portfolio Analysis'!$F$8)/100</f>
        <v>-2.2743923731140935E-3</v>
      </c>
      <c r="AK908" s="91">
        <f>'Part 3 Portfolio Analysis'!$B$107*F908+M908*'Part 3 Portfolio Analysis'!$C$107+T908*'Part 3 Portfolio Analysis'!$D$107+AA908*'Part 3 Portfolio Analysis'!$E$107+AH908*'Part 3 Portfolio Analysis'!$F$107</f>
        <v>-2.1451E-3</v>
      </c>
      <c r="AL908" s="91">
        <f>F908*'Part 3 Portfolio Analysis'!$B$121+M908*'Part 3 Portfolio Analysis'!$C$121+'Part 3 Portfolio Analysis'!$D$121*T908+AA908*'Part 3 Portfolio Analysis'!$E$121+'Part 3 Portfolio Analysis'!$F$121*AH908</f>
        <v>-9.3106000000000005E-4</v>
      </c>
      <c r="AM908" s="91"/>
      <c r="AN908" s="90">
        <v>45989</v>
      </c>
      <c r="AO908" s="91">
        <v>26237.449219999999</v>
      </c>
      <c r="AP908" s="91">
        <v>26202.949219999999</v>
      </c>
      <c r="AQ908" s="91">
        <v>26202.949219999999</v>
      </c>
      <c r="AR908" s="91">
        <v>202500</v>
      </c>
      <c r="AS908" s="91">
        <v>-5.0000000000000001E-4</v>
      </c>
    </row>
    <row r="909" spans="1:45" x14ac:dyDescent="0.55000000000000004">
      <c r="A909" s="92" t="s">
        <v>414</v>
      </c>
      <c r="B909" s="92"/>
      <c r="C909" s="92"/>
      <c r="D909" s="92"/>
      <c r="E909" s="92"/>
      <c r="F909" s="92">
        <f>AVERAGE(F6:F908)</f>
        <v>-3.8493909191583627E-4</v>
      </c>
      <c r="G909" s="92"/>
      <c r="H909" s="92"/>
      <c r="I909" s="92"/>
      <c r="J909" s="92"/>
      <c r="K909" s="92"/>
      <c r="L909" s="92"/>
      <c r="M909" s="92">
        <f>AVERAGE(M6:M908)</f>
        <v>3.8161683277962324E-4</v>
      </c>
      <c r="N909" s="92"/>
      <c r="O909" s="92"/>
      <c r="P909" s="92"/>
      <c r="Q909" s="92"/>
      <c r="R909" s="92"/>
      <c r="S909" s="92"/>
      <c r="T909" s="92">
        <f>AVERAGE(T4:T908)</f>
        <v>4.5714285714285697E-4</v>
      </c>
      <c r="U909" s="92"/>
      <c r="V909" s="92"/>
      <c r="W909" s="92"/>
      <c r="X909" s="92"/>
      <c r="Y909" s="92"/>
      <c r="Z909" s="92"/>
      <c r="AA909" s="92">
        <f>AVERAGE(AA6:AA908)</f>
        <v>2.0376522702103764E-5</v>
      </c>
      <c r="AB909" s="92"/>
      <c r="AC909" s="92"/>
      <c r="AD909" s="92"/>
      <c r="AE909" s="92"/>
      <c r="AF909" s="92"/>
      <c r="AG909" s="92"/>
      <c r="AH909" s="92">
        <f>AVERAGE(AH6:AH908)</f>
        <v>1.5805094130675512E-3</v>
      </c>
      <c r="AI909" s="92"/>
      <c r="AJ909" s="92">
        <f t="shared" ref="AJ909:AL909" si="0">AVERAGE(AJ6:AJ908)</f>
        <v>1.1783055544931068E-4</v>
      </c>
      <c r="AK909" s="92">
        <f t="shared" si="0"/>
        <v>5.2134019933554755E-4</v>
      </c>
      <c r="AL909" s="92">
        <f t="shared" si="0"/>
        <v>2.9831193798449617E-4</v>
      </c>
      <c r="AM909" s="92"/>
      <c r="AN909" s="92"/>
      <c r="AO909" s="92"/>
      <c r="AP909" s="92"/>
      <c r="AQ909" s="92"/>
      <c r="AR909" s="92"/>
      <c r="AS909" s="92">
        <f>AVERAGE(AS4:AS908)</f>
        <v>4.5448504983388704E-4</v>
      </c>
    </row>
    <row r="910" spans="1:45" x14ac:dyDescent="0.55000000000000004">
      <c r="A910" s="93" t="s">
        <v>415</v>
      </c>
      <c r="B910" s="93"/>
      <c r="C910" s="93"/>
      <c r="D910" s="93"/>
      <c r="E910" s="93"/>
      <c r="F910" s="93">
        <f>STDEV(F6:F908)</f>
        <v>1.9274182701623864E-2</v>
      </c>
      <c r="G910" s="93"/>
      <c r="H910" s="93"/>
      <c r="I910" s="93"/>
      <c r="J910" s="93"/>
      <c r="K910" s="93"/>
      <c r="L910" s="93"/>
      <c r="M910" s="93">
        <f>STDEV(M6:M908)</f>
        <v>1.3567230755622226E-2</v>
      </c>
      <c r="N910" s="93"/>
      <c r="O910" s="93"/>
      <c r="P910" s="93"/>
      <c r="Q910" s="93"/>
      <c r="R910" s="93"/>
      <c r="S910" s="93"/>
      <c r="T910" s="93">
        <f>STDEV(T6:T908)</f>
        <v>1.2616484809375444E-2</v>
      </c>
      <c r="U910" s="93"/>
      <c r="V910" s="93"/>
      <c r="W910" s="93"/>
      <c r="X910" s="93"/>
      <c r="Y910" s="93"/>
      <c r="Z910" s="93"/>
      <c r="AA910" s="93">
        <f>STDEV(AA6:AA908)</f>
        <v>1.5630801541909246E-2</v>
      </c>
      <c r="AB910" s="93"/>
      <c r="AC910" s="93"/>
      <c r="AD910" s="93"/>
      <c r="AE910" s="93"/>
      <c r="AF910" s="93"/>
      <c r="AG910" s="93"/>
      <c r="AH910" s="93">
        <f>STDEV(AH6:AH908)</f>
        <v>2.1776295035217327E-2</v>
      </c>
      <c r="AI910" s="93"/>
      <c r="AJ910" s="93">
        <f t="shared" ref="AJ910:AL910" si="1">STDEV(AJ6:AJ908)</f>
        <v>1.0536407130635261E-2</v>
      </c>
      <c r="AK910" s="93">
        <f t="shared" si="1"/>
        <v>1.0875384089294466E-2</v>
      </c>
      <c r="AL910" s="93">
        <f t="shared" si="1"/>
        <v>9.8493906269188532E-3</v>
      </c>
      <c r="AM910" s="93"/>
      <c r="AN910" s="93"/>
      <c r="AO910" s="93"/>
      <c r="AP910" s="93"/>
      <c r="AQ910" s="93"/>
      <c r="AR910" s="93"/>
      <c r="AS910" s="93">
        <f>STDEV(AS6:AS908)</f>
        <v>8.1269963834613625E-3</v>
      </c>
    </row>
    <row r="911" spans="1:45" x14ac:dyDescent="0.55000000000000004">
      <c r="A911" s="24" t="s">
        <v>416</v>
      </c>
      <c r="B911" s="93"/>
      <c r="C911" s="93"/>
      <c r="D911" s="93"/>
      <c r="E911" s="93"/>
      <c r="F911" s="93">
        <f>((1+F909)^252-1)*100</f>
        <v>-9.2465163631213709</v>
      </c>
      <c r="G911" s="93"/>
      <c r="H911" s="93"/>
      <c r="I911" s="93"/>
      <c r="J911" s="93"/>
      <c r="K911" s="93"/>
      <c r="L911" s="93"/>
      <c r="M911" s="93">
        <f>((1+M909)^252-1)*100</f>
        <v>10.09231960708361</v>
      </c>
      <c r="N911" s="93"/>
      <c r="O911" s="93"/>
      <c r="P911" s="93"/>
      <c r="Q911" s="93"/>
      <c r="R911" s="93"/>
      <c r="S911" s="93"/>
      <c r="T911" s="93">
        <f>((1+T909)^252-1)*100</f>
        <v>12.206829764975268</v>
      </c>
      <c r="U911" s="93"/>
      <c r="V911" s="93"/>
      <c r="W911" s="93"/>
      <c r="X911" s="93"/>
      <c r="Y911" s="93"/>
      <c r="Z911" s="93"/>
      <c r="AA911" s="93">
        <f>((1+AA909)^252-1)*100</f>
        <v>0.51480372464629554</v>
      </c>
      <c r="AB911" s="93"/>
      <c r="AC911" s="93"/>
      <c r="AD911" s="93"/>
      <c r="AE911" s="93"/>
      <c r="AF911" s="93"/>
      <c r="AG911" s="93"/>
      <c r="AH911" s="93">
        <f>((1+AH909)^252-1)*100</f>
        <v>48.880525210366166</v>
      </c>
      <c r="AI911" s="93"/>
      <c r="AJ911" s="93">
        <f t="shared" ref="AJ911:AL911" si="2">((1+AJ909)^252-1)*100</f>
        <v>3.0136740010260787</v>
      </c>
      <c r="AK911" s="93">
        <f t="shared" si="2"/>
        <v>14.035942281310154</v>
      </c>
      <c r="AL911" s="93">
        <f t="shared" si="2"/>
        <v>7.8060289238088165</v>
      </c>
      <c r="AM911" s="93"/>
      <c r="AN911" s="93"/>
      <c r="AO911" s="93"/>
      <c r="AP911" s="93"/>
      <c r="AQ911" s="93"/>
      <c r="AR911" s="93"/>
      <c r="AS911" s="93">
        <f>((1+AS909)^252-1)*100</f>
        <v>12.131736662386627</v>
      </c>
    </row>
    <row r="912" spans="1:45" x14ac:dyDescent="0.55000000000000004">
      <c r="A912" s="93" t="s">
        <v>417</v>
      </c>
      <c r="B912" s="93"/>
      <c r="C912" s="93"/>
      <c r="D912" s="93"/>
      <c r="E912" s="93"/>
      <c r="F912" s="93">
        <f>F910*SQRT(252)*100</f>
        <v>30.596816491511873</v>
      </c>
      <c r="G912" s="93"/>
      <c r="H912" s="93"/>
      <c r="I912" s="93"/>
      <c r="J912" s="93"/>
      <c r="K912" s="93"/>
      <c r="L912" s="93"/>
      <c r="M912" s="93">
        <f>M910*SQRT(252)*100</f>
        <v>21.537311135522007</v>
      </c>
      <c r="N912" s="93"/>
      <c r="O912" s="93"/>
      <c r="P912" s="93"/>
      <c r="Q912" s="93"/>
      <c r="R912" s="93"/>
      <c r="S912" s="93"/>
      <c r="T912" s="93">
        <f>T910*SQRT(252)*100</f>
        <v>20.028048735258945</v>
      </c>
      <c r="U912" s="93"/>
      <c r="V912" s="93"/>
      <c r="W912" s="93"/>
      <c r="X912" s="93"/>
      <c r="Y912" s="93"/>
      <c r="Z912" s="93"/>
      <c r="AA912" s="93">
        <f>AA910*SQRT(252)*100</f>
        <v>24.813128203498088</v>
      </c>
      <c r="AB912" s="93"/>
      <c r="AC912" s="93"/>
      <c r="AD912" s="93"/>
      <c r="AE912" s="93"/>
      <c r="AF912" s="93"/>
      <c r="AG912" s="93"/>
      <c r="AH912" s="93">
        <f>AH910*SQRT(252)*100</f>
        <v>34.568796683733346</v>
      </c>
      <c r="AI912" s="93"/>
      <c r="AJ912" s="93">
        <f t="shared" ref="AJ912:AL912" si="3">AJ910*SQRT(252)*100</f>
        <v>16.726027787873125</v>
      </c>
      <c r="AK912" s="93">
        <f t="shared" si="3"/>
        <v>17.264137027549094</v>
      </c>
      <c r="AL912" s="93">
        <f t="shared" si="3"/>
        <v>15.63542289861471</v>
      </c>
      <c r="AM912" s="93"/>
      <c r="AN912" s="93"/>
      <c r="AO912" s="93"/>
      <c r="AP912" s="93"/>
      <c r="AQ912" s="93"/>
      <c r="AR912" s="93"/>
      <c r="AS912" s="93">
        <f>AS910*SQRT(252)*100</f>
        <v>12.901206801936052</v>
      </c>
    </row>
  </sheetData>
  <autoFilter ref="A2:AS91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84"/>
  <sheetViews>
    <sheetView showGridLines="0" zoomScale="49" workbookViewId="0">
      <selection sqref="A1:C1"/>
    </sheetView>
  </sheetViews>
  <sheetFormatPr defaultColWidth="14.41796875" defaultRowHeight="15" customHeight="1" x14ac:dyDescent="0.55000000000000004"/>
  <cols>
    <col min="1" max="1" width="30.15625" style="1" customWidth="1"/>
    <col min="2" max="2" width="138.15625" style="1" customWidth="1"/>
    <col min="3" max="3" width="27.41796875" style="1" customWidth="1"/>
    <col min="4" max="4" width="8.68359375" style="1" customWidth="1"/>
    <col min="5" max="5" width="64.41796875" style="1" customWidth="1"/>
    <col min="6" max="7" width="18.83984375" style="1" customWidth="1"/>
    <col min="8" max="8" width="8.68359375" style="1" customWidth="1"/>
    <col min="9" max="9" width="47.578125" style="1" customWidth="1"/>
    <col min="10" max="11" width="18.83984375" style="1" customWidth="1"/>
    <col min="12" max="12" width="8.68359375" style="1" customWidth="1"/>
    <col min="13" max="13" width="29.41796875" style="1" customWidth="1"/>
    <col min="14" max="19" width="8.68359375" style="1" customWidth="1"/>
    <col min="20" max="20" width="29.83984375" style="1" customWidth="1"/>
    <col min="21" max="21" width="28.68359375" style="1" customWidth="1"/>
    <col min="22" max="22" width="18.578125" style="1" customWidth="1"/>
    <col min="23" max="23" width="25.41796875" style="1" customWidth="1"/>
    <col min="24" max="26" width="8.68359375" style="1" customWidth="1"/>
    <col min="27" max="16384" width="14.41796875" style="1"/>
  </cols>
  <sheetData>
    <row r="1" spans="1:26" ht="14.25" customHeight="1" x14ac:dyDescent="0.75">
      <c r="A1" s="165" t="s">
        <v>418</v>
      </c>
      <c r="B1" s="163"/>
      <c r="C1" s="163"/>
    </row>
    <row r="2" spans="1:26" ht="14.4" x14ac:dyDescent="0.55000000000000004">
      <c r="A2" s="94"/>
      <c r="B2" s="120" t="s">
        <v>419</v>
      </c>
      <c r="C2" s="120" t="s">
        <v>420</v>
      </c>
      <c r="D2" s="95"/>
      <c r="G2" s="94"/>
      <c r="H2" s="95"/>
      <c r="I2" s="94"/>
      <c r="J2" s="94"/>
      <c r="K2" s="94"/>
      <c r="L2" s="95"/>
      <c r="M2" s="95"/>
      <c r="N2" s="95"/>
      <c r="O2" s="95"/>
      <c r="P2" s="95"/>
      <c r="Q2" s="95"/>
      <c r="R2" s="95"/>
      <c r="S2" s="95"/>
      <c r="T2" s="95"/>
      <c r="U2" s="95"/>
      <c r="V2" s="95"/>
      <c r="W2" s="95"/>
      <c r="X2" s="95"/>
      <c r="Y2" s="95"/>
      <c r="Z2" s="95"/>
    </row>
    <row r="3" spans="1:26" ht="15.6" x14ac:dyDescent="0.6">
      <c r="A3" s="166" t="s">
        <v>421</v>
      </c>
      <c r="B3" s="121" t="str">
        <f>HYPERLINK("https://www.tataelxsi.com/investors","Tata Elxsi Annual Reports")</f>
        <v>Tata Elxsi Annual Reports</v>
      </c>
      <c r="C3" s="122" t="s">
        <v>793</v>
      </c>
      <c r="D3" s="95"/>
      <c r="G3" s="94"/>
      <c r="H3" s="95"/>
      <c r="I3" s="94"/>
      <c r="J3" s="94"/>
      <c r="K3" s="94"/>
      <c r="L3" s="95"/>
      <c r="M3" s="95"/>
      <c r="N3" s="95"/>
      <c r="O3" s="95"/>
      <c r="P3" s="95"/>
      <c r="Q3" s="95"/>
      <c r="R3" s="95"/>
      <c r="S3" s="95"/>
      <c r="T3" s="95"/>
      <c r="U3" s="95"/>
      <c r="V3" s="95"/>
      <c r="W3" s="95"/>
      <c r="X3" s="95"/>
      <c r="Y3" s="95"/>
      <c r="Z3" s="95"/>
    </row>
    <row r="4" spans="1:26" ht="15.6" x14ac:dyDescent="0.6">
      <c r="A4" s="166"/>
      <c r="B4" s="123" t="s">
        <v>422</v>
      </c>
      <c r="C4" s="124" t="s">
        <v>423</v>
      </c>
      <c r="D4" s="95"/>
      <c r="G4" s="94"/>
      <c r="H4" s="95"/>
      <c r="I4" s="94"/>
      <c r="J4" s="94"/>
      <c r="K4" s="94"/>
      <c r="L4" s="95"/>
      <c r="M4" s="95"/>
      <c r="N4" s="95"/>
      <c r="O4" s="95"/>
      <c r="P4" s="95"/>
      <c r="Q4" s="95"/>
      <c r="R4" s="95"/>
      <c r="S4" s="95"/>
      <c r="T4" s="95"/>
      <c r="U4" s="95"/>
      <c r="V4" s="95"/>
      <c r="W4" s="95"/>
      <c r="X4" s="95"/>
      <c r="Y4" s="95"/>
      <c r="Z4" s="95"/>
    </row>
    <row r="5" spans="1:26" ht="15.6" x14ac:dyDescent="0.6">
      <c r="A5" s="166"/>
      <c r="B5" s="123" t="s">
        <v>424</v>
      </c>
      <c r="C5" s="124" t="s">
        <v>423</v>
      </c>
      <c r="D5" s="95"/>
      <c r="G5" s="94"/>
      <c r="H5" s="95"/>
      <c r="I5" s="94"/>
      <c r="J5" s="94"/>
      <c r="K5" s="94"/>
      <c r="L5" s="95"/>
      <c r="M5" s="95"/>
      <c r="N5" s="95"/>
      <c r="O5" s="95"/>
      <c r="P5" s="95"/>
      <c r="Q5" s="95"/>
      <c r="R5" s="95"/>
      <c r="S5" s="95"/>
      <c r="T5" s="95"/>
      <c r="U5" s="95"/>
      <c r="V5" s="95"/>
      <c r="W5" s="95"/>
      <c r="X5" s="95"/>
      <c r="Y5" s="95"/>
      <c r="Z5" s="95"/>
    </row>
    <row r="6" spans="1:26" ht="15.6" x14ac:dyDescent="0.6">
      <c r="A6" s="166"/>
      <c r="B6" s="123" t="s">
        <v>425</v>
      </c>
      <c r="C6" s="124" t="s">
        <v>426</v>
      </c>
      <c r="D6" s="95"/>
      <c r="G6" s="94"/>
      <c r="H6" s="95"/>
      <c r="I6" s="94"/>
      <c r="J6" s="94"/>
      <c r="K6" s="94"/>
      <c r="L6" s="95"/>
      <c r="M6" s="95"/>
      <c r="N6" s="95"/>
      <c r="O6" s="95"/>
      <c r="P6" s="95"/>
      <c r="Q6" s="95"/>
      <c r="R6" s="95"/>
      <c r="S6" s="95"/>
      <c r="T6" s="95"/>
      <c r="U6" s="95"/>
      <c r="V6" s="95"/>
      <c r="W6" s="95"/>
      <c r="X6" s="95"/>
      <c r="Y6" s="95"/>
      <c r="Z6" s="95"/>
    </row>
    <row r="7" spans="1:26" ht="15.6" x14ac:dyDescent="0.6">
      <c r="A7" s="166"/>
      <c r="B7" s="123" t="s">
        <v>427</v>
      </c>
      <c r="C7" s="124" t="s">
        <v>428</v>
      </c>
      <c r="D7" s="95"/>
      <c r="G7" s="94"/>
      <c r="H7" s="95"/>
      <c r="I7" s="94"/>
      <c r="J7" s="94"/>
      <c r="K7" s="94"/>
      <c r="L7" s="95"/>
      <c r="M7" s="95"/>
      <c r="N7" s="95"/>
      <c r="O7" s="95"/>
      <c r="P7" s="95"/>
      <c r="Q7" s="95"/>
      <c r="R7" s="95"/>
      <c r="S7" s="95"/>
      <c r="T7" s="95"/>
      <c r="U7" s="95"/>
      <c r="V7" s="95"/>
      <c r="W7" s="95"/>
      <c r="X7" s="95"/>
      <c r="Y7" s="95"/>
      <c r="Z7" s="95"/>
    </row>
    <row r="8" spans="1:26" ht="15.6" x14ac:dyDescent="0.6">
      <c r="A8" s="166"/>
      <c r="B8" s="123" t="s">
        <v>429</v>
      </c>
      <c r="C8" s="124" t="s">
        <v>430</v>
      </c>
      <c r="D8" s="95"/>
      <c r="G8" s="94"/>
      <c r="H8" s="95"/>
      <c r="I8" s="94"/>
      <c r="J8" s="94"/>
      <c r="K8" s="94"/>
      <c r="L8" s="95"/>
      <c r="M8" s="95"/>
      <c r="N8" s="95"/>
      <c r="O8" s="95"/>
      <c r="P8" s="95"/>
      <c r="Q8" s="95"/>
      <c r="R8" s="95"/>
      <c r="S8" s="95"/>
      <c r="T8" s="95"/>
      <c r="U8" s="95"/>
      <c r="V8" s="95"/>
      <c r="W8" s="95"/>
      <c r="X8" s="95"/>
      <c r="Y8" s="95"/>
      <c r="Z8" s="95"/>
    </row>
    <row r="9" spans="1:26" ht="15.6" x14ac:dyDescent="0.6">
      <c r="A9" s="166"/>
      <c r="B9" s="123" t="s">
        <v>431</v>
      </c>
      <c r="C9" s="124" t="s">
        <v>432</v>
      </c>
      <c r="D9" s="95"/>
      <c r="G9" s="94"/>
      <c r="H9" s="95"/>
      <c r="I9" s="94"/>
      <c r="J9" s="94"/>
      <c r="K9" s="94"/>
      <c r="L9" s="95"/>
      <c r="M9" s="95"/>
      <c r="N9" s="95"/>
      <c r="O9" s="95"/>
      <c r="P9" s="95"/>
      <c r="Q9" s="95"/>
      <c r="R9" s="95"/>
      <c r="S9" s="95"/>
      <c r="T9" s="95"/>
      <c r="U9" s="95"/>
      <c r="V9" s="95"/>
      <c r="W9" s="95"/>
      <c r="X9" s="95"/>
      <c r="Y9" s="95"/>
      <c r="Z9" s="95"/>
    </row>
    <row r="10" spans="1:26" ht="15.6" x14ac:dyDescent="0.6">
      <c r="A10" s="166"/>
      <c r="B10" s="123" t="s">
        <v>433</v>
      </c>
      <c r="C10" s="124" t="s">
        <v>434</v>
      </c>
      <c r="D10" s="95"/>
      <c r="G10" s="94"/>
      <c r="H10" s="95"/>
      <c r="I10" s="94"/>
      <c r="J10" s="94"/>
      <c r="K10" s="94"/>
      <c r="L10" s="95"/>
      <c r="M10" s="95"/>
      <c r="N10" s="95"/>
      <c r="O10" s="95"/>
      <c r="P10" s="95"/>
      <c r="Q10" s="95"/>
      <c r="R10" s="95"/>
      <c r="S10" s="95"/>
      <c r="T10" s="95"/>
      <c r="U10" s="95"/>
      <c r="V10" s="95"/>
      <c r="W10" s="95"/>
      <c r="X10" s="95"/>
      <c r="Y10" s="95"/>
      <c r="Z10" s="95"/>
    </row>
    <row r="11" spans="1:26" ht="15.6" x14ac:dyDescent="0.6">
      <c r="A11" s="166"/>
      <c r="B11" s="123" t="s">
        <v>435</v>
      </c>
      <c r="C11" s="124" t="s">
        <v>436</v>
      </c>
      <c r="D11" s="95"/>
      <c r="G11" s="94"/>
      <c r="H11" s="95"/>
      <c r="I11" s="94"/>
      <c r="J11" s="94"/>
      <c r="K11" s="94"/>
      <c r="L11" s="95"/>
      <c r="M11" s="95"/>
      <c r="N11" s="95"/>
      <c r="O11" s="95"/>
      <c r="P11" s="95"/>
      <c r="Q11" s="95"/>
      <c r="R11" s="95"/>
      <c r="S11" s="95"/>
      <c r="T11" s="95"/>
      <c r="U11" s="95"/>
      <c r="V11" s="95"/>
      <c r="W11" s="95"/>
      <c r="X11" s="95"/>
      <c r="Y11" s="95"/>
      <c r="Z11" s="95"/>
    </row>
    <row r="12" spans="1:26" ht="15.6" x14ac:dyDescent="0.6">
      <c r="A12" s="166"/>
      <c r="B12" s="123" t="s">
        <v>437</v>
      </c>
      <c r="C12" s="124" t="s">
        <v>436</v>
      </c>
      <c r="D12" s="95"/>
      <c r="G12" s="94"/>
      <c r="H12" s="95"/>
      <c r="I12" s="94"/>
      <c r="J12" s="94"/>
      <c r="K12" s="94"/>
      <c r="L12" s="95"/>
      <c r="M12" s="95"/>
      <c r="N12" s="95"/>
      <c r="O12" s="95"/>
      <c r="P12" s="95"/>
      <c r="Q12" s="95"/>
      <c r="R12" s="95"/>
      <c r="S12" s="95"/>
      <c r="T12" s="95"/>
      <c r="U12" s="95"/>
      <c r="V12" s="95"/>
      <c r="W12" s="95"/>
      <c r="X12" s="95"/>
      <c r="Y12" s="95"/>
      <c r="Z12" s="95"/>
    </row>
    <row r="13" spans="1:26" ht="15.6" x14ac:dyDescent="0.6">
      <c r="A13" s="166" t="s">
        <v>185</v>
      </c>
      <c r="B13" s="125" t="s">
        <v>795</v>
      </c>
      <c r="C13" s="126"/>
      <c r="D13" s="95"/>
      <c r="E13" s="94"/>
      <c r="F13" s="94"/>
      <c r="G13" s="94"/>
      <c r="H13" s="95"/>
      <c r="I13" s="94"/>
      <c r="J13" s="94"/>
      <c r="K13" s="94"/>
      <c r="L13" s="95"/>
      <c r="M13" s="95"/>
      <c r="N13" s="95"/>
      <c r="O13" s="95"/>
      <c r="P13" s="95"/>
      <c r="Q13" s="95"/>
      <c r="R13" s="95"/>
      <c r="S13" s="95"/>
      <c r="T13" s="95"/>
      <c r="U13" s="95"/>
      <c r="V13" s="95"/>
      <c r="W13" s="95"/>
      <c r="X13" s="95"/>
      <c r="Y13" s="95"/>
      <c r="Z13" s="95"/>
    </row>
    <row r="14" spans="1:26" ht="15.6" x14ac:dyDescent="0.6">
      <c r="A14" s="166"/>
      <c r="B14" s="125" t="s">
        <v>796</v>
      </c>
      <c r="C14" s="126"/>
      <c r="D14" s="95"/>
      <c r="E14" s="94"/>
      <c r="F14" s="94"/>
      <c r="G14" s="94"/>
      <c r="H14" s="95"/>
      <c r="I14" s="94"/>
      <c r="J14" s="94"/>
      <c r="K14" s="94"/>
      <c r="L14" s="95"/>
      <c r="M14" s="95"/>
      <c r="N14" s="95"/>
      <c r="O14" s="95"/>
      <c r="P14" s="95"/>
      <c r="Q14" s="95"/>
      <c r="R14" s="95"/>
      <c r="S14" s="95"/>
      <c r="T14" s="95"/>
      <c r="U14" s="95"/>
      <c r="V14" s="95"/>
      <c r="W14" s="95"/>
      <c r="X14" s="95"/>
      <c r="Y14" s="95"/>
      <c r="Z14" s="95"/>
    </row>
    <row r="15" spans="1:26" ht="15.6" x14ac:dyDescent="0.6">
      <c r="A15" s="166"/>
      <c r="B15" s="125" t="s">
        <v>797</v>
      </c>
      <c r="C15" s="126"/>
      <c r="D15" s="95"/>
      <c r="E15" s="94"/>
      <c r="F15" s="94"/>
      <c r="G15" s="94"/>
      <c r="H15" s="95"/>
      <c r="I15" s="94"/>
      <c r="J15" s="94"/>
      <c r="K15" s="94"/>
      <c r="L15" s="95"/>
      <c r="M15" s="95"/>
      <c r="N15" s="95"/>
      <c r="O15" s="95"/>
      <c r="P15" s="95"/>
      <c r="Q15" s="95"/>
      <c r="R15" s="95"/>
      <c r="S15" s="95"/>
      <c r="T15" s="95"/>
      <c r="U15" s="95"/>
      <c r="V15" s="95"/>
      <c r="W15" s="95"/>
      <c r="X15" s="95"/>
      <c r="Y15" s="95"/>
      <c r="Z15" s="95"/>
    </row>
    <row r="16" spans="1:26" ht="15.6" x14ac:dyDescent="0.6">
      <c r="A16" s="166"/>
      <c r="B16" s="125" t="s">
        <v>798</v>
      </c>
      <c r="C16" s="126"/>
      <c r="D16" s="95"/>
      <c r="E16" s="94"/>
      <c r="F16" s="94"/>
      <c r="G16" s="94"/>
      <c r="H16" s="95"/>
      <c r="I16" s="94"/>
      <c r="J16" s="94"/>
      <c r="K16" s="94"/>
      <c r="L16" s="95"/>
      <c r="M16" s="95"/>
      <c r="N16" s="95"/>
      <c r="O16" s="95"/>
      <c r="P16" s="95"/>
      <c r="Q16" s="95"/>
      <c r="R16" s="95"/>
      <c r="S16" s="95"/>
      <c r="T16" s="95"/>
      <c r="U16" s="95"/>
      <c r="V16" s="95"/>
      <c r="W16" s="95"/>
      <c r="X16" s="95"/>
      <c r="Y16" s="95"/>
      <c r="Z16" s="95"/>
    </row>
    <row r="17" spans="1:26" ht="15.6" x14ac:dyDescent="0.6">
      <c r="A17" s="166"/>
      <c r="B17" s="125" t="s">
        <v>799</v>
      </c>
      <c r="C17" s="126"/>
      <c r="D17" s="95"/>
      <c r="E17" s="94"/>
      <c r="F17" s="94"/>
      <c r="G17" s="94"/>
      <c r="H17" s="95"/>
      <c r="I17" s="94"/>
      <c r="J17" s="94"/>
      <c r="K17" s="94"/>
      <c r="L17" s="95"/>
      <c r="M17" s="95"/>
      <c r="N17" s="95"/>
      <c r="O17" s="95"/>
      <c r="P17" s="95"/>
      <c r="Q17" s="95"/>
      <c r="R17" s="95"/>
      <c r="S17" s="95"/>
      <c r="T17" s="95"/>
      <c r="U17" s="95"/>
      <c r="V17" s="95"/>
      <c r="W17" s="95"/>
      <c r="X17" s="95"/>
      <c r="Y17" s="95"/>
      <c r="Z17" s="95"/>
    </row>
    <row r="18" spans="1:26" ht="15.6" x14ac:dyDescent="0.6">
      <c r="A18" s="166"/>
      <c r="B18" s="127" t="s">
        <v>438</v>
      </c>
      <c r="C18" s="126"/>
      <c r="D18" s="95"/>
      <c r="E18" s="94"/>
      <c r="F18" s="94"/>
      <c r="G18" s="94"/>
      <c r="H18" s="95"/>
      <c r="I18" s="94"/>
      <c r="J18" s="94"/>
      <c r="K18" s="94"/>
      <c r="L18" s="95"/>
      <c r="M18" s="95"/>
      <c r="N18" s="95"/>
      <c r="O18" s="95"/>
      <c r="P18" s="95"/>
      <c r="Q18" s="95"/>
      <c r="R18" s="95"/>
      <c r="S18" s="95"/>
      <c r="T18" s="95"/>
      <c r="U18" s="95"/>
      <c r="V18" s="95"/>
      <c r="W18" s="95"/>
      <c r="X18" s="95"/>
      <c r="Y18" s="95"/>
      <c r="Z18" s="95"/>
    </row>
    <row r="19" spans="1:26" ht="15.6" x14ac:dyDescent="0.6">
      <c r="A19" s="166"/>
      <c r="B19" s="122"/>
      <c r="C19" s="126"/>
      <c r="D19" s="95"/>
      <c r="E19" s="94"/>
      <c r="F19" s="94"/>
      <c r="G19" s="94"/>
      <c r="H19" s="95"/>
      <c r="I19" s="94"/>
      <c r="J19" s="94"/>
      <c r="K19" s="94"/>
      <c r="L19" s="95"/>
      <c r="M19" s="95"/>
      <c r="N19" s="95"/>
      <c r="O19" s="95"/>
      <c r="P19" s="95"/>
      <c r="Q19" s="95"/>
      <c r="R19" s="95"/>
      <c r="S19" s="95"/>
      <c r="T19" s="95"/>
      <c r="U19" s="95"/>
      <c r="V19" s="95"/>
      <c r="W19" s="95"/>
      <c r="X19" s="95"/>
      <c r="Y19" s="95"/>
      <c r="Z19" s="95"/>
    </row>
    <row r="20" spans="1:26" ht="15.6" x14ac:dyDescent="0.6">
      <c r="A20" s="166"/>
      <c r="B20" s="122"/>
      <c r="C20" s="126"/>
      <c r="D20" s="95"/>
      <c r="E20" s="94"/>
      <c r="F20" s="94"/>
      <c r="G20" s="94"/>
      <c r="H20" s="95"/>
      <c r="I20" s="94"/>
      <c r="J20" s="94"/>
      <c r="K20" s="94"/>
      <c r="L20" s="95"/>
      <c r="M20" s="95"/>
      <c r="N20" s="95"/>
      <c r="O20" s="95"/>
      <c r="P20" s="95"/>
      <c r="Q20" s="95"/>
      <c r="R20" s="95"/>
      <c r="S20" s="95"/>
      <c r="T20" s="95"/>
      <c r="U20" s="95"/>
      <c r="V20" s="95"/>
      <c r="W20" s="95"/>
      <c r="X20" s="95"/>
      <c r="Y20" s="95"/>
      <c r="Z20" s="95"/>
    </row>
    <row r="21" spans="1:26" ht="15.6" x14ac:dyDescent="0.6">
      <c r="A21" s="166"/>
      <c r="B21" s="122"/>
      <c r="C21" s="126"/>
      <c r="D21" s="95"/>
      <c r="E21" s="94"/>
      <c r="F21" s="94"/>
      <c r="G21" s="94"/>
      <c r="H21" s="95"/>
      <c r="I21" s="94"/>
      <c r="J21" s="94"/>
      <c r="K21" s="94"/>
      <c r="L21" s="95"/>
      <c r="M21" s="95"/>
      <c r="N21" s="95"/>
      <c r="O21" s="95"/>
      <c r="P21" s="95"/>
      <c r="Q21" s="95"/>
      <c r="R21" s="95"/>
      <c r="S21" s="95"/>
      <c r="T21" s="95"/>
      <c r="U21" s="95"/>
      <c r="V21" s="95"/>
      <c r="W21" s="95"/>
      <c r="X21" s="95"/>
      <c r="Y21" s="95"/>
      <c r="Z21" s="95"/>
    </row>
    <row r="22" spans="1:26" ht="15.6" x14ac:dyDescent="0.6">
      <c r="A22" s="166"/>
      <c r="B22" s="122"/>
      <c r="C22" s="126"/>
      <c r="D22" s="95"/>
      <c r="E22" s="94"/>
      <c r="F22" s="94"/>
      <c r="G22" s="94"/>
      <c r="H22" s="95"/>
      <c r="I22" s="94"/>
      <c r="J22" s="94"/>
      <c r="K22" s="94"/>
      <c r="L22" s="95"/>
      <c r="M22" s="95"/>
      <c r="N22" s="95"/>
      <c r="O22" s="95"/>
      <c r="P22" s="95"/>
      <c r="Q22" s="95"/>
      <c r="R22" s="95"/>
      <c r="S22" s="95"/>
      <c r="T22" s="95"/>
      <c r="U22" s="95"/>
      <c r="V22" s="95"/>
      <c r="W22" s="95"/>
      <c r="X22" s="95"/>
      <c r="Y22" s="95"/>
      <c r="Z22" s="95"/>
    </row>
    <row r="23" spans="1:26" ht="46.8" x14ac:dyDescent="0.6">
      <c r="A23" s="128" t="s">
        <v>236</v>
      </c>
      <c r="B23" s="130" t="s">
        <v>439</v>
      </c>
      <c r="C23" s="131"/>
      <c r="D23" s="95"/>
      <c r="E23" s="94"/>
      <c r="F23" s="94"/>
      <c r="G23" s="94"/>
      <c r="H23" s="95"/>
      <c r="I23" s="94"/>
      <c r="J23" s="94"/>
      <c r="K23" s="94"/>
      <c r="L23" s="95"/>
      <c r="M23" s="95"/>
      <c r="N23" s="95"/>
      <c r="O23" s="95"/>
      <c r="P23" s="95"/>
      <c r="Q23" s="95"/>
      <c r="R23" s="95"/>
      <c r="S23" s="95"/>
      <c r="T23" s="95"/>
      <c r="U23" s="95"/>
      <c r="V23" s="95"/>
      <c r="W23" s="95"/>
      <c r="X23" s="95"/>
      <c r="Y23" s="95"/>
      <c r="Z23" s="95"/>
    </row>
    <row r="24" spans="1:26" ht="15.6" x14ac:dyDescent="0.55000000000000004">
      <c r="A24" s="128"/>
      <c r="B24" s="129" t="s">
        <v>440</v>
      </c>
      <c r="C24" s="126"/>
      <c r="D24" s="95"/>
      <c r="E24" s="94"/>
      <c r="F24" s="94"/>
      <c r="G24" s="94"/>
      <c r="H24" s="95"/>
      <c r="I24" s="94"/>
      <c r="J24" s="94"/>
      <c r="K24" s="94"/>
      <c r="L24" s="95"/>
      <c r="M24" s="95"/>
      <c r="N24" s="95"/>
      <c r="O24" s="95"/>
      <c r="P24" s="95"/>
      <c r="Q24" s="95"/>
      <c r="R24" s="95"/>
      <c r="S24" s="95"/>
      <c r="T24" s="95"/>
      <c r="U24" s="95"/>
      <c r="V24" s="95"/>
      <c r="W24" s="95"/>
      <c r="X24" s="95"/>
      <c r="Y24" s="95"/>
      <c r="Z24" s="95"/>
    </row>
    <row r="25" spans="1:26" ht="15.6" x14ac:dyDescent="0.55000000000000004">
      <c r="A25" s="128"/>
      <c r="B25" s="129" t="s">
        <v>441</v>
      </c>
      <c r="C25" s="126"/>
      <c r="D25" s="95"/>
      <c r="E25" s="94"/>
      <c r="F25" s="94"/>
      <c r="G25" s="94"/>
      <c r="H25" s="95"/>
      <c r="I25" s="94"/>
      <c r="J25" s="94"/>
      <c r="K25" s="94"/>
      <c r="L25" s="95"/>
      <c r="M25" s="95"/>
      <c r="N25" s="95"/>
      <c r="O25" s="95"/>
      <c r="P25" s="95"/>
      <c r="Q25" s="95"/>
      <c r="R25" s="95"/>
      <c r="S25" s="95"/>
      <c r="T25" s="95"/>
      <c r="U25" s="95"/>
      <c r="V25" s="95"/>
      <c r="W25" s="95"/>
      <c r="X25" s="95"/>
      <c r="Y25" s="95"/>
      <c r="Z25" s="95"/>
    </row>
    <row r="26" spans="1:26" ht="15.6" x14ac:dyDescent="0.55000000000000004">
      <c r="A26" s="128"/>
      <c r="B26" s="129" t="s">
        <v>442</v>
      </c>
      <c r="C26" s="126"/>
      <c r="D26" s="95"/>
      <c r="E26" s="94"/>
      <c r="F26" s="94"/>
      <c r="G26" s="94"/>
      <c r="H26" s="95"/>
      <c r="I26" s="94"/>
      <c r="J26" s="94"/>
      <c r="K26" s="94"/>
      <c r="L26" s="95"/>
      <c r="M26" s="95"/>
      <c r="N26" s="95"/>
      <c r="O26" s="95"/>
      <c r="P26" s="95"/>
      <c r="Q26" s="95"/>
      <c r="R26" s="95"/>
      <c r="S26" s="95"/>
      <c r="T26" s="95"/>
      <c r="U26" s="95"/>
      <c r="V26" s="95"/>
      <c r="W26" s="95"/>
      <c r="X26" s="95"/>
      <c r="Y26" s="95"/>
      <c r="Z26" s="95"/>
    </row>
    <row r="27" spans="1:26" ht="15.6" x14ac:dyDescent="0.55000000000000004">
      <c r="A27" s="128"/>
      <c r="B27" s="129" t="s">
        <v>443</v>
      </c>
      <c r="C27" s="126"/>
      <c r="D27" s="95"/>
      <c r="E27" s="94"/>
      <c r="F27" s="94"/>
      <c r="G27" s="94"/>
      <c r="H27" s="95"/>
      <c r="I27" s="94"/>
      <c r="J27" s="94"/>
      <c r="K27" s="94"/>
      <c r="L27" s="95"/>
      <c r="M27" s="95"/>
      <c r="N27" s="95"/>
      <c r="O27" s="95"/>
      <c r="P27" s="95"/>
      <c r="Q27" s="95"/>
      <c r="R27" s="95"/>
      <c r="S27" s="95"/>
      <c r="T27" s="95"/>
      <c r="U27" s="95"/>
      <c r="V27" s="95"/>
      <c r="W27" s="95"/>
      <c r="X27" s="95"/>
      <c r="Y27" s="95"/>
      <c r="Z27" s="95"/>
    </row>
    <row r="28" spans="1:26" ht="15.6" x14ac:dyDescent="0.55000000000000004">
      <c r="A28" s="128"/>
      <c r="B28" s="129" t="s">
        <v>444</v>
      </c>
      <c r="C28" s="126"/>
      <c r="D28" s="95"/>
      <c r="E28" s="94"/>
      <c r="F28" s="94"/>
      <c r="G28" s="94"/>
      <c r="H28" s="95"/>
      <c r="I28" s="94"/>
      <c r="J28" s="94"/>
      <c r="K28" s="94"/>
      <c r="L28" s="95"/>
      <c r="M28" s="95"/>
      <c r="N28" s="95"/>
      <c r="O28" s="95"/>
      <c r="P28" s="95"/>
      <c r="Q28" s="95"/>
      <c r="R28" s="95"/>
      <c r="S28" s="95"/>
      <c r="T28" s="95"/>
      <c r="U28" s="95"/>
      <c r="V28" s="95"/>
      <c r="W28" s="95"/>
      <c r="X28" s="95"/>
      <c r="Y28" s="95"/>
      <c r="Z28" s="95"/>
    </row>
    <row r="29" spans="1:26" ht="15.6" x14ac:dyDescent="0.55000000000000004">
      <c r="A29" s="128"/>
      <c r="B29" s="128"/>
      <c r="C29" s="126"/>
      <c r="D29" s="95"/>
      <c r="E29" s="94"/>
      <c r="F29" s="94"/>
      <c r="G29" s="94"/>
      <c r="H29" s="95"/>
      <c r="I29" s="94"/>
      <c r="J29" s="94"/>
      <c r="K29" s="94"/>
      <c r="L29" s="95"/>
      <c r="M29" s="95"/>
      <c r="N29" s="95"/>
      <c r="O29" s="95"/>
      <c r="P29" s="95"/>
      <c r="Q29" s="95"/>
      <c r="R29" s="95"/>
      <c r="S29" s="95"/>
      <c r="T29" s="95"/>
      <c r="U29" s="95"/>
      <c r="V29" s="95"/>
      <c r="W29" s="95"/>
      <c r="X29" s="95"/>
      <c r="Y29" s="95"/>
      <c r="Z29" s="95"/>
    </row>
    <row r="30" spans="1:26" ht="15.6" x14ac:dyDescent="0.55000000000000004">
      <c r="A30" s="128"/>
      <c r="B30" s="128"/>
      <c r="C30" s="126"/>
      <c r="D30" s="95"/>
      <c r="E30" s="94"/>
      <c r="F30" s="94"/>
      <c r="G30" s="94"/>
      <c r="H30" s="95"/>
      <c r="I30" s="94"/>
      <c r="J30" s="94"/>
      <c r="K30" s="94"/>
      <c r="L30" s="95"/>
      <c r="M30" s="95"/>
      <c r="N30" s="95"/>
      <c r="O30" s="95"/>
      <c r="P30" s="95"/>
      <c r="Q30" s="95"/>
      <c r="R30" s="95"/>
      <c r="S30" s="95"/>
      <c r="T30" s="95"/>
      <c r="U30" s="95"/>
      <c r="V30" s="95"/>
      <c r="W30" s="95"/>
      <c r="X30" s="95"/>
      <c r="Y30" s="95"/>
      <c r="Z30" s="95"/>
    </row>
    <row r="31" spans="1:26" ht="15.6" x14ac:dyDescent="0.55000000000000004">
      <c r="A31" s="128"/>
      <c r="B31" s="128"/>
      <c r="C31" s="126"/>
      <c r="D31" s="95"/>
      <c r="E31" s="94"/>
      <c r="F31" s="94"/>
      <c r="G31" s="94"/>
      <c r="H31" s="95"/>
      <c r="I31" s="94"/>
      <c r="J31" s="94"/>
      <c r="K31" s="94"/>
      <c r="L31" s="95"/>
      <c r="M31" s="95"/>
      <c r="N31" s="95"/>
      <c r="O31" s="95"/>
      <c r="P31" s="95"/>
      <c r="Q31" s="95"/>
      <c r="R31" s="95"/>
      <c r="S31" s="95"/>
      <c r="T31" s="95"/>
      <c r="U31" s="95"/>
      <c r="V31" s="95"/>
      <c r="W31" s="95"/>
      <c r="X31" s="95"/>
      <c r="Y31" s="95"/>
      <c r="Z31" s="95"/>
    </row>
    <row r="32" spans="1:26" ht="15.6" x14ac:dyDescent="0.55000000000000004">
      <c r="A32" s="128"/>
      <c r="B32" s="128"/>
      <c r="C32" s="126"/>
      <c r="D32" s="95"/>
      <c r="E32" s="94"/>
      <c r="F32" s="94"/>
      <c r="G32" s="94"/>
      <c r="H32" s="95"/>
      <c r="I32" s="94"/>
      <c r="J32" s="94"/>
      <c r="K32" s="94"/>
      <c r="L32" s="95"/>
      <c r="M32" s="95"/>
      <c r="N32" s="95"/>
      <c r="O32" s="95"/>
      <c r="P32" s="95"/>
      <c r="Q32" s="95"/>
      <c r="R32" s="95"/>
      <c r="S32" s="95"/>
      <c r="T32" s="95"/>
      <c r="U32" s="95"/>
      <c r="V32" s="95"/>
      <c r="W32" s="95"/>
      <c r="X32" s="95"/>
      <c r="Y32" s="95"/>
      <c r="Z32" s="95"/>
    </row>
    <row r="33" spans="1:26" ht="14.4" x14ac:dyDescent="0.55000000000000004">
      <c r="A33" s="94"/>
      <c r="B33" s="94"/>
      <c r="C33" s="94"/>
      <c r="D33" s="95"/>
      <c r="E33" s="94"/>
      <c r="F33" s="94"/>
      <c r="G33" s="94"/>
      <c r="H33" s="95"/>
      <c r="I33" s="94"/>
      <c r="J33" s="94"/>
      <c r="K33" s="94"/>
      <c r="L33" s="95"/>
      <c r="M33" s="95"/>
      <c r="N33" s="95"/>
      <c r="O33" s="95"/>
      <c r="P33" s="95"/>
      <c r="Q33" s="95"/>
      <c r="R33" s="95"/>
      <c r="S33" s="95"/>
      <c r="T33" s="95"/>
      <c r="U33" s="95"/>
      <c r="V33" s="95"/>
      <c r="W33" s="95"/>
      <c r="X33" s="95"/>
      <c r="Y33" s="95"/>
      <c r="Z33" s="95"/>
    </row>
    <row r="34" spans="1:26" ht="14.4" x14ac:dyDescent="0.55000000000000004">
      <c r="A34" s="94" t="s">
        <v>445</v>
      </c>
      <c r="B34" s="94"/>
      <c r="C34" s="94"/>
      <c r="D34" s="95"/>
      <c r="E34" s="94" t="s">
        <v>446</v>
      </c>
      <c r="F34" s="94"/>
      <c r="G34" s="94"/>
      <c r="H34" s="95"/>
      <c r="I34" s="94" t="s">
        <v>447</v>
      </c>
      <c r="J34" s="94"/>
      <c r="K34" s="94"/>
      <c r="L34" s="95"/>
      <c r="M34" s="95"/>
      <c r="N34" s="95"/>
      <c r="O34" s="95"/>
      <c r="P34" s="95"/>
      <c r="Q34" s="95"/>
      <c r="R34" s="95"/>
      <c r="S34" s="95"/>
      <c r="T34" s="95"/>
      <c r="U34" s="95"/>
      <c r="V34" s="95"/>
      <c r="W34" s="95"/>
      <c r="X34" s="95"/>
      <c r="Y34" s="95"/>
      <c r="Z34" s="95"/>
    </row>
    <row r="35" spans="1:26" ht="14.4" x14ac:dyDescent="0.55000000000000004">
      <c r="A35" s="97" t="s">
        <v>448</v>
      </c>
      <c r="B35" s="98" t="s">
        <v>449</v>
      </c>
      <c r="C35" s="99" t="s">
        <v>450</v>
      </c>
      <c r="E35" s="97" t="s">
        <v>448</v>
      </c>
      <c r="F35" s="98" t="s">
        <v>449</v>
      </c>
      <c r="G35" s="99" t="s">
        <v>450</v>
      </c>
      <c r="I35" s="97" t="s">
        <v>448</v>
      </c>
      <c r="J35" s="98" t="s">
        <v>449</v>
      </c>
      <c r="K35" s="99" t="s">
        <v>450</v>
      </c>
      <c r="M35" s="100" t="s">
        <v>451</v>
      </c>
      <c r="N35" s="100" t="s">
        <v>452</v>
      </c>
      <c r="O35" s="100" t="s">
        <v>453</v>
      </c>
      <c r="P35" s="100" t="s">
        <v>454</v>
      </c>
      <c r="Q35" s="100" t="s">
        <v>455</v>
      </c>
      <c r="R35" s="100" t="s">
        <v>456</v>
      </c>
      <c r="X35" s="101"/>
    </row>
    <row r="36" spans="1:26" ht="14.4" x14ac:dyDescent="0.55000000000000004">
      <c r="A36" s="102" t="s">
        <v>457</v>
      </c>
      <c r="B36" s="103"/>
      <c r="C36" s="104"/>
      <c r="E36" s="105" t="s">
        <v>118</v>
      </c>
      <c r="F36" s="103">
        <v>372904.83</v>
      </c>
      <c r="G36" s="104">
        <v>355214.57</v>
      </c>
      <c r="I36" s="102" t="s">
        <v>458</v>
      </c>
      <c r="K36" s="106"/>
      <c r="M36" s="107" t="s">
        <v>459</v>
      </c>
      <c r="N36" s="108">
        <v>6670.75</v>
      </c>
      <c r="O36" s="108">
        <v>6769.9</v>
      </c>
      <c r="P36" s="108">
        <v>6779.3</v>
      </c>
      <c r="Q36" s="108">
        <v>6654.3</v>
      </c>
      <c r="R36" s="108">
        <v>144216</v>
      </c>
      <c r="X36" s="96"/>
    </row>
    <row r="37" spans="1:26" ht="14.4" x14ac:dyDescent="0.55000000000000004">
      <c r="A37" s="102" t="s">
        <v>460</v>
      </c>
      <c r="B37" s="103"/>
      <c r="C37" s="104"/>
      <c r="E37" s="105" t="s">
        <v>461</v>
      </c>
      <c r="F37" s="103">
        <v>17931.150000000001</v>
      </c>
      <c r="G37" s="104">
        <v>12195.18</v>
      </c>
      <c r="I37" s="102" t="s">
        <v>462</v>
      </c>
      <c r="J37" s="93">
        <v>78493.679999999993</v>
      </c>
      <c r="K37" s="109">
        <v>79223.789999999994</v>
      </c>
      <c r="M37" s="107" t="s">
        <v>463</v>
      </c>
      <c r="N37" s="108">
        <v>6712.95</v>
      </c>
      <c r="O37" s="108">
        <v>6670.75</v>
      </c>
      <c r="P37" s="108">
        <v>6775</v>
      </c>
      <c r="Q37" s="108">
        <v>6613</v>
      </c>
      <c r="R37" s="108">
        <v>101706</v>
      </c>
      <c r="X37" s="96"/>
    </row>
    <row r="38" spans="1:26" ht="14.4" x14ac:dyDescent="0.55000000000000004">
      <c r="A38" s="105" t="s">
        <v>464</v>
      </c>
      <c r="B38" s="103">
        <v>15411.48</v>
      </c>
      <c r="C38" s="104">
        <v>19225.5</v>
      </c>
      <c r="E38" s="102" t="s">
        <v>465</v>
      </c>
      <c r="F38" s="110">
        <v>390835.98</v>
      </c>
      <c r="G38" s="111">
        <v>367409.75</v>
      </c>
      <c r="I38" s="105" t="s">
        <v>466</v>
      </c>
      <c r="J38" s="1">
        <v>24346.720000000001</v>
      </c>
      <c r="K38" s="106">
        <v>25643.81</v>
      </c>
      <c r="M38" s="107" t="s">
        <v>467</v>
      </c>
      <c r="N38" s="108">
        <v>7098.55</v>
      </c>
      <c r="O38" s="108">
        <v>6750.05</v>
      </c>
      <c r="P38" s="108">
        <v>7178</v>
      </c>
      <c r="Q38" s="108">
        <v>6740</v>
      </c>
      <c r="R38" s="108">
        <v>1080035</v>
      </c>
      <c r="X38" s="96"/>
    </row>
    <row r="39" spans="1:26" ht="14.4" x14ac:dyDescent="0.55000000000000004">
      <c r="A39" s="105" t="s">
        <v>468</v>
      </c>
      <c r="B39" s="103">
        <v>161.72999999999999</v>
      </c>
      <c r="C39" s="104">
        <v>215.43</v>
      </c>
      <c r="E39" s="105"/>
      <c r="F39" s="103"/>
      <c r="G39" s="104"/>
      <c r="I39" s="105" t="s">
        <v>469</v>
      </c>
      <c r="J39" s="1">
        <v>10487.08</v>
      </c>
      <c r="K39" s="106">
        <v>9944.94</v>
      </c>
      <c r="M39" s="107" t="s">
        <v>470</v>
      </c>
      <c r="N39" s="108">
        <v>7138.95</v>
      </c>
      <c r="O39" s="108">
        <v>7124.25</v>
      </c>
      <c r="P39" s="108">
        <v>7199</v>
      </c>
      <c r="Q39" s="108">
        <v>7060.4</v>
      </c>
      <c r="R39" s="108">
        <v>248591</v>
      </c>
      <c r="X39" s="96"/>
    </row>
    <row r="40" spans="1:26" ht="14.4" x14ac:dyDescent="0.55000000000000004">
      <c r="A40" s="105" t="s">
        <v>471</v>
      </c>
      <c r="B40" s="103">
        <v>15507.45</v>
      </c>
      <c r="C40" s="104">
        <v>19028.05</v>
      </c>
      <c r="E40" s="105" t="s">
        <v>472</v>
      </c>
      <c r="F40" s="103">
        <v>23866.29</v>
      </c>
      <c r="G40" s="104">
        <v>19406.57</v>
      </c>
      <c r="I40" s="105" t="s">
        <v>473</v>
      </c>
      <c r="J40" s="1">
        <v>1006.93</v>
      </c>
      <c r="K40" s="106">
        <v>1502.31</v>
      </c>
      <c r="M40" s="107" t="s">
        <v>474</v>
      </c>
      <c r="N40" s="108">
        <v>7367.75</v>
      </c>
      <c r="O40" s="108">
        <v>7200</v>
      </c>
      <c r="P40" s="108">
        <v>7474</v>
      </c>
      <c r="Q40" s="108">
        <v>7151</v>
      </c>
      <c r="R40" s="108">
        <v>548868</v>
      </c>
      <c r="X40" s="96"/>
    </row>
    <row r="41" spans="1:26" ht="14.4" x14ac:dyDescent="0.55000000000000004">
      <c r="A41" s="105" t="s">
        <v>155</v>
      </c>
      <c r="B41" s="103">
        <v>884.96</v>
      </c>
      <c r="C41" s="104">
        <v>1344.12</v>
      </c>
      <c r="E41" s="105" t="s">
        <v>475</v>
      </c>
      <c r="F41" s="103">
        <v>110.71</v>
      </c>
      <c r="G41" s="104">
        <v>-72.09</v>
      </c>
      <c r="I41" s="105" t="s">
        <v>476</v>
      </c>
      <c r="J41" s="1">
        <v>-11649.15</v>
      </c>
      <c r="K41" s="106">
        <v>-9333.34</v>
      </c>
      <c r="M41" s="107" t="s">
        <v>477</v>
      </c>
      <c r="N41" s="108">
        <v>7396.45</v>
      </c>
      <c r="O41" s="108">
        <v>7385.55</v>
      </c>
      <c r="P41" s="108">
        <v>7429</v>
      </c>
      <c r="Q41" s="108">
        <v>7324.45</v>
      </c>
      <c r="R41" s="108">
        <v>169740</v>
      </c>
      <c r="X41" s="96"/>
    </row>
    <row r="42" spans="1:26" ht="14.4" x14ac:dyDescent="0.55000000000000004">
      <c r="A42" s="105" t="s">
        <v>478</v>
      </c>
      <c r="B42" s="103">
        <v>0</v>
      </c>
      <c r="C42" s="104">
        <v>0</v>
      </c>
      <c r="E42" s="105" t="s">
        <v>479</v>
      </c>
      <c r="F42" s="103">
        <v>204642.7</v>
      </c>
      <c r="G42" s="104">
        <v>190959.56</v>
      </c>
      <c r="I42" s="105" t="s">
        <v>480</v>
      </c>
      <c r="J42" s="1">
        <v>1898.14</v>
      </c>
      <c r="K42" s="106">
        <v>2026.07</v>
      </c>
      <c r="M42" s="107" t="s">
        <v>481</v>
      </c>
      <c r="N42" s="108">
        <v>7356</v>
      </c>
      <c r="O42" s="108">
        <v>7400</v>
      </c>
      <c r="P42" s="108">
        <v>7460</v>
      </c>
      <c r="Q42" s="108">
        <v>7320</v>
      </c>
      <c r="R42" s="108">
        <v>130211</v>
      </c>
      <c r="X42" s="96"/>
    </row>
    <row r="43" spans="1:26" ht="14.4" x14ac:dyDescent="0.55000000000000004">
      <c r="A43" s="105" t="s">
        <v>482</v>
      </c>
      <c r="B43" s="103">
        <v>39638.81</v>
      </c>
      <c r="C43" s="104">
        <v>19431.59</v>
      </c>
      <c r="E43" s="105" t="s">
        <v>480</v>
      </c>
      <c r="F43" s="103">
        <v>1898.14</v>
      </c>
      <c r="G43" s="104">
        <v>2026.07</v>
      </c>
      <c r="I43" s="105" t="s">
        <v>483</v>
      </c>
      <c r="J43" s="1">
        <v>584.28</v>
      </c>
      <c r="K43" s="106">
        <v>16.670000000000002</v>
      </c>
      <c r="M43" s="107" t="s">
        <v>484</v>
      </c>
      <c r="N43" s="108">
        <v>7403.15</v>
      </c>
      <c r="O43" s="108">
        <v>7325</v>
      </c>
      <c r="P43" s="108">
        <v>7417.15</v>
      </c>
      <c r="Q43" s="108">
        <v>7325</v>
      </c>
      <c r="R43" s="108">
        <v>164865</v>
      </c>
      <c r="X43" s="96"/>
    </row>
    <row r="44" spans="1:26" ht="14.4" x14ac:dyDescent="0.55000000000000004">
      <c r="A44" s="105" t="s">
        <v>485</v>
      </c>
      <c r="B44" s="103">
        <v>3762.62</v>
      </c>
      <c r="C44" s="104">
        <v>2386.9</v>
      </c>
      <c r="E44" s="105" t="s">
        <v>469</v>
      </c>
      <c r="F44" s="103">
        <v>10487.08</v>
      </c>
      <c r="G44" s="104">
        <v>9944.94</v>
      </c>
      <c r="I44" s="105" t="s">
        <v>486</v>
      </c>
      <c r="J44" s="1">
        <v>1847.8</v>
      </c>
      <c r="K44" s="106">
        <v>1476.98</v>
      </c>
      <c r="M44" s="107" t="s">
        <v>487</v>
      </c>
      <c r="N44" s="108">
        <v>7350.25</v>
      </c>
      <c r="O44" s="108">
        <v>7410</v>
      </c>
      <c r="P44" s="108">
        <v>7415</v>
      </c>
      <c r="Q44" s="108">
        <v>7326.65</v>
      </c>
      <c r="R44" s="108">
        <v>117885</v>
      </c>
      <c r="X44" s="96"/>
    </row>
    <row r="45" spans="1:26" ht="14.4" x14ac:dyDescent="0.55000000000000004">
      <c r="A45" s="105" t="s">
        <v>488</v>
      </c>
      <c r="B45" s="103">
        <v>3375.24</v>
      </c>
      <c r="C45" s="104">
        <v>3239.18</v>
      </c>
      <c r="E45" s="105" t="s">
        <v>489</v>
      </c>
      <c r="F45" s="103">
        <v>46990.66</v>
      </c>
      <c r="G45" s="104">
        <v>40277.1</v>
      </c>
      <c r="I45" s="105" t="s">
        <v>490</v>
      </c>
      <c r="J45" s="1">
        <v>106015.48</v>
      </c>
      <c r="K45" s="106">
        <v>109433.57</v>
      </c>
      <c r="M45" s="107" t="s">
        <v>491</v>
      </c>
      <c r="N45" s="108">
        <v>7319.7</v>
      </c>
      <c r="O45" s="108">
        <v>7360.05</v>
      </c>
      <c r="P45" s="108">
        <v>7448.95</v>
      </c>
      <c r="Q45" s="108">
        <v>7286.5</v>
      </c>
      <c r="R45" s="108">
        <v>236072</v>
      </c>
    </row>
    <row r="46" spans="1:26" ht="14.4" x14ac:dyDescent="0.55000000000000004">
      <c r="A46" s="105" t="s">
        <v>492</v>
      </c>
      <c r="B46" s="103">
        <v>79.650000000000006</v>
      </c>
      <c r="C46" s="104">
        <v>155.31</v>
      </c>
      <c r="E46" s="102" t="s">
        <v>493</v>
      </c>
      <c r="F46" s="110">
        <v>287995.58</v>
      </c>
      <c r="G46" s="111">
        <v>262542.15000000002</v>
      </c>
      <c r="I46" s="105" t="s">
        <v>494</v>
      </c>
      <c r="J46" s="1">
        <v>-2817.79</v>
      </c>
      <c r="K46" s="106">
        <v>-13310.24</v>
      </c>
      <c r="M46" s="107" t="s">
        <v>495</v>
      </c>
      <c r="N46" s="108">
        <v>7364.4</v>
      </c>
      <c r="O46" s="108">
        <v>7314</v>
      </c>
      <c r="P46" s="108">
        <v>7414</v>
      </c>
      <c r="Q46" s="108">
        <v>7211.95</v>
      </c>
      <c r="R46" s="108">
        <v>170937</v>
      </c>
    </row>
    <row r="47" spans="1:26" ht="14.4" x14ac:dyDescent="0.55000000000000004">
      <c r="A47" s="102" t="s">
        <v>496</v>
      </c>
      <c r="B47" s="110">
        <v>78821.94</v>
      </c>
      <c r="C47" s="111">
        <v>65026.080000000002</v>
      </c>
      <c r="E47" s="102" t="s">
        <v>497</v>
      </c>
      <c r="F47" s="110">
        <v>102840.4</v>
      </c>
      <c r="G47" s="111">
        <v>104867.6</v>
      </c>
      <c r="I47" s="105" t="s">
        <v>498</v>
      </c>
      <c r="J47" s="1">
        <v>103591.01</v>
      </c>
      <c r="K47" s="106">
        <v>95923.17</v>
      </c>
      <c r="M47" s="107" t="s">
        <v>499</v>
      </c>
      <c r="N47" s="108">
        <v>7357</v>
      </c>
      <c r="O47" s="108">
        <v>7372.5</v>
      </c>
      <c r="P47" s="108">
        <v>7424.35</v>
      </c>
      <c r="Q47" s="108">
        <v>7317.35</v>
      </c>
      <c r="R47" s="108">
        <v>76612</v>
      </c>
    </row>
    <row r="48" spans="1:26" ht="14.4" x14ac:dyDescent="0.55000000000000004">
      <c r="A48" s="105"/>
      <c r="B48" s="103"/>
      <c r="C48" s="104"/>
      <c r="E48" s="102" t="s">
        <v>466</v>
      </c>
      <c r="F48" s="103"/>
      <c r="G48" s="104"/>
      <c r="I48" s="105" t="s">
        <v>500</v>
      </c>
      <c r="J48" s="1">
        <v>-22393.32</v>
      </c>
      <c r="K48" s="106">
        <v>-25799.84</v>
      </c>
      <c r="M48" s="107" t="s">
        <v>501</v>
      </c>
      <c r="N48" s="108">
        <v>7273.65</v>
      </c>
      <c r="O48" s="108">
        <v>7352</v>
      </c>
      <c r="P48" s="108">
        <v>7400</v>
      </c>
      <c r="Q48" s="108">
        <v>7232.6</v>
      </c>
      <c r="R48" s="108">
        <v>135615</v>
      </c>
    </row>
    <row r="49" spans="1:18" ht="14.4" x14ac:dyDescent="0.55000000000000004">
      <c r="A49" s="102" t="s">
        <v>147</v>
      </c>
      <c r="B49" s="103"/>
      <c r="C49" s="104"/>
      <c r="E49" s="105" t="s">
        <v>502</v>
      </c>
      <c r="F49" s="103">
        <v>25466.42</v>
      </c>
      <c r="G49" s="104">
        <v>26206</v>
      </c>
      <c r="I49" s="102" t="s">
        <v>503</v>
      </c>
      <c r="J49" s="93">
        <v>81197.69</v>
      </c>
      <c r="K49" s="109">
        <v>70123.33</v>
      </c>
      <c r="M49" s="107" t="s">
        <v>504</v>
      </c>
      <c r="N49" s="108">
        <v>7230.55</v>
      </c>
      <c r="O49" s="108">
        <v>7265</v>
      </c>
      <c r="P49" s="108">
        <v>7363.5</v>
      </c>
      <c r="Q49" s="108">
        <v>7214.55</v>
      </c>
      <c r="R49" s="108">
        <v>159943</v>
      </c>
    </row>
    <row r="50" spans="1:18" ht="14.4" x14ac:dyDescent="0.55000000000000004">
      <c r="A50" s="105" t="s">
        <v>505</v>
      </c>
      <c r="B50" s="103">
        <v>0</v>
      </c>
      <c r="C50" s="104">
        <v>110.71</v>
      </c>
      <c r="E50" s="105" t="s">
        <v>506</v>
      </c>
      <c r="F50" s="103">
        <v>-1119.7</v>
      </c>
      <c r="G50" s="104">
        <v>-562.19000000000005</v>
      </c>
      <c r="I50" s="105"/>
      <c r="K50" s="106"/>
      <c r="M50" s="107" t="s">
        <v>507</v>
      </c>
      <c r="N50" s="108">
        <v>7235.3</v>
      </c>
      <c r="O50" s="108">
        <v>7150</v>
      </c>
      <c r="P50" s="108">
        <v>7308.4</v>
      </c>
      <c r="Q50" s="108">
        <v>7095.05</v>
      </c>
      <c r="R50" s="108">
        <v>134846</v>
      </c>
    </row>
    <row r="51" spans="1:18" ht="14.4" x14ac:dyDescent="0.55000000000000004">
      <c r="A51" s="105" t="s">
        <v>508</v>
      </c>
      <c r="B51" s="103">
        <v>80185.31</v>
      </c>
      <c r="C51" s="104">
        <v>82774.7</v>
      </c>
      <c r="E51" s="102" t="s">
        <v>509</v>
      </c>
      <c r="F51" s="110">
        <v>24346.720000000001</v>
      </c>
      <c r="G51" s="111">
        <v>25643.81</v>
      </c>
      <c r="I51" s="102" t="s">
        <v>510</v>
      </c>
      <c r="K51" s="106"/>
      <c r="M51" s="107" t="s">
        <v>511</v>
      </c>
      <c r="N51" s="108">
        <v>6921.6</v>
      </c>
      <c r="O51" s="108">
        <v>7301.05</v>
      </c>
      <c r="P51" s="108">
        <v>7325</v>
      </c>
      <c r="Q51" s="108">
        <v>6900</v>
      </c>
      <c r="R51" s="108">
        <v>258016</v>
      </c>
    </row>
    <row r="52" spans="1:18" ht="14.4" x14ac:dyDescent="0.55000000000000004">
      <c r="A52" s="105" t="s">
        <v>512</v>
      </c>
      <c r="B52" s="103">
        <v>16967.27</v>
      </c>
      <c r="C52" s="104">
        <v>14384.14</v>
      </c>
      <c r="E52" s="102" t="s">
        <v>513</v>
      </c>
      <c r="F52" s="110">
        <v>78493.679999999993</v>
      </c>
      <c r="G52" s="111">
        <v>79223.789999999994</v>
      </c>
      <c r="I52" s="105" t="s">
        <v>514</v>
      </c>
      <c r="J52" s="1">
        <v>1634.17</v>
      </c>
      <c r="K52" s="106">
        <v>8301.5300000000007</v>
      </c>
      <c r="M52" s="107" t="s">
        <v>515</v>
      </c>
      <c r="N52" s="108">
        <v>6900.75</v>
      </c>
      <c r="O52" s="108">
        <v>7037.7</v>
      </c>
      <c r="P52" s="108">
        <v>7037.7</v>
      </c>
      <c r="Q52" s="108">
        <v>6825</v>
      </c>
      <c r="R52" s="108">
        <v>113431</v>
      </c>
    </row>
    <row r="53" spans="1:18" ht="14.4" x14ac:dyDescent="0.55000000000000004">
      <c r="A53" s="105" t="s">
        <v>516</v>
      </c>
      <c r="B53" s="103">
        <v>13527.66</v>
      </c>
      <c r="C53" s="104">
        <v>13324.29</v>
      </c>
      <c r="E53" s="105"/>
      <c r="F53" s="103"/>
      <c r="G53" s="104"/>
      <c r="I53" s="105" t="s">
        <v>517</v>
      </c>
      <c r="J53" s="1">
        <v>17.420000000000002</v>
      </c>
      <c r="K53" s="106">
        <v>1.78</v>
      </c>
      <c r="M53" s="107" t="s">
        <v>518</v>
      </c>
      <c r="N53" s="108">
        <v>6857.75</v>
      </c>
      <c r="O53" s="108">
        <v>6930</v>
      </c>
      <c r="P53" s="108">
        <v>7015</v>
      </c>
      <c r="Q53" s="108">
        <v>6828.05</v>
      </c>
      <c r="R53" s="108">
        <v>150784</v>
      </c>
    </row>
    <row r="54" spans="1:18" ht="14.4" x14ac:dyDescent="0.55000000000000004">
      <c r="A54" s="105" t="s">
        <v>519</v>
      </c>
      <c r="B54" s="103">
        <v>147111.67000000001</v>
      </c>
      <c r="C54" s="104">
        <v>125922.8</v>
      </c>
      <c r="E54" s="102" t="s">
        <v>520</v>
      </c>
      <c r="F54" s="110">
        <v>-732.67</v>
      </c>
      <c r="G54" s="111">
        <v>-1533.54</v>
      </c>
      <c r="I54" s="105" t="s">
        <v>521</v>
      </c>
      <c r="J54" s="1">
        <v>-274460</v>
      </c>
      <c r="K54" s="106">
        <v>-171500</v>
      </c>
      <c r="M54" s="107" t="s">
        <v>522</v>
      </c>
      <c r="N54" s="108">
        <v>6896.2</v>
      </c>
      <c r="O54" s="108">
        <v>6865</v>
      </c>
      <c r="P54" s="108">
        <v>6918.5</v>
      </c>
      <c r="Q54" s="108">
        <v>6764.4</v>
      </c>
      <c r="R54" s="108">
        <v>122161</v>
      </c>
    </row>
    <row r="55" spans="1:18" ht="14.4" x14ac:dyDescent="0.55000000000000004">
      <c r="A55" s="105" t="s">
        <v>523</v>
      </c>
      <c r="B55" s="103">
        <v>372.06</v>
      </c>
      <c r="C55" s="104">
        <v>302.45</v>
      </c>
      <c r="E55" s="105" t="s">
        <v>524</v>
      </c>
      <c r="F55" s="103">
        <v>256.02</v>
      </c>
      <c r="G55" s="104">
        <v>535.88</v>
      </c>
      <c r="I55" s="105" t="s">
        <v>525</v>
      </c>
      <c r="J55" s="1">
        <v>237050</v>
      </c>
      <c r="K55" s="106">
        <v>144050</v>
      </c>
      <c r="M55" s="107" t="s">
        <v>526</v>
      </c>
      <c r="N55" s="108">
        <v>6886.35</v>
      </c>
      <c r="O55" s="108">
        <v>6920</v>
      </c>
      <c r="P55" s="108">
        <v>6974.8</v>
      </c>
      <c r="Q55" s="108">
        <v>6831</v>
      </c>
      <c r="R55" s="108">
        <v>89937</v>
      </c>
    </row>
    <row r="56" spans="1:18" ht="14.4" x14ac:dyDescent="0.55000000000000004">
      <c r="A56" s="105" t="s">
        <v>527</v>
      </c>
      <c r="B56" s="103">
        <v>2435.88</v>
      </c>
      <c r="C56" s="104">
        <v>1836.63</v>
      </c>
      <c r="E56" s="102" t="s">
        <v>528</v>
      </c>
      <c r="F56" s="110">
        <v>-476.65</v>
      </c>
      <c r="G56" s="111">
        <v>-997.66</v>
      </c>
      <c r="I56" s="105" t="s">
        <v>529</v>
      </c>
      <c r="J56" s="1">
        <v>8198.6299999999992</v>
      </c>
      <c r="K56" s="106">
        <v>8735.52</v>
      </c>
      <c r="M56" s="107" t="s">
        <v>530</v>
      </c>
      <c r="N56" s="108">
        <v>6925.55</v>
      </c>
      <c r="O56" s="108">
        <v>6881</v>
      </c>
      <c r="P56" s="108">
        <v>6965.7</v>
      </c>
      <c r="Q56" s="108">
        <v>6814.05</v>
      </c>
      <c r="R56" s="108">
        <v>112066</v>
      </c>
    </row>
    <row r="57" spans="1:18" ht="14.4" x14ac:dyDescent="0.55000000000000004">
      <c r="A57" s="105" t="s">
        <v>531</v>
      </c>
      <c r="B57" s="103">
        <v>19149.97</v>
      </c>
      <c r="C57" s="104">
        <v>15016.36</v>
      </c>
      <c r="E57" s="102" t="s">
        <v>532</v>
      </c>
      <c r="F57" s="110">
        <v>78017.03</v>
      </c>
      <c r="G57" s="111">
        <v>78226.13</v>
      </c>
      <c r="I57" s="102" t="s">
        <v>533</v>
      </c>
      <c r="J57" s="93">
        <v>-30828.12</v>
      </c>
      <c r="K57" s="109">
        <v>-27014.23</v>
      </c>
      <c r="M57" s="107" t="s">
        <v>534</v>
      </c>
      <c r="N57" s="108">
        <v>6796.55</v>
      </c>
      <c r="O57" s="108">
        <v>6906.3</v>
      </c>
      <c r="P57" s="108">
        <v>6925.55</v>
      </c>
      <c r="Q57" s="108">
        <v>6724.1</v>
      </c>
      <c r="R57" s="108">
        <v>104133</v>
      </c>
    </row>
    <row r="58" spans="1:18" ht="14.4" x14ac:dyDescent="0.55000000000000004">
      <c r="A58" s="102" t="s">
        <v>535</v>
      </c>
      <c r="B58" s="110">
        <v>279749.82</v>
      </c>
      <c r="C58" s="111">
        <v>253672.08</v>
      </c>
      <c r="E58" s="102" t="s">
        <v>536</v>
      </c>
      <c r="F58" s="103"/>
      <c r="G58" s="104"/>
      <c r="I58" s="105"/>
      <c r="K58" s="106"/>
      <c r="M58" s="107" t="s">
        <v>537</v>
      </c>
      <c r="N58" s="108">
        <v>6743.75</v>
      </c>
      <c r="O58" s="108">
        <v>6810.5</v>
      </c>
      <c r="P58" s="108">
        <v>6840</v>
      </c>
      <c r="Q58" s="108">
        <v>6711.6</v>
      </c>
      <c r="R58" s="108">
        <v>91883</v>
      </c>
    </row>
    <row r="59" spans="1:18" ht="14.4" x14ac:dyDescent="0.55000000000000004">
      <c r="A59" s="102" t="s">
        <v>538</v>
      </c>
      <c r="B59" s="110">
        <v>358571.76</v>
      </c>
      <c r="C59" s="111">
        <v>318698.15999999997</v>
      </c>
      <c r="E59" s="105" t="s">
        <v>539</v>
      </c>
      <c r="F59" s="103">
        <v>126.03</v>
      </c>
      <c r="G59" s="104">
        <v>127.21</v>
      </c>
      <c r="I59" s="102" t="s">
        <v>540</v>
      </c>
      <c r="K59" s="106"/>
      <c r="M59" s="107" t="s">
        <v>541</v>
      </c>
      <c r="N59" s="108">
        <v>6705.25</v>
      </c>
      <c r="O59" s="108">
        <v>6743.75</v>
      </c>
      <c r="P59" s="108">
        <v>6779.95</v>
      </c>
      <c r="Q59" s="108">
        <v>6508.2</v>
      </c>
      <c r="R59" s="108">
        <v>381285</v>
      </c>
    </row>
    <row r="60" spans="1:18" ht="14.4" x14ac:dyDescent="0.55000000000000004">
      <c r="A60" s="105"/>
      <c r="B60" s="103"/>
      <c r="C60" s="104"/>
      <c r="E60" s="105" t="s">
        <v>542</v>
      </c>
      <c r="F60" s="103">
        <v>126.01</v>
      </c>
      <c r="G60" s="104">
        <v>127.18</v>
      </c>
      <c r="I60" s="105" t="s">
        <v>543</v>
      </c>
      <c r="J60" s="1">
        <v>6122.41</v>
      </c>
      <c r="K60" s="106">
        <v>4976.76</v>
      </c>
      <c r="M60" s="107" t="s">
        <v>544</v>
      </c>
      <c r="N60" s="108">
        <v>6647.55</v>
      </c>
      <c r="O60" s="108">
        <v>6710</v>
      </c>
      <c r="P60" s="108">
        <v>6759.8</v>
      </c>
      <c r="Q60" s="108">
        <v>6607</v>
      </c>
      <c r="R60" s="108">
        <v>227250</v>
      </c>
    </row>
    <row r="61" spans="1:18" ht="14.4" x14ac:dyDescent="0.55000000000000004">
      <c r="A61" s="102" t="s">
        <v>545</v>
      </c>
      <c r="B61" s="103"/>
      <c r="C61" s="104"/>
      <c r="E61" s="105"/>
      <c r="F61" s="103"/>
      <c r="G61" s="104"/>
      <c r="I61" s="105" t="s">
        <v>546</v>
      </c>
      <c r="J61" s="1">
        <v>144.37</v>
      </c>
      <c r="K61" s="106">
        <v>66.53</v>
      </c>
      <c r="M61" s="107" t="s">
        <v>547</v>
      </c>
      <c r="N61" s="108">
        <v>6486.45</v>
      </c>
      <c r="O61" s="108">
        <v>6690</v>
      </c>
      <c r="P61" s="108">
        <v>6710.9</v>
      </c>
      <c r="Q61" s="108">
        <v>6470.15</v>
      </c>
      <c r="R61" s="108">
        <v>175457</v>
      </c>
    </row>
    <row r="62" spans="1:18" ht="14.4" x14ac:dyDescent="0.55000000000000004">
      <c r="A62" s="102" t="s">
        <v>548</v>
      </c>
      <c r="B62" s="103"/>
      <c r="C62" s="104"/>
      <c r="E62" s="112"/>
      <c r="F62" s="113"/>
      <c r="G62" s="114"/>
      <c r="I62" s="105" t="s">
        <v>549</v>
      </c>
      <c r="J62" s="1">
        <v>0.81</v>
      </c>
      <c r="K62" s="106">
        <v>0</v>
      </c>
      <c r="M62" s="107" t="s">
        <v>550</v>
      </c>
      <c r="N62" s="108">
        <v>6542.35</v>
      </c>
      <c r="O62" s="108">
        <v>6540</v>
      </c>
      <c r="P62" s="108">
        <v>6577.75</v>
      </c>
      <c r="Q62" s="108">
        <v>6422.5</v>
      </c>
      <c r="R62" s="108">
        <v>208512</v>
      </c>
    </row>
    <row r="63" spans="1:18" ht="14.4" x14ac:dyDescent="0.55000000000000004">
      <c r="A63" s="105" t="s">
        <v>551</v>
      </c>
      <c r="B63" s="103">
        <v>6228.41</v>
      </c>
      <c r="C63" s="104">
        <v>6227.64</v>
      </c>
      <c r="I63" s="105" t="s">
        <v>552</v>
      </c>
      <c r="J63" s="1">
        <v>43593.51</v>
      </c>
      <c r="K63" s="106">
        <v>37739.519999999997</v>
      </c>
      <c r="M63" s="107" t="s">
        <v>553</v>
      </c>
      <c r="N63" s="108">
        <v>6473.5</v>
      </c>
      <c r="O63" s="108">
        <v>6575</v>
      </c>
      <c r="P63" s="108">
        <v>6591.85</v>
      </c>
      <c r="Q63" s="108">
        <v>6338</v>
      </c>
      <c r="R63" s="108">
        <v>380865</v>
      </c>
    </row>
    <row r="64" spans="1:18" ht="14.4" x14ac:dyDescent="0.55000000000000004">
      <c r="A64" s="105" t="s">
        <v>554</v>
      </c>
      <c r="B64" s="103">
        <v>279768.48</v>
      </c>
      <c r="C64" s="104">
        <v>244337.99</v>
      </c>
      <c r="I64" s="102" t="s">
        <v>555</v>
      </c>
      <c r="J64" s="93">
        <v>-49859.48</v>
      </c>
      <c r="K64" s="109">
        <v>-42782.81</v>
      </c>
      <c r="M64" s="107" t="s">
        <v>556</v>
      </c>
      <c r="N64" s="108">
        <v>6439.95</v>
      </c>
      <c r="O64" s="108">
        <v>6525</v>
      </c>
      <c r="P64" s="108">
        <v>6635</v>
      </c>
      <c r="Q64" s="108">
        <v>6425</v>
      </c>
      <c r="R64" s="108">
        <v>346979</v>
      </c>
    </row>
    <row r="65" spans="1:18" ht="14.4" x14ac:dyDescent="0.55000000000000004">
      <c r="A65" s="102" t="s">
        <v>135</v>
      </c>
      <c r="B65" s="110">
        <v>285996.89</v>
      </c>
      <c r="C65" s="111">
        <v>250565.63</v>
      </c>
      <c r="I65" s="105"/>
      <c r="K65" s="106"/>
      <c r="M65" s="107" t="s">
        <v>557</v>
      </c>
      <c r="N65" s="108">
        <v>6000.6</v>
      </c>
      <c r="O65" s="108">
        <v>5950</v>
      </c>
      <c r="P65" s="108">
        <v>6200</v>
      </c>
      <c r="Q65" s="108">
        <v>5921</v>
      </c>
      <c r="R65" s="108">
        <v>1431569</v>
      </c>
    </row>
    <row r="66" spans="1:18" ht="14.4" x14ac:dyDescent="0.55000000000000004">
      <c r="A66" s="105"/>
      <c r="B66" s="103"/>
      <c r="C66" s="104"/>
      <c r="I66" s="102" t="s">
        <v>558</v>
      </c>
      <c r="J66" s="93">
        <v>510.09</v>
      </c>
      <c r="K66" s="109">
        <v>326.29000000000002</v>
      </c>
      <c r="M66" s="107" t="s">
        <v>559</v>
      </c>
      <c r="N66" s="108">
        <v>5941.6</v>
      </c>
      <c r="O66" s="108">
        <v>5975</v>
      </c>
      <c r="P66" s="108">
        <v>6088.95</v>
      </c>
      <c r="Q66" s="108">
        <v>5920</v>
      </c>
      <c r="R66" s="108">
        <v>368080</v>
      </c>
    </row>
    <row r="67" spans="1:18" ht="14.4" x14ac:dyDescent="0.55000000000000004">
      <c r="A67" s="102" t="s">
        <v>560</v>
      </c>
      <c r="B67" s="103"/>
      <c r="C67" s="104"/>
      <c r="I67" s="105" t="s">
        <v>561</v>
      </c>
      <c r="J67" s="1">
        <v>13324.29</v>
      </c>
      <c r="K67" s="106">
        <v>13389.17</v>
      </c>
      <c r="M67" s="107" t="s">
        <v>562</v>
      </c>
      <c r="N67" s="108">
        <v>6084.8</v>
      </c>
      <c r="O67" s="108">
        <v>5959.9</v>
      </c>
      <c r="P67" s="108">
        <v>6125</v>
      </c>
      <c r="Q67" s="108">
        <v>5959.9</v>
      </c>
      <c r="R67" s="108">
        <v>230728</v>
      </c>
    </row>
    <row r="68" spans="1:18" ht="14.4" x14ac:dyDescent="0.55000000000000004">
      <c r="A68" s="105" t="s">
        <v>563</v>
      </c>
      <c r="B68" s="103">
        <v>13931.26</v>
      </c>
      <c r="C68" s="104">
        <v>18118.900000000001</v>
      </c>
      <c r="I68" s="105" t="s">
        <v>564</v>
      </c>
      <c r="J68" s="1">
        <v>-306.70999999999998</v>
      </c>
      <c r="K68" s="106">
        <v>-391.17</v>
      </c>
      <c r="M68" s="107" t="s">
        <v>565</v>
      </c>
      <c r="N68" s="108">
        <v>6115.75</v>
      </c>
      <c r="O68" s="108">
        <v>6093.9</v>
      </c>
      <c r="P68" s="108">
        <v>6135.05</v>
      </c>
      <c r="Q68" s="108">
        <v>6026.6</v>
      </c>
      <c r="R68" s="108">
        <v>119683</v>
      </c>
    </row>
    <row r="69" spans="1:18" ht="14.4" x14ac:dyDescent="0.55000000000000004">
      <c r="A69" s="105" t="s">
        <v>566</v>
      </c>
      <c r="B69" s="103">
        <v>5675.31</v>
      </c>
      <c r="C69" s="104">
        <v>5419.99</v>
      </c>
      <c r="I69" s="115" t="s">
        <v>567</v>
      </c>
      <c r="J69" s="116">
        <v>13527.67</v>
      </c>
      <c r="K69" s="117">
        <v>13324.29</v>
      </c>
      <c r="M69" s="107" t="s">
        <v>568</v>
      </c>
      <c r="N69" s="108">
        <v>6184.25</v>
      </c>
      <c r="O69" s="108">
        <v>6140</v>
      </c>
      <c r="P69" s="108">
        <v>6245.2</v>
      </c>
      <c r="Q69" s="108">
        <v>6130</v>
      </c>
      <c r="R69" s="108">
        <v>144322</v>
      </c>
    </row>
    <row r="70" spans="1:18" ht="14.4" x14ac:dyDescent="0.55000000000000004">
      <c r="A70" s="102" t="s">
        <v>569</v>
      </c>
      <c r="B70" s="110">
        <v>19606.57</v>
      </c>
      <c r="C70" s="111">
        <v>23538.89</v>
      </c>
      <c r="M70" s="107" t="s">
        <v>570</v>
      </c>
      <c r="N70" s="108">
        <v>6212.1</v>
      </c>
      <c r="O70" s="108">
        <v>6190</v>
      </c>
      <c r="P70" s="108">
        <v>6250.85</v>
      </c>
      <c r="Q70" s="108">
        <v>6150</v>
      </c>
      <c r="R70" s="108">
        <v>131996</v>
      </c>
    </row>
    <row r="71" spans="1:18" ht="14.4" x14ac:dyDescent="0.55000000000000004">
      <c r="A71" s="105"/>
      <c r="B71" s="103"/>
      <c r="C71" s="104"/>
      <c r="M71" s="107" t="s">
        <v>571</v>
      </c>
      <c r="N71" s="108">
        <v>6199.8</v>
      </c>
      <c r="O71" s="108">
        <v>6218</v>
      </c>
      <c r="P71" s="108">
        <v>6229.05</v>
      </c>
      <c r="Q71" s="108">
        <v>6121.45</v>
      </c>
      <c r="R71" s="108">
        <v>91944</v>
      </c>
    </row>
    <row r="72" spans="1:18" ht="14.4" x14ac:dyDescent="0.55000000000000004">
      <c r="A72" s="102" t="s">
        <v>162</v>
      </c>
      <c r="B72" s="103"/>
      <c r="C72" s="104"/>
      <c r="M72" s="107" t="s">
        <v>572</v>
      </c>
      <c r="N72" s="108">
        <v>6153.95</v>
      </c>
      <c r="O72" s="108">
        <v>6220.2</v>
      </c>
      <c r="P72" s="108">
        <v>6275</v>
      </c>
      <c r="Q72" s="108">
        <v>6140</v>
      </c>
      <c r="R72" s="108">
        <v>87671</v>
      </c>
    </row>
    <row r="73" spans="1:18" ht="14.4" x14ac:dyDescent="0.55000000000000004">
      <c r="A73" s="105" t="s">
        <v>573</v>
      </c>
      <c r="B73" s="103">
        <v>5297.82</v>
      </c>
      <c r="C73" s="104">
        <v>4279.24</v>
      </c>
      <c r="M73" s="107" t="s">
        <v>574</v>
      </c>
      <c r="N73" s="108">
        <v>6167.35</v>
      </c>
      <c r="O73" s="108">
        <v>6170</v>
      </c>
      <c r="P73" s="108">
        <v>6178</v>
      </c>
      <c r="Q73" s="108">
        <v>6060.7</v>
      </c>
      <c r="R73" s="108">
        <v>124965</v>
      </c>
    </row>
    <row r="74" spans="1:18" ht="14.4" x14ac:dyDescent="0.55000000000000004">
      <c r="A74" s="105" t="s">
        <v>575</v>
      </c>
      <c r="B74" s="103">
        <v>1150.71</v>
      </c>
      <c r="C74" s="104">
        <v>414.53</v>
      </c>
      <c r="M74" s="107" t="s">
        <v>576</v>
      </c>
      <c r="N74" s="108">
        <v>6353.95</v>
      </c>
      <c r="O74" s="108">
        <v>6167.5</v>
      </c>
      <c r="P74" s="108">
        <v>6425</v>
      </c>
      <c r="Q74" s="108">
        <v>6150</v>
      </c>
      <c r="R74" s="108">
        <v>221641</v>
      </c>
    </row>
    <row r="75" spans="1:18" ht="14.4" x14ac:dyDescent="0.55000000000000004">
      <c r="A75" s="105" t="s">
        <v>577</v>
      </c>
      <c r="B75" s="103">
        <v>11150.21</v>
      </c>
      <c r="C75" s="104">
        <v>8149.37</v>
      </c>
      <c r="M75" s="107" t="s">
        <v>578</v>
      </c>
      <c r="N75" s="108">
        <v>6372.7</v>
      </c>
      <c r="O75" s="108">
        <v>6353.95</v>
      </c>
      <c r="P75" s="108">
        <v>6392.95</v>
      </c>
      <c r="Q75" s="108">
        <v>6290</v>
      </c>
      <c r="R75" s="108">
        <v>108179</v>
      </c>
    </row>
    <row r="76" spans="1:18" ht="14.4" x14ac:dyDescent="0.55000000000000004">
      <c r="A76" s="105" t="s">
        <v>579</v>
      </c>
      <c r="B76" s="103">
        <v>9210.61</v>
      </c>
      <c r="C76" s="104">
        <v>10352.34</v>
      </c>
      <c r="M76" s="107" t="s">
        <v>580</v>
      </c>
      <c r="N76" s="108">
        <v>6156.05</v>
      </c>
      <c r="O76" s="108">
        <v>6319.95</v>
      </c>
      <c r="P76" s="108">
        <v>6327.55</v>
      </c>
      <c r="Q76" s="108">
        <v>6128.15</v>
      </c>
      <c r="R76" s="108">
        <v>161634</v>
      </c>
    </row>
    <row r="77" spans="1:18" ht="14.4" x14ac:dyDescent="0.55000000000000004">
      <c r="A77" s="105" t="s">
        <v>581</v>
      </c>
      <c r="B77" s="103">
        <v>12563.46</v>
      </c>
      <c r="C77" s="104">
        <v>12081.43</v>
      </c>
      <c r="M77" s="107" t="s">
        <v>582</v>
      </c>
      <c r="N77" s="108">
        <v>6125.4</v>
      </c>
      <c r="O77" s="108">
        <v>6150</v>
      </c>
      <c r="P77" s="108">
        <v>6203.9</v>
      </c>
      <c r="Q77" s="108">
        <v>6078.05</v>
      </c>
      <c r="R77" s="108">
        <v>148138</v>
      </c>
    </row>
    <row r="78" spans="1:18" ht="14.4" x14ac:dyDescent="0.55000000000000004">
      <c r="A78" s="105" t="s">
        <v>583</v>
      </c>
      <c r="B78" s="103">
        <v>4915.87</v>
      </c>
      <c r="C78" s="104">
        <v>3846.27</v>
      </c>
      <c r="M78" s="107" t="s">
        <v>584</v>
      </c>
      <c r="N78" s="108">
        <v>6173.85</v>
      </c>
      <c r="O78" s="108">
        <v>6129.2</v>
      </c>
      <c r="P78" s="108">
        <v>6221.95</v>
      </c>
      <c r="Q78" s="108">
        <v>6094.95</v>
      </c>
      <c r="R78" s="108">
        <v>143522</v>
      </c>
    </row>
    <row r="79" spans="1:18" ht="14.4" x14ac:dyDescent="0.55000000000000004">
      <c r="A79" s="105" t="s">
        <v>585</v>
      </c>
      <c r="B79" s="103">
        <v>8679.6200000000008</v>
      </c>
      <c r="C79" s="104">
        <v>5470.46</v>
      </c>
      <c r="M79" s="107" t="s">
        <v>586</v>
      </c>
      <c r="N79" s="108">
        <v>6135.7</v>
      </c>
      <c r="O79" s="108">
        <v>6195</v>
      </c>
      <c r="P79" s="108">
        <v>6215.95</v>
      </c>
      <c r="Q79" s="108">
        <v>6090</v>
      </c>
      <c r="R79" s="108">
        <v>138349</v>
      </c>
    </row>
    <row r="80" spans="1:18" ht="14.4" x14ac:dyDescent="0.55000000000000004">
      <c r="A80" s="102" t="s">
        <v>587</v>
      </c>
      <c r="B80" s="110">
        <v>52968.3</v>
      </c>
      <c r="C80" s="111">
        <v>44593.64</v>
      </c>
      <c r="M80" s="107" t="s">
        <v>588</v>
      </c>
      <c r="N80" s="108">
        <v>6336</v>
      </c>
      <c r="O80" s="108">
        <v>6145</v>
      </c>
      <c r="P80" s="108">
        <v>6350</v>
      </c>
      <c r="Q80" s="108">
        <v>6130.1</v>
      </c>
      <c r="R80" s="108">
        <v>122121</v>
      </c>
    </row>
    <row r="81" spans="1:18" ht="14.4" x14ac:dyDescent="0.55000000000000004">
      <c r="A81" s="115" t="s">
        <v>589</v>
      </c>
      <c r="B81" s="118">
        <v>358571.76</v>
      </c>
      <c r="C81" s="119">
        <v>318698.15999999997</v>
      </c>
      <c r="M81" s="107" t="s">
        <v>590</v>
      </c>
      <c r="N81" s="108">
        <v>6381.25</v>
      </c>
      <c r="O81" s="108">
        <v>6370</v>
      </c>
      <c r="P81" s="108">
        <v>6400</v>
      </c>
      <c r="Q81" s="108">
        <v>6269.05</v>
      </c>
      <c r="R81" s="108">
        <v>80662</v>
      </c>
    </row>
    <row r="82" spans="1:18" ht="14.4" x14ac:dyDescent="0.55000000000000004">
      <c r="M82" s="107" t="s">
        <v>591</v>
      </c>
      <c r="N82" s="108">
        <v>6396.25</v>
      </c>
      <c r="O82" s="108">
        <v>6330</v>
      </c>
      <c r="P82" s="108">
        <v>6420</v>
      </c>
      <c r="Q82" s="108">
        <v>6250.7</v>
      </c>
      <c r="R82" s="108">
        <v>71348</v>
      </c>
    </row>
    <row r="83" spans="1:18" ht="14.4" x14ac:dyDescent="0.55000000000000004">
      <c r="M83" s="107" t="s">
        <v>592</v>
      </c>
      <c r="N83" s="108">
        <v>6371.1</v>
      </c>
      <c r="O83" s="108">
        <v>6415</v>
      </c>
      <c r="P83" s="108">
        <v>6467</v>
      </c>
      <c r="Q83" s="108">
        <v>6312.65</v>
      </c>
      <c r="R83" s="108">
        <v>87790</v>
      </c>
    </row>
    <row r="84" spans="1:18" ht="14.4" x14ac:dyDescent="0.55000000000000004">
      <c r="M84" s="107" t="s">
        <v>593</v>
      </c>
      <c r="N84" s="108">
        <v>6384.5</v>
      </c>
      <c r="O84" s="108">
        <v>6371.1</v>
      </c>
      <c r="P84" s="108">
        <v>6443.95</v>
      </c>
      <c r="Q84" s="108">
        <v>6345.05</v>
      </c>
      <c r="R84" s="108">
        <v>66079</v>
      </c>
    </row>
    <row r="85" spans="1:18" ht="14.4" x14ac:dyDescent="0.55000000000000004">
      <c r="M85" s="107" t="s">
        <v>594</v>
      </c>
      <c r="N85" s="108">
        <v>6421.9</v>
      </c>
      <c r="O85" s="108">
        <v>6400</v>
      </c>
      <c r="P85" s="108">
        <v>6478.15</v>
      </c>
      <c r="Q85" s="108">
        <v>6372.05</v>
      </c>
      <c r="R85" s="108">
        <v>82289</v>
      </c>
    </row>
    <row r="86" spans="1:18" ht="14.4" x14ac:dyDescent="0.55000000000000004">
      <c r="M86" s="107" t="s">
        <v>595</v>
      </c>
      <c r="N86" s="108">
        <v>6436.6</v>
      </c>
      <c r="O86" s="108">
        <v>6421.9</v>
      </c>
      <c r="P86" s="108">
        <v>6455.25</v>
      </c>
      <c r="Q86" s="108">
        <v>6332.05</v>
      </c>
      <c r="R86" s="108">
        <v>64931</v>
      </c>
    </row>
    <row r="87" spans="1:18" ht="14.4" x14ac:dyDescent="0.55000000000000004">
      <c r="M87" s="107" t="s">
        <v>596</v>
      </c>
      <c r="N87" s="108">
        <v>6377.4</v>
      </c>
      <c r="O87" s="108">
        <v>6415</v>
      </c>
      <c r="P87" s="108">
        <v>6425</v>
      </c>
      <c r="Q87" s="108">
        <v>6335.25</v>
      </c>
      <c r="R87" s="108">
        <v>60322</v>
      </c>
    </row>
    <row r="88" spans="1:18" ht="14.4" x14ac:dyDescent="0.55000000000000004">
      <c r="M88" s="107" t="s">
        <v>597</v>
      </c>
      <c r="N88" s="108">
        <v>6116.75</v>
      </c>
      <c r="O88" s="108">
        <v>6399.95</v>
      </c>
      <c r="P88" s="108">
        <v>6399.95</v>
      </c>
      <c r="Q88" s="108">
        <v>6100</v>
      </c>
      <c r="R88" s="108">
        <v>100616</v>
      </c>
    </row>
    <row r="89" spans="1:18" ht="14.4" x14ac:dyDescent="0.55000000000000004">
      <c r="M89" s="107" t="s">
        <v>598</v>
      </c>
      <c r="N89" s="108">
        <v>6154.05</v>
      </c>
      <c r="O89" s="108">
        <v>6110</v>
      </c>
      <c r="P89" s="108">
        <v>6170</v>
      </c>
      <c r="Q89" s="108">
        <v>6032.5</v>
      </c>
      <c r="R89" s="108">
        <v>130838</v>
      </c>
    </row>
    <row r="90" spans="1:18" ht="14.4" x14ac:dyDescent="0.55000000000000004">
      <c r="M90" s="107" t="s">
        <v>599</v>
      </c>
      <c r="N90" s="108">
        <v>6134.35</v>
      </c>
      <c r="O90" s="108">
        <v>6199.95</v>
      </c>
      <c r="P90" s="108">
        <v>6199.95</v>
      </c>
      <c r="Q90" s="108">
        <v>6082</v>
      </c>
      <c r="R90" s="108">
        <v>135495</v>
      </c>
    </row>
    <row r="91" spans="1:18" ht="14.4" x14ac:dyDescent="0.55000000000000004">
      <c r="M91" s="107" t="s">
        <v>600</v>
      </c>
      <c r="N91" s="108">
        <v>6174</v>
      </c>
      <c r="O91" s="108">
        <v>6145.05</v>
      </c>
      <c r="P91" s="108">
        <v>6225</v>
      </c>
      <c r="Q91" s="108">
        <v>6081.05</v>
      </c>
      <c r="R91" s="108">
        <v>130626</v>
      </c>
    </row>
    <row r="92" spans="1:18" ht="14.4" x14ac:dyDescent="0.55000000000000004">
      <c r="M92" s="107" t="s">
        <v>601</v>
      </c>
      <c r="N92" s="108">
        <v>6146.85</v>
      </c>
      <c r="O92" s="108">
        <v>6156</v>
      </c>
      <c r="P92" s="108">
        <v>6176.35</v>
      </c>
      <c r="Q92" s="108">
        <v>6042.85</v>
      </c>
      <c r="R92" s="108">
        <v>73576</v>
      </c>
    </row>
    <row r="93" spans="1:18" ht="14.4" x14ac:dyDescent="0.55000000000000004">
      <c r="M93" s="107" t="s">
        <v>602</v>
      </c>
      <c r="N93" s="108">
        <v>6097.45</v>
      </c>
      <c r="O93" s="108">
        <v>6146.85</v>
      </c>
      <c r="P93" s="108">
        <v>6175.65</v>
      </c>
      <c r="Q93" s="108">
        <v>6045.05</v>
      </c>
      <c r="R93" s="108">
        <v>72228</v>
      </c>
    </row>
    <row r="94" spans="1:18" ht="14.4" x14ac:dyDescent="0.55000000000000004">
      <c r="M94" s="107" t="s">
        <v>603</v>
      </c>
      <c r="N94" s="108">
        <v>6017.6</v>
      </c>
      <c r="O94" s="108">
        <v>6120</v>
      </c>
      <c r="P94" s="108">
        <v>6130.8</v>
      </c>
      <c r="Q94" s="108">
        <v>5967.15</v>
      </c>
      <c r="R94" s="108">
        <v>159802</v>
      </c>
    </row>
    <row r="95" spans="1:18" ht="14.4" x14ac:dyDescent="0.55000000000000004">
      <c r="M95" s="107" t="s">
        <v>604</v>
      </c>
      <c r="N95" s="108">
        <v>6023.65</v>
      </c>
      <c r="O95" s="108">
        <v>6024</v>
      </c>
      <c r="P95" s="108">
        <v>6080</v>
      </c>
      <c r="Q95" s="108">
        <v>5980.6</v>
      </c>
      <c r="R95" s="108">
        <v>79633</v>
      </c>
    </row>
    <row r="96" spans="1:18" ht="14.4" x14ac:dyDescent="0.55000000000000004">
      <c r="M96" s="107" t="s">
        <v>605</v>
      </c>
      <c r="N96" s="108">
        <v>5960.45</v>
      </c>
      <c r="O96" s="108">
        <v>6024.8</v>
      </c>
      <c r="P96" s="108">
        <v>6080.25</v>
      </c>
      <c r="Q96" s="108">
        <v>5931.05</v>
      </c>
      <c r="R96" s="108">
        <v>101884</v>
      </c>
    </row>
    <row r="97" spans="13:18" ht="14.4" x14ac:dyDescent="0.55000000000000004">
      <c r="M97" s="107" t="s">
        <v>606</v>
      </c>
      <c r="N97" s="108">
        <v>5851.8</v>
      </c>
      <c r="O97" s="108">
        <v>5960.45</v>
      </c>
      <c r="P97" s="108">
        <v>5960.45</v>
      </c>
      <c r="Q97" s="108">
        <v>5782</v>
      </c>
      <c r="R97" s="108">
        <v>151226</v>
      </c>
    </row>
    <row r="98" spans="13:18" ht="14.4" x14ac:dyDescent="0.55000000000000004">
      <c r="M98" s="107" t="s">
        <v>607</v>
      </c>
      <c r="N98" s="108">
        <v>5695.65</v>
      </c>
      <c r="O98" s="108">
        <v>5851.8</v>
      </c>
      <c r="P98" s="108">
        <v>5877.7</v>
      </c>
      <c r="Q98" s="108">
        <v>5675</v>
      </c>
      <c r="R98" s="108">
        <v>162406</v>
      </c>
    </row>
    <row r="99" spans="13:18" ht="14.4" x14ac:dyDescent="0.55000000000000004">
      <c r="M99" s="107" t="s">
        <v>608</v>
      </c>
      <c r="N99" s="108">
        <v>5563.15</v>
      </c>
      <c r="O99" s="108">
        <v>5695.65</v>
      </c>
      <c r="P99" s="108">
        <v>5721.55</v>
      </c>
      <c r="Q99" s="108">
        <v>5513.45</v>
      </c>
      <c r="R99" s="108">
        <v>182977</v>
      </c>
    </row>
    <row r="100" spans="13:18" ht="14.4" x14ac:dyDescent="0.55000000000000004">
      <c r="M100" s="107" t="s">
        <v>609</v>
      </c>
      <c r="N100" s="108">
        <v>5411.1</v>
      </c>
      <c r="O100" s="108">
        <v>5514.1</v>
      </c>
      <c r="P100" s="108">
        <v>5563</v>
      </c>
      <c r="Q100" s="108">
        <v>5302.55</v>
      </c>
      <c r="R100" s="108">
        <v>337674</v>
      </c>
    </row>
    <row r="101" spans="13:18" ht="14.4" x14ac:dyDescent="0.55000000000000004">
      <c r="M101" s="107" t="s">
        <v>610</v>
      </c>
      <c r="N101" s="108">
        <v>5456.1</v>
      </c>
      <c r="O101" s="108">
        <v>5416.05</v>
      </c>
      <c r="P101" s="108">
        <v>5477</v>
      </c>
      <c r="Q101" s="108">
        <v>5362.85</v>
      </c>
      <c r="R101" s="108">
        <v>162308</v>
      </c>
    </row>
    <row r="102" spans="13:18" ht="14.4" x14ac:dyDescent="0.55000000000000004">
      <c r="M102" s="107" t="s">
        <v>611</v>
      </c>
      <c r="N102" s="108">
        <v>5389.05</v>
      </c>
      <c r="O102" s="108">
        <v>5443</v>
      </c>
      <c r="P102" s="108">
        <v>5481</v>
      </c>
      <c r="Q102" s="108">
        <v>5350</v>
      </c>
      <c r="R102" s="108">
        <v>141837</v>
      </c>
    </row>
    <row r="103" spans="13:18" ht="14.4" x14ac:dyDescent="0.55000000000000004">
      <c r="M103" s="107" t="s">
        <v>612</v>
      </c>
      <c r="N103" s="108">
        <v>5553.4</v>
      </c>
      <c r="O103" s="108">
        <v>5410</v>
      </c>
      <c r="P103" s="108">
        <v>5569</v>
      </c>
      <c r="Q103" s="108">
        <v>5400.15</v>
      </c>
      <c r="R103" s="108">
        <v>141754</v>
      </c>
    </row>
    <row r="104" spans="13:18" ht="14.4" x14ac:dyDescent="0.55000000000000004">
      <c r="M104" s="107" t="s">
        <v>613</v>
      </c>
      <c r="N104" s="108">
        <v>5638.3</v>
      </c>
      <c r="O104" s="108">
        <v>5647</v>
      </c>
      <c r="P104" s="108">
        <v>5694.35</v>
      </c>
      <c r="Q104" s="108">
        <v>5603</v>
      </c>
      <c r="R104" s="108">
        <v>107832</v>
      </c>
    </row>
    <row r="105" spans="13:18" ht="14.4" x14ac:dyDescent="0.55000000000000004">
      <c r="M105" s="107" t="s">
        <v>614</v>
      </c>
      <c r="N105" s="108">
        <v>5624.15</v>
      </c>
      <c r="O105" s="108">
        <v>5688</v>
      </c>
      <c r="P105" s="108">
        <v>5689</v>
      </c>
      <c r="Q105" s="108">
        <v>5601</v>
      </c>
      <c r="R105" s="108">
        <v>110794</v>
      </c>
    </row>
    <row r="106" spans="13:18" ht="14.4" x14ac:dyDescent="0.55000000000000004">
      <c r="M106" s="107" t="s">
        <v>615</v>
      </c>
      <c r="N106" s="108">
        <v>5503.5</v>
      </c>
      <c r="O106" s="108">
        <v>5659</v>
      </c>
      <c r="P106" s="108">
        <v>5689</v>
      </c>
      <c r="Q106" s="108">
        <v>5465</v>
      </c>
      <c r="R106" s="108">
        <v>106381</v>
      </c>
    </row>
    <row r="107" spans="13:18" ht="14.4" x14ac:dyDescent="0.55000000000000004">
      <c r="M107" s="107" t="s">
        <v>616</v>
      </c>
      <c r="N107" s="108">
        <v>5420.05</v>
      </c>
      <c r="O107" s="108">
        <v>5453.05</v>
      </c>
      <c r="P107" s="108">
        <v>5480</v>
      </c>
      <c r="Q107" s="108">
        <v>5389.95</v>
      </c>
      <c r="R107" s="108">
        <v>96855</v>
      </c>
    </row>
    <row r="108" spans="13:18" ht="14.4" x14ac:dyDescent="0.55000000000000004">
      <c r="M108" s="107" t="s">
        <v>617</v>
      </c>
      <c r="N108" s="108">
        <v>5303.85</v>
      </c>
      <c r="O108" s="108">
        <v>5421.05</v>
      </c>
      <c r="P108" s="108">
        <v>5450</v>
      </c>
      <c r="Q108" s="108">
        <v>5242</v>
      </c>
      <c r="R108" s="108">
        <v>171254</v>
      </c>
    </row>
    <row r="109" spans="13:18" ht="14.4" x14ac:dyDescent="0.55000000000000004">
      <c r="M109" s="107" t="s">
        <v>618</v>
      </c>
      <c r="N109" s="108">
        <v>5236.75</v>
      </c>
      <c r="O109" s="108">
        <v>5310.9</v>
      </c>
      <c r="P109" s="108">
        <v>5373.95</v>
      </c>
      <c r="Q109" s="108">
        <v>5225</v>
      </c>
      <c r="R109" s="108">
        <v>126288</v>
      </c>
    </row>
    <row r="110" spans="13:18" ht="14.4" x14ac:dyDescent="0.55000000000000004">
      <c r="M110" s="107" t="s">
        <v>619</v>
      </c>
      <c r="N110" s="108">
        <v>5174.45</v>
      </c>
      <c r="O110" s="108">
        <v>5236.75</v>
      </c>
      <c r="P110" s="108">
        <v>5283.3</v>
      </c>
      <c r="Q110" s="108">
        <v>5157.7</v>
      </c>
      <c r="R110" s="108">
        <v>139134</v>
      </c>
    </row>
    <row r="111" spans="13:18" ht="14.4" x14ac:dyDescent="0.55000000000000004">
      <c r="M111" s="107" t="s">
        <v>620</v>
      </c>
      <c r="N111" s="108">
        <v>5269.35</v>
      </c>
      <c r="O111" s="108">
        <v>5200</v>
      </c>
      <c r="P111" s="108">
        <v>5310</v>
      </c>
      <c r="Q111" s="108">
        <v>5198</v>
      </c>
      <c r="R111" s="108">
        <v>147911</v>
      </c>
    </row>
    <row r="112" spans="13:18" ht="14.4" x14ac:dyDescent="0.55000000000000004">
      <c r="M112" s="107" t="s">
        <v>621</v>
      </c>
      <c r="N112" s="108">
        <v>5366.3</v>
      </c>
      <c r="O112" s="108">
        <v>5269</v>
      </c>
      <c r="P112" s="108">
        <v>5390.9</v>
      </c>
      <c r="Q112" s="108">
        <v>5225</v>
      </c>
      <c r="R112" s="108">
        <v>183836</v>
      </c>
    </row>
    <row r="113" spans="13:18" ht="14.4" x14ac:dyDescent="0.55000000000000004">
      <c r="M113" s="107" t="s">
        <v>622</v>
      </c>
      <c r="N113" s="108">
        <v>5377.35</v>
      </c>
      <c r="O113" s="108">
        <v>5400</v>
      </c>
      <c r="P113" s="108">
        <v>5498.95</v>
      </c>
      <c r="Q113" s="108">
        <v>5359.6</v>
      </c>
      <c r="R113" s="108">
        <v>139775</v>
      </c>
    </row>
    <row r="114" spans="13:18" ht="14.4" x14ac:dyDescent="0.55000000000000004">
      <c r="M114" s="107" t="s">
        <v>623</v>
      </c>
      <c r="N114" s="108">
        <v>5462.95</v>
      </c>
      <c r="O114" s="108">
        <v>5395</v>
      </c>
      <c r="P114" s="108">
        <v>5512</v>
      </c>
      <c r="Q114" s="108">
        <v>5322</v>
      </c>
      <c r="R114" s="108">
        <v>252810</v>
      </c>
    </row>
    <row r="115" spans="13:18" ht="14.4" x14ac:dyDescent="0.55000000000000004">
      <c r="M115" s="107" t="s">
        <v>624</v>
      </c>
      <c r="N115" s="108">
        <v>5629.95</v>
      </c>
      <c r="O115" s="108">
        <v>5470</v>
      </c>
      <c r="P115" s="108">
        <v>5664.8</v>
      </c>
      <c r="Q115" s="108">
        <v>5403.65</v>
      </c>
      <c r="R115" s="108">
        <v>291530</v>
      </c>
    </row>
    <row r="116" spans="13:18" ht="14.4" x14ac:dyDescent="0.55000000000000004">
      <c r="M116" s="107" t="s">
        <v>625</v>
      </c>
      <c r="N116" s="108">
        <v>5496.95</v>
      </c>
      <c r="O116" s="108">
        <v>5700</v>
      </c>
      <c r="P116" s="108">
        <v>5742.95</v>
      </c>
      <c r="Q116" s="108">
        <v>5479</v>
      </c>
      <c r="R116" s="108">
        <v>331857</v>
      </c>
    </row>
    <row r="117" spans="13:18" ht="14.4" x14ac:dyDescent="0.55000000000000004">
      <c r="M117" s="107" t="s">
        <v>626</v>
      </c>
      <c r="N117" s="108">
        <v>5567</v>
      </c>
      <c r="O117" s="108">
        <v>5520</v>
      </c>
      <c r="P117" s="108">
        <v>5625</v>
      </c>
      <c r="Q117" s="108">
        <v>5474.9</v>
      </c>
      <c r="R117" s="108">
        <v>218301</v>
      </c>
    </row>
    <row r="118" spans="13:18" ht="14.4" x14ac:dyDescent="0.55000000000000004">
      <c r="M118" s="107" t="s">
        <v>627</v>
      </c>
      <c r="N118" s="108">
        <v>5417.8</v>
      </c>
      <c r="O118" s="108">
        <v>5500</v>
      </c>
      <c r="P118" s="108">
        <v>5582.15</v>
      </c>
      <c r="Q118" s="108">
        <v>5400</v>
      </c>
      <c r="R118" s="108">
        <v>356071</v>
      </c>
    </row>
    <row r="119" spans="13:18" ht="14.4" x14ac:dyDescent="0.55000000000000004">
      <c r="M119" s="107" t="s">
        <v>628</v>
      </c>
      <c r="N119" s="108">
        <v>5214.6000000000004</v>
      </c>
      <c r="O119" s="108">
        <v>5398.05</v>
      </c>
      <c r="P119" s="108">
        <v>5437.05</v>
      </c>
      <c r="Q119" s="108">
        <v>5200</v>
      </c>
      <c r="R119" s="108">
        <v>529718</v>
      </c>
    </row>
    <row r="120" spans="13:18" ht="14.4" x14ac:dyDescent="0.55000000000000004">
      <c r="M120" s="107" t="s">
        <v>629</v>
      </c>
      <c r="N120" s="108">
        <v>5069.6000000000004</v>
      </c>
      <c r="O120" s="108">
        <v>5195.6000000000004</v>
      </c>
      <c r="P120" s="108">
        <v>5199</v>
      </c>
      <c r="Q120" s="108">
        <v>5042</v>
      </c>
      <c r="R120" s="108">
        <v>424060</v>
      </c>
    </row>
    <row r="121" spans="13:18" ht="14.4" x14ac:dyDescent="0.55000000000000004">
      <c r="M121" s="107" t="s">
        <v>630</v>
      </c>
      <c r="N121" s="108">
        <v>5229.95</v>
      </c>
      <c r="O121" s="108">
        <v>5092.1499999999996</v>
      </c>
      <c r="P121" s="108">
        <v>5238.2</v>
      </c>
      <c r="Q121" s="108">
        <v>5044.3500000000004</v>
      </c>
      <c r="R121" s="108">
        <v>278492</v>
      </c>
    </row>
    <row r="122" spans="13:18" ht="14.4" x14ac:dyDescent="0.55000000000000004">
      <c r="M122" s="107" t="s">
        <v>631</v>
      </c>
      <c r="N122" s="108">
        <v>5194.3999999999996</v>
      </c>
      <c r="O122" s="108">
        <v>5180</v>
      </c>
      <c r="P122" s="108">
        <v>5244.55</v>
      </c>
      <c r="Q122" s="108">
        <v>5111.45</v>
      </c>
      <c r="R122" s="108">
        <v>306377</v>
      </c>
    </row>
    <row r="123" spans="13:18" ht="14.4" x14ac:dyDescent="0.55000000000000004">
      <c r="M123" s="107" t="s">
        <v>632</v>
      </c>
      <c r="N123" s="108">
        <v>5056.6499999999996</v>
      </c>
      <c r="O123" s="108">
        <v>5180</v>
      </c>
      <c r="P123" s="108">
        <v>5183.25</v>
      </c>
      <c r="Q123" s="108">
        <v>5004.3500000000004</v>
      </c>
      <c r="R123" s="108">
        <v>323433</v>
      </c>
    </row>
    <row r="124" spans="13:18" ht="14.4" x14ac:dyDescent="0.55000000000000004">
      <c r="M124" s="107" t="s">
        <v>633</v>
      </c>
      <c r="N124" s="108">
        <v>4808.3</v>
      </c>
      <c r="O124" s="108">
        <v>4790</v>
      </c>
      <c r="P124" s="108">
        <v>4900</v>
      </c>
      <c r="Q124" s="108">
        <v>4700</v>
      </c>
      <c r="R124" s="108">
        <v>345270</v>
      </c>
    </row>
    <row r="125" spans="13:18" ht="14.4" x14ac:dyDescent="0.55000000000000004">
      <c r="M125" s="107" t="s">
        <v>634</v>
      </c>
      <c r="N125" s="108">
        <v>4869.3999999999996</v>
      </c>
      <c r="O125" s="108">
        <v>4910.05</v>
      </c>
      <c r="P125" s="108">
        <v>5014.25</v>
      </c>
      <c r="Q125" s="108">
        <v>4760</v>
      </c>
      <c r="R125" s="108">
        <v>246320</v>
      </c>
    </row>
    <row r="126" spans="13:18" ht="14.4" x14ac:dyDescent="0.55000000000000004">
      <c r="M126" s="107" t="s">
        <v>635</v>
      </c>
      <c r="N126" s="108">
        <v>4755.75</v>
      </c>
      <c r="O126" s="108">
        <v>4857</v>
      </c>
      <c r="P126" s="108">
        <v>4870</v>
      </c>
      <c r="Q126" s="108">
        <v>4729.05</v>
      </c>
      <c r="R126" s="108">
        <v>206934</v>
      </c>
    </row>
    <row r="127" spans="13:18" ht="14.4" x14ac:dyDescent="0.55000000000000004">
      <c r="M127" s="107" t="s">
        <v>636</v>
      </c>
      <c r="N127" s="108">
        <v>4752.05</v>
      </c>
      <c r="O127" s="108">
        <v>4762</v>
      </c>
      <c r="P127" s="108">
        <v>4897</v>
      </c>
      <c r="Q127" s="108">
        <v>4709</v>
      </c>
      <c r="R127" s="108">
        <v>308561</v>
      </c>
    </row>
    <row r="128" spans="13:18" ht="14.4" x14ac:dyDescent="0.55000000000000004">
      <c r="M128" s="107" t="s">
        <v>637</v>
      </c>
      <c r="N128" s="108">
        <v>4931</v>
      </c>
      <c r="O128" s="108">
        <v>4849</v>
      </c>
      <c r="P128" s="108">
        <v>4973.5</v>
      </c>
      <c r="Q128" s="108">
        <v>4801</v>
      </c>
      <c r="R128" s="108">
        <v>334703</v>
      </c>
    </row>
    <row r="129" spans="13:18" ht="14.4" x14ac:dyDescent="0.55000000000000004">
      <c r="M129" s="107" t="s">
        <v>638</v>
      </c>
      <c r="N129" s="108">
        <v>4929</v>
      </c>
      <c r="O129" s="108">
        <v>4948</v>
      </c>
      <c r="P129" s="108">
        <v>4948</v>
      </c>
      <c r="Q129" s="108">
        <v>4853</v>
      </c>
      <c r="R129" s="108">
        <v>333482</v>
      </c>
    </row>
    <row r="130" spans="13:18" ht="14.4" x14ac:dyDescent="0.55000000000000004">
      <c r="M130" s="107" t="s">
        <v>639</v>
      </c>
      <c r="N130" s="108">
        <v>4900.5</v>
      </c>
      <c r="O130" s="108">
        <v>4906</v>
      </c>
      <c r="P130" s="108">
        <v>4936</v>
      </c>
      <c r="Q130" s="108">
        <v>4826.5</v>
      </c>
      <c r="R130" s="108">
        <v>363566</v>
      </c>
    </row>
    <row r="131" spans="13:18" ht="14.4" x14ac:dyDescent="0.55000000000000004">
      <c r="M131" s="107" t="s">
        <v>640</v>
      </c>
      <c r="N131" s="108">
        <v>5342</v>
      </c>
      <c r="O131" s="108">
        <v>4805</v>
      </c>
      <c r="P131" s="108">
        <v>5396.5</v>
      </c>
      <c r="Q131" s="108">
        <v>4805</v>
      </c>
      <c r="R131" s="108">
        <v>2852407</v>
      </c>
    </row>
    <row r="132" spans="13:18" ht="14.4" x14ac:dyDescent="0.55000000000000004">
      <c r="M132" s="107" t="s">
        <v>641</v>
      </c>
      <c r="N132" s="108">
        <v>5480</v>
      </c>
      <c r="O132" s="108">
        <v>5335</v>
      </c>
      <c r="P132" s="108">
        <v>5495.5</v>
      </c>
      <c r="Q132" s="108">
        <v>5268.5</v>
      </c>
      <c r="R132" s="108">
        <v>888502</v>
      </c>
    </row>
    <row r="133" spans="13:18" ht="14.4" x14ac:dyDescent="0.55000000000000004">
      <c r="M133" s="107" t="s">
        <v>642</v>
      </c>
      <c r="N133" s="108">
        <v>5664.5</v>
      </c>
      <c r="O133" s="108">
        <v>5480</v>
      </c>
      <c r="P133" s="108">
        <v>5678.5</v>
      </c>
      <c r="Q133" s="108">
        <v>5465</v>
      </c>
      <c r="R133" s="108">
        <v>820053</v>
      </c>
    </row>
    <row r="134" spans="13:18" ht="14.4" x14ac:dyDescent="0.55000000000000004">
      <c r="M134" s="107" t="s">
        <v>643</v>
      </c>
      <c r="N134" s="108">
        <v>5918</v>
      </c>
      <c r="O134" s="108">
        <v>5678</v>
      </c>
      <c r="P134" s="108">
        <v>5940</v>
      </c>
      <c r="Q134" s="108">
        <v>5664</v>
      </c>
      <c r="R134" s="108">
        <v>1253303</v>
      </c>
    </row>
    <row r="135" spans="13:18" ht="14.4" x14ac:dyDescent="0.55000000000000004">
      <c r="M135" s="107" t="s">
        <v>644</v>
      </c>
      <c r="N135" s="108">
        <v>5612.5</v>
      </c>
      <c r="O135" s="108">
        <v>5949.5</v>
      </c>
      <c r="P135" s="108">
        <v>5958</v>
      </c>
      <c r="Q135" s="108">
        <v>5593</v>
      </c>
      <c r="R135" s="108">
        <v>610205</v>
      </c>
    </row>
    <row r="136" spans="13:18" ht="14.4" x14ac:dyDescent="0.55000000000000004">
      <c r="M136" s="107" t="s">
        <v>645</v>
      </c>
      <c r="N136" s="108">
        <v>5689</v>
      </c>
      <c r="O136" s="108">
        <v>5612.5</v>
      </c>
      <c r="P136" s="108">
        <v>5708</v>
      </c>
      <c r="Q136" s="108">
        <v>5568</v>
      </c>
      <c r="R136" s="108">
        <v>332068</v>
      </c>
    </row>
    <row r="137" spans="13:18" ht="14.4" x14ac:dyDescent="0.55000000000000004">
      <c r="M137" s="107" t="s">
        <v>646</v>
      </c>
      <c r="N137" s="108">
        <v>5764</v>
      </c>
      <c r="O137" s="108">
        <v>5702.5</v>
      </c>
      <c r="P137" s="108">
        <v>5817</v>
      </c>
      <c r="Q137" s="108">
        <v>5702.5</v>
      </c>
      <c r="R137" s="108">
        <v>246518</v>
      </c>
    </row>
    <row r="138" spans="13:18" ht="14.4" x14ac:dyDescent="0.55000000000000004">
      <c r="M138" s="107" t="s">
        <v>647</v>
      </c>
      <c r="N138" s="108">
        <v>5766</v>
      </c>
      <c r="O138" s="108">
        <v>5765</v>
      </c>
      <c r="P138" s="108">
        <v>5800</v>
      </c>
      <c r="Q138" s="108">
        <v>5655</v>
      </c>
      <c r="R138" s="108">
        <v>216288</v>
      </c>
    </row>
    <row r="139" spans="13:18" ht="14.4" x14ac:dyDescent="0.55000000000000004">
      <c r="M139" s="107" t="s">
        <v>648</v>
      </c>
      <c r="N139" s="108">
        <v>5821</v>
      </c>
      <c r="O139" s="108">
        <v>5750</v>
      </c>
      <c r="P139" s="108">
        <v>5879</v>
      </c>
      <c r="Q139" s="108">
        <v>5727.5</v>
      </c>
      <c r="R139" s="108">
        <v>234289</v>
      </c>
    </row>
    <row r="140" spans="13:18" ht="14.4" x14ac:dyDescent="0.55000000000000004">
      <c r="M140" s="107" t="s">
        <v>649</v>
      </c>
      <c r="N140" s="108">
        <v>5817</v>
      </c>
      <c r="O140" s="108">
        <v>5845</v>
      </c>
      <c r="P140" s="108">
        <v>5857</v>
      </c>
      <c r="Q140" s="108">
        <v>5785</v>
      </c>
      <c r="R140" s="108">
        <v>118811</v>
      </c>
    </row>
    <row r="141" spans="13:18" ht="14.4" x14ac:dyDescent="0.55000000000000004">
      <c r="M141" s="107" t="s">
        <v>650</v>
      </c>
      <c r="N141" s="108">
        <v>5700</v>
      </c>
      <c r="O141" s="108">
        <v>5830</v>
      </c>
      <c r="P141" s="108">
        <v>5857.5</v>
      </c>
      <c r="Q141" s="108">
        <v>5680</v>
      </c>
      <c r="R141" s="108">
        <v>148067</v>
      </c>
    </row>
    <row r="142" spans="13:18" ht="14.4" x14ac:dyDescent="0.55000000000000004">
      <c r="M142" s="107" t="s">
        <v>651</v>
      </c>
      <c r="N142" s="108">
        <v>5758</v>
      </c>
      <c r="O142" s="108">
        <v>5589</v>
      </c>
      <c r="P142" s="108">
        <v>5775</v>
      </c>
      <c r="Q142" s="108">
        <v>5575</v>
      </c>
      <c r="R142" s="108">
        <v>132215</v>
      </c>
    </row>
    <row r="143" spans="13:18" ht="14.4" x14ac:dyDescent="0.55000000000000004">
      <c r="M143" s="107" t="s">
        <v>652</v>
      </c>
      <c r="N143" s="108">
        <v>5711.5</v>
      </c>
      <c r="O143" s="108">
        <v>5758</v>
      </c>
      <c r="P143" s="108">
        <v>5933</v>
      </c>
      <c r="Q143" s="108">
        <v>5656.5</v>
      </c>
      <c r="R143" s="108">
        <v>235617</v>
      </c>
    </row>
    <row r="144" spans="13:18" ht="14.4" x14ac:dyDescent="0.55000000000000004">
      <c r="M144" s="107" t="s">
        <v>653</v>
      </c>
      <c r="N144" s="108">
        <v>5738</v>
      </c>
      <c r="O144" s="108">
        <v>5400</v>
      </c>
      <c r="P144" s="108">
        <v>5775</v>
      </c>
      <c r="Q144" s="108">
        <v>5400</v>
      </c>
      <c r="R144" s="108">
        <v>311908</v>
      </c>
    </row>
    <row r="145" spans="13:18" ht="14.4" x14ac:dyDescent="0.55000000000000004">
      <c r="M145" s="107" t="s">
        <v>654</v>
      </c>
      <c r="N145" s="108">
        <v>6100</v>
      </c>
      <c r="O145" s="108">
        <v>5851.5</v>
      </c>
      <c r="P145" s="108">
        <v>6120</v>
      </c>
      <c r="Q145" s="108">
        <v>5794</v>
      </c>
      <c r="R145" s="108">
        <v>462268</v>
      </c>
    </row>
    <row r="146" spans="13:18" ht="14.4" x14ac:dyDescent="0.55000000000000004">
      <c r="M146" s="107" t="s">
        <v>655</v>
      </c>
      <c r="N146" s="108">
        <v>5986</v>
      </c>
      <c r="O146" s="108">
        <v>6109.5</v>
      </c>
      <c r="P146" s="108">
        <v>6124.5</v>
      </c>
      <c r="Q146" s="108">
        <v>5973</v>
      </c>
      <c r="R146" s="108">
        <v>222313</v>
      </c>
    </row>
    <row r="147" spans="13:18" ht="14.4" x14ac:dyDescent="0.55000000000000004">
      <c r="M147" s="107" t="s">
        <v>656</v>
      </c>
      <c r="N147" s="108">
        <v>6100.5</v>
      </c>
      <c r="O147" s="108">
        <v>6040.5</v>
      </c>
      <c r="P147" s="108">
        <v>6134</v>
      </c>
      <c r="Q147" s="108">
        <v>5981</v>
      </c>
      <c r="R147" s="108">
        <v>419269</v>
      </c>
    </row>
    <row r="148" spans="13:18" ht="14.4" x14ac:dyDescent="0.55000000000000004">
      <c r="M148" s="107" t="s">
        <v>657</v>
      </c>
      <c r="N148" s="108">
        <v>6180.5</v>
      </c>
      <c r="O148" s="108">
        <v>6100.5</v>
      </c>
      <c r="P148" s="108">
        <v>6210</v>
      </c>
      <c r="Q148" s="108">
        <v>6061.5</v>
      </c>
      <c r="R148" s="108">
        <v>257339</v>
      </c>
    </row>
    <row r="149" spans="13:18" ht="14.4" x14ac:dyDescent="0.55000000000000004">
      <c r="M149" s="107" t="s">
        <v>658</v>
      </c>
      <c r="N149" s="108">
        <v>6212</v>
      </c>
      <c r="O149" s="108">
        <v>6219.5</v>
      </c>
      <c r="P149" s="108">
        <v>6228</v>
      </c>
      <c r="Q149" s="108">
        <v>6165</v>
      </c>
      <c r="R149" s="108">
        <v>140760</v>
      </c>
    </row>
    <row r="150" spans="13:18" ht="14.4" x14ac:dyDescent="0.55000000000000004">
      <c r="M150" s="107" t="s">
        <v>659</v>
      </c>
      <c r="N150" s="108">
        <v>6245</v>
      </c>
      <c r="O150" s="108">
        <v>6229.5</v>
      </c>
      <c r="P150" s="108">
        <v>6275.5</v>
      </c>
      <c r="Q150" s="108">
        <v>6175.5</v>
      </c>
      <c r="R150" s="108">
        <v>145251</v>
      </c>
    </row>
    <row r="151" spans="13:18" ht="14.4" x14ac:dyDescent="0.55000000000000004">
      <c r="M151" s="107" t="s">
        <v>660</v>
      </c>
      <c r="N151" s="108">
        <v>6195.5</v>
      </c>
      <c r="O151" s="108">
        <v>6309</v>
      </c>
      <c r="P151" s="108">
        <v>6319.5</v>
      </c>
      <c r="Q151" s="108">
        <v>6170</v>
      </c>
      <c r="R151" s="108">
        <v>250930</v>
      </c>
    </row>
    <row r="152" spans="13:18" ht="14.4" x14ac:dyDescent="0.55000000000000004">
      <c r="M152" s="107" t="s">
        <v>661</v>
      </c>
      <c r="N152" s="108">
        <v>6184.5</v>
      </c>
      <c r="O152" s="108">
        <v>6195.5</v>
      </c>
      <c r="P152" s="108">
        <v>6216.5</v>
      </c>
      <c r="Q152" s="108">
        <v>6126</v>
      </c>
      <c r="R152" s="108">
        <v>105149</v>
      </c>
    </row>
    <row r="153" spans="13:18" ht="14.4" x14ac:dyDescent="0.55000000000000004">
      <c r="M153" s="107" t="s">
        <v>662</v>
      </c>
      <c r="N153" s="108">
        <v>6202.5</v>
      </c>
      <c r="O153" s="108">
        <v>6180</v>
      </c>
      <c r="P153" s="108">
        <v>6215</v>
      </c>
      <c r="Q153" s="108">
        <v>6135</v>
      </c>
      <c r="R153" s="108">
        <v>104618</v>
      </c>
    </row>
    <row r="154" spans="13:18" ht="14.4" x14ac:dyDescent="0.55000000000000004">
      <c r="M154" s="107" t="s">
        <v>663</v>
      </c>
      <c r="N154" s="108">
        <v>6290.5</v>
      </c>
      <c r="O154" s="108">
        <v>6210</v>
      </c>
      <c r="P154" s="108">
        <v>6304.5</v>
      </c>
      <c r="Q154" s="108">
        <v>6202.5</v>
      </c>
      <c r="R154" s="108">
        <v>158757</v>
      </c>
    </row>
    <row r="155" spans="13:18" ht="14.4" x14ac:dyDescent="0.55000000000000004">
      <c r="M155" s="107" t="s">
        <v>664</v>
      </c>
      <c r="N155" s="108">
        <v>6431.5</v>
      </c>
      <c r="O155" s="108">
        <v>6300</v>
      </c>
      <c r="P155" s="108">
        <v>6453.5</v>
      </c>
      <c r="Q155" s="108">
        <v>6278</v>
      </c>
      <c r="R155" s="108">
        <v>211742</v>
      </c>
    </row>
    <row r="156" spans="13:18" ht="14.4" x14ac:dyDescent="0.55000000000000004">
      <c r="M156" s="107" t="s">
        <v>665</v>
      </c>
      <c r="N156" s="108">
        <v>6410</v>
      </c>
      <c r="O156" s="108">
        <v>6445</v>
      </c>
      <c r="P156" s="108">
        <v>6470</v>
      </c>
      <c r="Q156" s="108">
        <v>6365</v>
      </c>
      <c r="R156" s="108">
        <v>148800</v>
      </c>
    </row>
    <row r="157" spans="13:18" ht="14.4" x14ac:dyDescent="0.55000000000000004">
      <c r="M157" s="107" t="s">
        <v>666</v>
      </c>
      <c r="N157" s="108">
        <v>6471</v>
      </c>
      <c r="O157" s="108">
        <v>6420</v>
      </c>
      <c r="P157" s="108">
        <v>6500</v>
      </c>
      <c r="Q157" s="108">
        <v>6354.5</v>
      </c>
      <c r="R157" s="108">
        <v>175553</v>
      </c>
    </row>
    <row r="158" spans="13:18" ht="14.4" x14ac:dyDescent="0.55000000000000004">
      <c r="M158" s="107" t="s">
        <v>667</v>
      </c>
      <c r="N158" s="108">
        <v>6499.5</v>
      </c>
      <c r="O158" s="108">
        <v>6475</v>
      </c>
      <c r="P158" s="108">
        <v>6535</v>
      </c>
      <c r="Q158" s="108">
        <v>6421</v>
      </c>
      <c r="R158" s="108">
        <v>171811</v>
      </c>
    </row>
    <row r="159" spans="13:18" ht="14.4" x14ac:dyDescent="0.55000000000000004">
      <c r="M159" s="107" t="s">
        <v>668</v>
      </c>
      <c r="N159" s="108">
        <v>6439.5</v>
      </c>
      <c r="O159" s="108">
        <v>6512.5</v>
      </c>
      <c r="P159" s="108">
        <v>6520</v>
      </c>
      <c r="Q159" s="108">
        <v>6395.5</v>
      </c>
      <c r="R159" s="108">
        <v>209158</v>
      </c>
    </row>
    <row r="160" spans="13:18" ht="14.4" x14ac:dyDescent="0.55000000000000004">
      <c r="M160" s="107" t="s">
        <v>669</v>
      </c>
      <c r="N160" s="108">
        <v>6417</v>
      </c>
      <c r="O160" s="108">
        <v>6412.5</v>
      </c>
      <c r="P160" s="108">
        <v>6469</v>
      </c>
      <c r="Q160" s="108">
        <v>6357.5</v>
      </c>
      <c r="R160" s="108">
        <v>114010</v>
      </c>
    </row>
    <row r="161" spans="13:18" ht="14.4" x14ac:dyDescent="0.55000000000000004">
      <c r="M161" s="107" t="s">
        <v>670</v>
      </c>
      <c r="N161" s="108">
        <v>6407</v>
      </c>
      <c r="O161" s="108">
        <v>6417</v>
      </c>
      <c r="P161" s="108">
        <v>6436.5</v>
      </c>
      <c r="Q161" s="108">
        <v>6359.5</v>
      </c>
      <c r="R161" s="108">
        <v>127200</v>
      </c>
    </row>
    <row r="162" spans="13:18" ht="14.4" x14ac:dyDescent="0.55000000000000004">
      <c r="M162" s="107" t="s">
        <v>671</v>
      </c>
      <c r="N162" s="108">
        <v>6447.5</v>
      </c>
      <c r="O162" s="108">
        <v>6418</v>
      </c>
      <c r="P162" s="108">
        <v>6464</v>
      </c>
      <c r="Q162" s="108">
        <v>6371.5</v>
      </c>
      <c r="R162" s="108">
        <v>81617</v>
      </c>
    </row>
    <row r="163" spans="13:18" ht="14.4" x14ac:dyDescent="0.55000000000000004">
      <c r="M163" s="107" t="s">
        <v>672</v>
      </c>
      <c r="N163" s="108">
        <v>6491.5</v>
      </c>
      <c r="O163" s="108">
        <v>6467</v>
      </c>
      <c r="P163" s="108">
        <v>6500</v>
      </c>
      <c r="Q163" s="108">
        <v>6446</v>
      </c>
      <c r="R163" s="108">
        <v>91106</v>
      </c>
    </row>
    <row r="164" spans="13:18" ht="14.4" x14ac:dyDescent="0.55000000000000004">
      <c r="M164" s="107" t="s">
        <v>673</v>
      </c>
      <c r="N164" s="108">
        <v>6473</v>
      </c>
      <c r="O164" s="108">
        <v>6520</v>
      </c>
      <c r="P164" s="108">
        <v>6520</v>
      </c>
      <c r="Q164" s="108">
        <v>6430.5</v>
      </c>
      <c r="R164" s="108">
        <v>71389</v>
      </c>
    </row>
    <row r="165" spans="13:18" ht="14.4" x14ac:dyDescent="0.55000000000000004">
      <c r="M165" s="107" t="s">
        <v>674</v>
      </c>
      <c r="N165" s="108">
        <v>6631.5</v>
      </c>
      <c r="O165" s="108">
        <v>6505.5</v>
      </c>
      <c r="P165" s="108">
        <v>6643</v>
      </c>
      <c r="Q165" s="108">
        <v>6500</v>
      </c>
      <c r="R165" s="108">
        <v>161923</v>
      </c>
    </row>
    <row r="166" spans="13:18" ht="14.4" x14ac:dyDescent="0.55000000000000004">
      <c r="M166" s="107" t="s">
        <v>675</v>
      </c>
      <c r="N166" s="108">
        <v>6705</v>
      </c>
      <c r="O166" s="108">
        <v>6680</v>
      </c>
      <c r="P166" s="108">
        <v>6735</v>
      </c>
      <c r="Q166" s="108">
        <v>6651.5</v>
      </c>
      <c r="R166" s="108">
        <v>223010</v>
      </c>
    </row>
    <row r="167" spans="13:18" ht="14.4" x14ac:dyDescent="0.55000000000000004">
      <c r="M167" s="107" t="s">
        <v>676</v>
      </c>
      <c r="N167" s="108">
        <v>6624.5</v>
      </c>
      <c r="O167" s="108">
        <v>6670</v>
      </c>
      <c r="P167" s="108">
        <v>6680</v>
      </c>
      <c r="Q167" s="108">
        <v>6590</v>
      </c>
      <c r="R167" s="108">
        <v>167351</v>
      </c>
    </row>
    <row r="168" spans="13:18" ht="14.4" x14ac:dyDescent="0.55000000000000004">
      <c r="M168" s="107" t="s">
        <v>677</v>
      </c>
      <c r="N168" s="108">
        <v>6473.5</v>
      </c>
      <c r="O168" s="108">
        <v>6647</v>
      </c>
      <c r="P168" s="108">
        <v>6647</v>
      </c>
      <c r="Q168" s="108">
        <v>6426</v>
      </c>
      <c r="R168" s="108">
        <v>173877</v>
      </c>
    </row>
    <row r="169" spans="13:18" ht="14.4" x14ac:dyDescent="0.55000000000000004">
      <c r="M169" s="107" t="s">
        <v>678</v>
      </c>
      <c r="N169" s="108">
        <v>6392.5</v>
      </c>
      <c r="O169" s="108">
        <v>6300</v>
      </c>
      <c r="P169" s="108">
        <v>6459.5</v>
      </c>
      <c r="Q169" s="108">
        <v>6299.5</v>
      </c>
      <c r="R169" s="108">
        <v>90117</v>
      </c>
    </row>
    <row r="170" spans="13:18" ht="14.4" x14ac:dyDescent="0.55000000000000004">
      <c r="M170" s="107" t="s">
        <v>679</v>
      </c>
      <c r="N170" s="108">
        <v>6377</v>
      </c>
      <c r="O170" s="108">
        <v>6361</v>
      </c>
      <c r="P170" s="108">
        <v>6420</v>
      </c>
      <c r="Q170" s="108">
        <v>6229</v>
      </c>
      <c r="R170" s="108">
        <v>121345</v>
      </c>
    </row>
    <row r="171" spans="13:18" ht="14.4" x14ac:dyDescent="0.55000000000000004">
      <c r="M171" s="107" t="s">
        <v>680</v>
      </c>
      <c r="N171" s="108">
        <v>6418</v>
      </c>
      <c r="O171" s="108">
        <v>6377</v>
      </c>
      <c r="P171" s="108">
        <v>6450</v>
      </c>
      <c r="Q171" s="108">
        <v>6362</v>
      </c>
      <c r="R171" s="108">
        <v>112049</v>
      </c>
    </row>
    <row r="172" spans="13:18" ht="14.4" x14ac:dyDescent="0.55000000000000004">
      <c r="M172" s="107" t="s">
        <v>681</v>
      </c>
      <c r="N172" s="108">
        <v>6449.5</v>
      </c>
      <c r="O172" s="108">
        <v>6419</v>
      </c>
      <c r="P172" s="108">
        <v>6470</v>
      </c>
      <c r="Q172" s="108">
        <v>6350</v>
      </c>
      <c r="R172" s="108">
        <v>98354</v>
      </c>
    </row>
    <row r="173" spans="13:18" ht="14.4" x14ac:dyDescent="0.55000000000000004">
      <c r="M173" s="107" t="s">
        <v>682</v>
      </c>
      <c r="N173" s="108">
        <v>6220</v>
      </c>
      <c r="O173" s="108">
        <v>6485.5</v>
      </c>
      <c r="P173" s="108">
        <v>6487</v>
      </c>
      <c r="Q173" s="108">
        <v>6208</v>
      </c>
      <c r="R173" s="108">
        <v>202630</v>
      </c>
    </row>
    <row r="174" spans="13:18" ht="14.4" x14ac:dyDescent="0.55000000000000004">
      <c r="M174" s="107" t="s">
        <v>683</v>
      </c>
      <c r="N174" s="108">
        <v>6319</v>
      </c>
      <c r="O174" s="108">
        <v>6246</v>
      </c>
      <c r="P174" s="108">
        <v>6335</v>
      </c>
      <c r="Q174" s="108">
        <v>6200.5</v>
      </c>
      <c r="R174" s="108">
        <v>189963</v>
      </c>
    </row>
    <row r="175" spans="13:18" ht="14.4" x14ac:dyDescent="0.55000000000000004">
      <c r="M175" s="107" t="s">
        <v>684</v>
      </c>
      <c r="N175" s="108">
        <v>6313</v>
      </c>
      <c r="O175" s="108">
        <v>6221</v>
      </c>
      <c r="P175" s="108">
        <v>6345</v>
      </c>
      <c r="Q175" s="108">
        <v>6164.5</v>
      </c>
      <c r="R175" s="108">
        <v>107858</v>
      </c>
    </row>
    <row r="176" spans="13:18" ht="14.4" x14ac:dyDescent="0.55000000000000004">
      <c r="M176" s="107" t="s">
        <v>685</v>
      </c>
      <c r="N176" s="108">
        <v>6266</v>
      </c>
      <c r="O176" s="108">
        <v>6410</v>
      </c>
      <c r="P176" s="108">
        <v>6410</v>
      </c>
      <c r="Q176" s="108">
        <v>6204</v>
      </c>
      <c r="R176" s="108">
        <v>203298</v>
      </c>
    </row>
    <row r="177" spans="13:18" ht="14.4" x14ac:dyDescent="0.55000000000000004">
      <c r="M177" s="107" t="s">
        <v>686</v>
      </c>
      <c r="N177" s="108">
        <v>6266.5</v>
      </c>
      <c r="O177" s="108">
        <v>6266</v>
      </c>
      <c r="P177" s="108">
        <v>6302.5</v>
      </c>
      <c r="Q177" s="108">
        <v>6210.5</v>
      </c>
      <c r="R177" s="108">
        <v>134175</v>
      </c>
    </row>
    <row r="178" spans="13:18" ht="14.4" x14ac:dyDescent="0.55000000000000004">
      <c r="M178" s="107" t="s">
        <v>687</v>
      </c>
      <c r="N178" s="108">
        <v>6274.5</v>
      </c>
      <c r="O178" s="108">
        <v>6275</v>
      </c>
      <c r="P178" s="108">
        <v>6295</v>
      </c>
      <c r="Q178" s="108">
        <v>6201</v>
      </c>
      <c r="R178" s="108">
        <v>126030</v>
      </c>
    </row>
    <row r="179" spans="13:18" ht="14.4" x14ac:dyDescent="0.55000000000000004">
      <c r="M179" s="107" t="s">
        <v>688</v>
      </c>
      <c r="N179" s="108">
        <v>6345</v>
      </c>
      <c r="O179" s="108">
        <v>6295</v>
      </c>
      <c r="P179" s="108">
        <v>6380</v>
      </c>
      <c r="Q179" s="108">
        <v>6282</v>
      </c>
      <c r="R179" s="108">
        <v>191698</v>
      </c>
    </row>
    <row r="180" spans="13:18" ht="14.4" x14ac:dyDescent="0.55000000000000004">
      <c r="M180" s="107" t="s">
        <v>689</v>
      </c>
      <c r="N180" s="108">
        <v>6310</v>
      </c>
      <c r="O180" s="108">
        <v>6358.5</v>
      </c>
      <c r="P180" s="108">
        <v>6376.5</v>
      </c>
      <c r="Q180" s="108">
        <v>6282</v>
      </c>
      <c r="R180" s="108">
        <v>95468</v>
      </c>
    </row>
    <row r="181" spans="13:18" ht="14.4" x14ac:dyDescent="0.55000000000000004">
      <c r="M181" s="107" t="s">
        <v>690</v>
      </c>
      <c r="N181" s="108">
        <v>6208.5</v>
      </c>
      <c r="O181" s="108">
        <v>6330</v>
      </c>
      <c r="P181" s="108">
        <v>6343</v>
      </c>
      <c r="Q181" s="108">
        <v>6130.5</v>
      </c>
      <c r="R181" s="108">
        <v>243499</v>
      </c>
    </row>
    <row r="182" spans="13:18" ht="14.4" x14ac:dyDescent="0.55000000000000004">
      <c r="M182" s="107" t="s">
        <v>691</v>
      </c>
      <c r="N182" s="108">
        <v>6185</v>
      </c>
      <c r="O182" s="108">
        <v>6208</v>
      </c>
      <c r="P182" s="108">
        <v>6208</v>
      </c>
      <c r="Q182" s="108">
        <v>6062.5</v>
      </c>
      <c r="R182" s="108">
        <v>262330</v>
      </c>
    </row>
    <row r="183" spans="13:18" ht="14.4" x14ac:dyDescent="0.55000000000000004">
      <c r="M183" s="107" t="s">
        <v>692</v>
      </c>
      <c r="N183" s="108">
        <v>6215</v>
      </c>
      <c r="O183" s="108">
        <v>6160</v>
      </c>
      <c r="P183" s="108">
        <v>6260</v>
      </c>
      <c r="Q183" s="108">
        <v>6159</v>
      </c>
      <c r="R183" s="108">
        <v>126180</v>
      </c>
    </row>
    <row r="184" spans="13:18" ht="14.4" x14ac:dyDescent="0.55000000000000004">
      <c r="M184" s="107" t="s">
        <v>693</v>
      </c>
      <c r="N184" s="108">
        <v>6209</v>
      </c>
      <c r="O184" s="108">
        <v>6230</v>
      </c>
      <c r="P184" s="108">
        <v>6244</v>
      </c>
      <c r="Q184" s="108">
        <v>6151</v>
      </c>
      <c r="R184" s="108">
        <v>97329</v>
      </c>
    </row>
    <row r="185" spans="13:18" ht="14.4" x14ac:dyDescent="0.55000000000000004">
      <c r="M185" s="107" t="s">
        <v>694</v>
      </c>
      <c r="N185" s="108">
        <v>6175</v>
      </c>
      <c r="O185" s="108">
        <v>6209</v>
      </c>
      <c r="P185" s="108">
        <v>6210</v>
      </c>
      <c r="Q185" s="108">
        <v>6155.5</v>
      </c>
      <c r="R185" s="108">
        <v>150035</v>
      </c>
    </row>
    <row r="186" spans="13:18" ht="14.4" x14ac:dyDescent="0.55000000000000004">
      <c r="M186" s="107" t="s">
        <v>695</v>
      </c>
      <c r="N186" s="108">
        <v>6171.5</v>
      </c>
      <c r="O186" s="108">
        <v>6187.5</v>
      </c>
      <c r="P186" s="108">
        <v>6195.5</v>
      </c>
      <c r="Q186" s="108">
        <v>6092</v>
      </c>
      <c r="R186" s="108">
        <v>169573</v>
      </c>
    </row>
    <row r="187" spans="13:18" ht="14.4" x14ac:dyDescent="0.55000000000000004">
      <c r="M187" s="107" t="s">
        <v>696</v>
      </c>
      <c r="N187" s="108">
        <v>6152</v>
      </c>
      <c r="O187" s="108">
        <v>6171.5</v>
      </c>
      <c r="P187" s="108">
        <v>6187.5</v>
      </c>
      <c r="Q187" s="108">
        <v>6110.5</v>
      </c>
      <c r="R187" s="108">
        <v>126766</v>
      </c>
    </row>
    <row r="188" spans="13:18" ht="14.4" x14ac:dyDescent="0.55000000000000004">
      <c r="M188" s="107" t="s">
        <v>697</v>
      </c>
      <c r="N188" s="108">
        <v>6137.5</v>
      </c>
      <c r="O188" s="108">
        <v>6130</v>
      </c>
      <c r="P188" s="108">
        <v>6174</v>
      </c>
      <c r="Q188" s="108">
        <v>6052.5</v>
      </c>
      <c r="R188" s="108">
        <v>218296</v>
      </c>
    </row>
    <row r="189" spans="13:18" ht="14.4" x14ac:dyDescent="0.55000000000000004">
      <c r="M189" s="107" t="s">
        <v>698</v>
      </c>
      <c r="N189" s="108">
        <v>6066</v>
      </c>
      <c r="O189" s="108">
        <v>5666</v>
      </c>
      <c r="P189" s="108">
        <v>6084.5</v>
      </c>
      <c r="Q189" s="108">
        <v>5660</v>
      </c>
      <c r="R189" s="108">
        <v>1578498</v>
      </c>
    </row>
    <row r="190" spans="13:18" ht="14.4" x14ac:dyDescent="0.55000000000000004">
      <c r="M190" s="107" t="s">
        <v>699</v>
      </c>
      <c r="N190" s="108">
        <v>6179</v>
      </c>
      <c r="O190" s="108">
        <v>6026</v>
      </c>
      <c r="P190" s="108">
        <v>6202.5</v>
      </c>
      <c r="Q190" s="108">
        <v>6002</v>
      </c>
      <c r="R190" s="108">
        <v>423728</v>
      </c>
    </row>
    <row r="191" spans="13:18" ht="14.4" x14ac:dyDescent="0.55000000000000004">
      <c r="M191" s="107" t="s">
        <v>700</v>
      </c>
      <c r="N191" s="108">
        <v>6380</v>
      </c>
      <c r="O191" s="108">
        <v>6185</v>
      </c>
      <c r="P191" s="108">
        <v>6425</v>
      </c>
      <c r="Q191" s="108">
        <v>6180</v>
      </c>
      <c r="R191" s="108">
        <v>770631</v>
      </c>
    </row>
    <row r="192" spans="13:18" ht="14.4" x14ac:dyDescent="0.55000000000000004">
      <c r="M192" s="107" t="s">
        <v>701</v>
      </c>
      <c r="N192" s="108">
        <v>6311</v>
      </c>
      <c r="O192" s="108">
        <v>6439.5</v>
      </c>
      <c r="P192" s="108">
        <v>6439.5</v>
      </c>
      <c r="Q192" s="108">
        <v>6296</v>
      </c>
      <c r="R192" s="108">
        <v>160852</v>
      </c>
    </row>
    <row r="193" spans="13:18" ht="14.4" x14ac:dyDescent="0.55000000000000004">
      <c r="M193" s="107" t="s">
        <v>702</v>
      </c>
      <c r="N193" s="108">
        <v>6196.5</v>
      </c>
      <c r="O193" s="108">
        <v>6313</v>
      </c>
      <c r="P193" s="108">
        <v>6321.5</v>
      </c>
      <c r="Q193" s="108">
        <v>6184</v>
      </c>
      <c r="R193" s="108">
        <v>151809</v>
      </c>
    </row>
    <row r="194" spans="13:18" ht="14.4" x14ac:dyDescent="0.55000000000000004">
      <c r="M194" s="107" t="s">
        <v>703</v>
      </c>
      <c r="N194" s="108">
        <v>6166</v>
      </c>
      <c r="O194" s="108">
        <v>6196.5</v>
      </c>
      <c r="P194" s="108">
        <v>6225</v>
      </c>
      <c r="Q194" s="108">
        <v>6125</v>
      </c>
      <c r="R194" s="108">
        <v>148243</v>
      </c>
    </row>
    <row r="195" spans="13:18" ht="14.4" x14ac:dyDescent="0.55000000000000004">
      <c r="M195" s="107" t="s">
        <v>704</v>
      </c>
      <c r="N195" s="108">
        <v>6198.5</v>
      </c>
      <c r="O195" s="108">
        <v>6166</v>
      </c>
      <c r="P195" s="108">
        <v>6234.5</v>
      </c>
      <c r="Q195" s="108">
        <v>6124.5</v>
      </c>
      <c r="R195" s="108">
        <v>94884</v>
      </c>
    </row>
    <row r="196" spans="13:18" ht="14.4" x14ac:dyDescent="0.55000000000000004">
      <c r="M196" s="107" t="s">
        <v>705</v>
      </c>
      <c r="N196" s="108">
        <v>6210</v>
      </c>
      <c r="O196" s="108">
        <v>6208</v>
      </c>
      <c r="P196" s="108">
        <v>6229</v>
      </c>
      <c r="Q196" s="108">
        <v>6175</v>
      </c>
      <c r="R196" s="108">
        <v>117799</v>
      </c>
    </row>
    <row r="197" spans="13:18" ht="14.4" x14ac:dyDescent="0.55000000000000004">
      <c r="M197" s="107" t="s">
        <v>706</v>
      </c>
      <c r="N197" s="108">
        <v>6235.5</v>
      </c>
      <c r="O197" s="108">
        <v>6210</v>
      </c>
      <c r="P197" s="108">
        <v>6259</v>
      </c>
      <c r="Q197" s="108">
        <v>6190</v>
      </c>
      <c r="R197" s="108">
        <v>98161</v>
      </c>
    </row>
    <row r="198" spans="13:18" ht="14.4" x14ac:dyDescent="0.55000000000000004">
      <c r="M198" s="107" t="s">
        <v>707</v>
      </c>
      <c r="N198" s="108">
        <v>6226</v>
      </c>
      <c r="O198" s="108">
        <v>6235.5</v>
      </c>
      <c r="P198" s="108">
        <v>6259.5</v>
      </c>
      <c r="Q198" s="108">
        <v>6176.5</v>
      </c>
      <c r="R198" s="108">
        <v>99684</v>
      </c>
    </row>
    <row r="199" spans="13:18" ht="14.4" x14ac:dyDescent="0.55000000000000004">
      <c r="M199" s="107" t="s">
        <v>708</v>
      </c>
      <c r="N199" s="108">
        <v>6062</v>
      </c>
      <c r="O199" s="108">
        <v>6226</v>
      </c>
      <c r="P199" s="108">
        <v>6257</v>
      </c>
      <c r="Q199" s="108">
        <v>6031</v>
      </c>
      <c r="R199" s="108">
        <v>102809</v>
      </c>
    </row>
    <row r="200" spans="13:18" ht="14.4" x14ac:dyDescent="0.55000000000000004">
      <c r="M200" s="107" t="s">
        <v>709</v>
      </c>
      <c r="N200" s="108">
        <v>6035.5</v>
      </c>
      <c r="O200" s="108">
        <v>6090</v>
      </c>
      <c r="P200" s="108">
        <v>6131.5</v>
      </c>
      <c r="Q200" s="108">
        <v>6016.5</v>
      </c>
      <c r="R200" s="108">
        <v>157018</v>
      </c>
    </row>
    <row r="201" spans="13:18" ht="14.4" x14ac:dyDescent="0.55000000000000004">
      <c r="M201" s="107" t="s">
        <v>710</v>
      </c>
      <c r="N201" s="108">
        <v>6090.5</v>
      </c>
      <c r="O201" s="108">
        <v>6009.5</v>
      </c>
      <c r="P201" s="108">
        <v>6106.5</v>
      </c>
      <c r="Q201" s="108">
        <v>5977.5</v>
      </c>
      <c r="R201" s="108">
        <v>108186</v>
      </c>
    </row>
    <row r="202" spans="13:18" ht="14.4" x14ac:dyDescent="0.55000000000000004">
      <c r="M202" s="107" t="s">
        <v>711</v>
      </c>
      <c r="N202" s="108">
        <v>6101</v>
      </c>
      <c r="O202" s="108">
        <v>6070</v>
      </c>
      <c r="P202" s="108">
        <v>6169.5</v>
      </c>
      <c r="Q202" s="108">
        <v>6062</v>
      </c>
      <c r="R202" s="108">
        <v>95734</v>
      </c>
    </row>
    <row r="203" spans="13:18" ht="14.4" x14ac:dyDescent="0.55000000000000004">
      <c r="M203" s="107" t="s">
        <v>712</v>
      </c>
      <c r="N203" s="108">
        <v>6093.5</v>
      </c>
      <c r="O203" s="108">
        <v>6084</v>
      </c>
      <c r="P203" s="108">
        <v>6138.5</v>
      </c>
      <c r="Q203" s="108">
        <v>6001</v>
      </c>
      <c r="R203" s="108">
        <v>138299</v>
      </c>
    </row>
    <row r="204" spans="13:18" ht="14.4" x14ac:dyDescent="0.55000000000000004">
      <c r="M204" s="107" t="s">
        <v>713</v>
      </c>
      <c r="N204" s="108">
        <v>6054.5</v>
      </c>
      <c r="O204" s="108">
        <v>6087.5</v>
      </c>
      <c r="P204" s="108">
        <v>6087.5</v>
      </c>
      <c r="Q204" s="108">
        <v>6021</v>
      </c>
      <c r="R204" s="108">
        <v>126921</v>
      </c>
    </row>
    <row r="205" spans="13:18" ht="14.4" x14ac:dyDescent="0.55000000000000004">
      <c r="M205" s="107" t="s">
        <v>714</v>
      </c>
      <c r="N205" s="108">
        <v>6031</v>
      </c>
      <c r="O205" s="108">
        <v>6022</v>
      </c>
      <c r="P205" s="108">
        <v>6078</v>
      </c>
      <c r="Q205" s="108">
        <v>5973</v>
      </c>
      <c r="R205" s="108">
        <v>145412</v>
      </c>
    </row>
    <row r="206" spans="13:18" ht="14.4" x14ac:dyDescent="0.55000000000000004">
      <c r="M206" s="107" t="s">
        <v>715</v>
      </c>
      <c r="N206" s="108">
        <v>5961.5</v>
      </c>
      <c r="O206" s="108">
        <v>6036</v>
      </c>
      <c r="P206" s="108">
        <v>6055</v>
      </c>
      <c r="Q206" s="108">
        <v>5941.5</v>
      </c>
      <c r="R206" s="108">
        <v>86273</v>
      </c>
    </row>
    <row r="207" spans="13:18" ht="14.4" x14ac:dyDescent="0.55000000000000004">
      <c r="M207" s="107" t="s">
        <v>716</v>
      </c>
      <c r="N207" s="108">
        <v>5816</v>
      </c>
      <c r="O207" s="108">
        <v>5968.5</v>
      </c>
      <c r="P207" s="108">
        <v>5972</v>
      </c>
      <c r="Q207" s="108">
        <v>5800</v>
      </c>
      <c r="R207" s="108">
        <v>120782</v>
      </c>
    </row>
    <row r="208" spans="13:18" ht="14.4" x14ac:dyDescent="0.55000000000000004">
      <c r="M208" s="107" t="s">
        <v>717</v>
      </c>
      <c r="N208" s="108">
        <v>5865</v>
      </c>
      <c r="O208" s="108">
        <v>5805</v>
      </c>
      <c r="P208" s="108">
        <v>5892</v>
      </c>
      <c r="Q208" s="108">
        <v>5733</v>
      </c>
      <c r="R208" s="108">
        <v>107906</v>
      </c>
    </row>
    <row r="209" spans="13:18" ht="14.4" x14ac:dyDescent="0.55000000000000004">
      <c r="M209" s="107" t="s">
        <v>718</v>
      </c>
      <c r="N209" s="108">
        <v>5759.5</v>
      </c>
      <c r="O209" s="108">
        <v>5850</v>
      </c>
      <c r="P209" s="108">
        <v>5871</v>
      </c>
      <c r="Q209" s="108">
        <v>5735</v>
      </c>
      <c r="R209" s="108">
        <v>66575</v>
      </c>
    </row>
    <row r="210" spans="13:18" ht="14.4" x14ac:dyDescent="0.55000000000000004">
      <c r="M210" s="107" t="s">
        <v>719</v>
      </c>
      <c r="N210" s="108">
        <v>5676.5</v>
      </c>
      <c r="O210" s="108">
        <v>5759.5</v>
      </c>
      <c r="P210" s="108">
        <v>5769.5</v>
      </c>
      <c r="Q210" s="108">
        <v>5665</v>
      </c>
      <c r="R210" s="108">
        <v>101170</v>
      </c>
    </row>
    <row r="211" spans="13:18" ht="14.4" x14ac:dyDescent="0.55000000000000004">
      <c r="M211" s="107" t="s">
        <v>720</v>
      </c>
      <c r="N211" s="108">
        <v>5617.5</v>
      </c>
      <c r="O211" s="108">
        <v>5683</v>
      </c>
      <c r="P211" s="108">
        <v>5730</v>
      </c>
      <c r="Q211" s="108">
        <v>5611</v>
      </c>
      <c r="R211" s="108">
        <v>92704</v>
      </c>
    </row>
    <row r="212" spans="13:18" ht="14.4" x14ac:dyDescent="0.55000000000000004">
      <c r="M212" s="107" t="s">
        <v>721</v>
      </c>
      <c r="N212" s="108">
        <v>5671</v>
      </c>
      <c r="O212" s="108">
        <v>5639.5</v>
      </c>
      <c r="P212" s="108">
        <v>5733</v>
      </c>
      <c r="Q212" s="108">
        <v>5581.5</v>
      </c>
      <c r="R212" s="108">
        <v>114397</v>
      </c>
    </row>
    <row r="213" spans="13:18" ht="14.4" x14ac:dyDescent="0.55000000000000004">
      <c r="M213" s="107" t="s">
        <v>722</v>
      </c>
      <c r="N213" s="108">
        <v>5681.5</v>
      </c>
      <c r="O213" s="108">
        <v>5694.5</v>
      </c>
      <c r="P213" s="108">
        <v>5767.5</v>
      </c>
      <c r="Q213" s="108">
        <v>5665</v>
      </c>
      <c r="R213" s="108">
        <v>88787</v>
      </c>
    </row>
    <row r="214" spans="13:18" ht="14.4" x14ac:dyDescent="0.55000000000000004">
      <c r="M214" s="107" t="s">
        <v>723</v>
      </c>
      <c r="N214" s="108">
        <v>5677.5</v>
      </c>
      <c r="O214" s="108">
        <v>5725</v>
      </c>
      <c r="P214" s="108">
        <v>5800</v>
      </c>
      <c r="Q214" s="108">
        <v>5663.5</v>
      </c>
      <c r="R214" s="108">
        <v>120374</v>
      </c>
    </row>
    <row r="215" spans="13:18" ht="14.4" x14ac:dyDescent="0.55000000000000004">
      <c r="M215" s="107" t="s">
        <v>724</v>
      </c>
      <c r="N215" s="108">
        <v>5726.5</v>
      </c>
      <c r="O215" s="108">
        <v>5692</v>
      </c>
      <c r="P215" s="108">
        <v>5744</v>
      </c>
      <c r="Q215" s="108">
        <v>5617</v>
      </c>
      <c r="R215" s="108">
        <v>90475</v>
      </c>
    </row>
    <row r="216" spans="13:18" ht="14.4" x14ac:dyDescent="0.55000000000000004">
      <c r="M216" s="107" t="s">
        <v>725</v>
      </c>
      <c r="N216" s="108">
        <v>5745.5</v>
      </c>
      <c r="O216" s="108">
        <v>5744.5</v>
      </c>
      <c r="P216" s="108">
        <v>5824.5</v>
      </c>
      <c r="Q216" s="108">
        <v>5690.5</v>
      </c>
      <c r="R216" s="108">
        <v>136215</v>
      </c>
    </row>
    <row r="217" spans="13:18" ht="14.4" x14ac:dyDescent="0.55000000000000004">
      <c r="M217" s="107" t="s">
        <v>726</v>
      </c>
      <c r="N217" s="108">
        <v>5659</v>
      </c>
      <c r="O217" s="108">
        <v>5760</v>
      </c>
      <c r="P217" s="108">
        <v>5770</v>
      </c>
      <c r="Q217" s="108">
        <v>5650</v>
      </c>
      <c r="R217" s="108">
        <v>124725</v>
      </c>
    </row>
    <row r="218" spans="13:18" ht="14.4" x14ac:dyDescent="0.55000000000000004">
      <c r="M218" s="107" t="s">
        <v>727</v>
      </c>
      <c r="N218" s="108">
        <v>5579.5</v>
      </c>
      <c r="O218" s="108">
        <v>5659</v>
      </c>
      <c r="P218" s="108">
        <v>5659</v>
      </c>
      <c r="Q218" s="108">
        <v>5555.5</v>
      </c>
      <c r="R218" s="108">
        <v>163567</v>
      </c>
    </row>
    <row r="219" spans="13:18" ht="14.4" x14ac:dyDescent="0.55000000000000004">
      <c r="M219" s="107" t="s">
        <v>728</v>
      </c>
      <c r="N219" s="108">
        <v>5546.5</v>
      </c>
      <c r="O219" s="108">
        <v>5600</v>
      </c>
      <c r="P219" s="108">
        <v>5638</v>
      </c>
      <c r="Q219" s="108">
        <v>5525.5</v>
      </c>
      <c r="R219" s="108">
        <v>149309</v>
      </c>
    </row>
    <row r="220" spans="13:18" ht="14.4" x14ac:dyDescent="0.55000000000000004">
      <c r="M220" s="107" t="s">
        <v>729</v>
      </c>
      <c r="N220" s="108">
        <v>5478.5</v>
      </c>
      <c r="O220" s="108">
        <v>5540</v>
      </c>
      <c r="P220" s="108">
        <v>5579.5</v>
      </c>
      <c r="Q220" s="108">
        <v>5455</v>
      </c>
      <c r="R220" s="108">
        <v>156243</v>
      </c>
    </row>
    <row r="221" spans="13:18" ht="14.4" x14ac:dyDescent="0.55000000000000004">
      <c r="M221" s="107" t="s">
        <v>730</v>
      </c>
      <c r="N221" s="108">
        <v>5338</v>
      </c>
      <c r="O221" s="108">
        <v>5490</v>
      </c>
      <c r="P221" s="108">
        <v>5490</v>
      </c>
      <c r="Q221" s="108">
        <v>5320</v>
      </c>
      <c r="R221" s="108">
        <v>146049</v>
      </c>
    </row>
    <row r="222" spans="13:18" ht="14.4" x14ac:dyDescent="0.55000000000000004">
      <c r="M222" s="107" t="s">
        <v>731</v>
      </c>
      <c r="N222" s="108">
        <v>5234</v>
      </c>
      <c r="O222" s="108">
        <v>5338</v>
      </c>
      <c r="P222" s="108">
        <v>5343</v>
      </c>
      <c r="Q222" s="108">
        <v>5221</v>
      </c>
      <c r="R222" s="108">
        <v>201277</v>
      </c>
    </row>
    <row r="223" spans="13:18" ht="14.4" x14ac:dyDescent="0.55000000000000004">
      <c r="M223" s="107" t="s">
        <v>732</v>
      </c>
      <c r="N223" s="108">
        <v>5357</v>
      </c>
      <c r="O223" s="108">
        <v>5274.5</v>
      </c>
      <c r="P223" s="108">
        <v>5384</v>
      </c>
      <c r="Q223" s="108">
        <v>5251</v>
      </c>
      <c r="R223" s="108">
        <v>162133</v>
      </c>
    </row>
    <row r="224" spans="13:18" ht="14.4" x14ac:dyDescent="0.55000000000000004">
      <c r="M224" s="107" t="s">
        <v>733</v>
      </c>
      <c r="N224" s="108">
        <v>5425.5</v>
      </c>
      <c r="O224" s="108">
        <v>5395</v>
      </c>
      <c r="P224" s="108">
        <v>5439</v>
      </c>
      <c r="Q224" s="108">
        <v>5304.5</v>
      </c>
      <c r="R224" s="108">
        <v>162068</v>
      </c>
    </row>
    <row r="225" spans="13:18" ht="14.4" x14ac:dyDescent="0.55000000000000004">
      <c r="M225" s="107" t="s">
        <v>734</v>
      </c>
      <c r="N225" s="108">
        <v>5427.5</v>
      </c>
      <c r="O225" s="108">
        <v>5449</v>
      </c>
      <c r="P225" s="108">
        <v>5474.5</v>
      </c>
      <c r="Q225" s="108">
        <v>5394</v>
      </c>
      <c r="R225" s="108">
        <v>102147</v>
      </c>
    </row>
    <row r="226" spans="13:18" ht="14.4" x14ac:dyDescent="0.55000000000000004">
      <c r="M226" s="107" t="s">
        <v>735</v>
      </c>
      <c r="N226" s="108">
        <v>5428</v>
      </c>
      <c r="O226" s="108">
        <v>5473</v>
      </c>
      <c r="P226" s="108">
        <v>5493</v>
      </c>
      <c r="Q226" s="108">
        <v>5366.5</v>
      </c>
      <c r="R226" s="108">
        <v>149976</v>
      </c>
    </row>
    <row r="227" spans="13:18" ht="14.4" x14ac:dyDescent="0.55000000000000004">
      <c r="M227" s="107" t="s">
        <v>736</v>
      </c>
      <c r="N227" s="108">
        <v>5451</v>
      </c>
      <c r="O227" s="108">
        <v>5438</v>
      </c>
      <c r="P227" s="108">
        <v>5486.5</v>
      </c>
      <c r="Q227" s="108">
        <v>5360</v>
      </c>
      <c r="R227" s="108">
        <v>129254</v>
      </c>
    </row>
    <row r="228" spans="13:18" ht="14.4" x14ac:dyDescent="0.55000000000000004">
      <c r="M228" s="107" t="s">
        <v>737</v>
      </c>
      <c r="N228" s="108">
        <v>5469.5</v>
      </c>
      <c r="O228" s="108">
        <v>5480</v>
      </c>
      <c r="P228" s="108">
        <v>5500</v>
      </c>
      <c r="Q228" s="108">
        <v>5448.5</v>
      </c>
      <c r="R228" s="108">
        <v>67959</v>
      </c>
    </row>
    <row r="229" spans="13:18" ht="14.4" x14ac:dyDescent="0.55000000000000004">
      <c r="M229" s="107" t="s">
        <v>738</v>
      </c>
      <c r="N229" s="108">
        <v>5553.5</v>
      </c>
      <c r="O229" s="108">
        <v>5489</v>
      </c>
      <c r="P229" s="108">
        <v>5681.5</v>
      </c>
      <c r="Q229" s="108">
        <v>5475.5</v>
      </c>
      <c r="R229" s="108">
        <v>401718</v>
      </c>
    </row>
    <row r="230" spans="13:18" ht="14.4" x14ac:dyDescent="0.55000000000000004">
      <c r="M230" s="107" t="s">
        <v>739</v>
      </c>
      <c r="N230" s="108">
        <v>5843.5</v>
      </c>
      <c r="O230" s="108">
        <v>5590</v>
      </c>
      <c r="P230" s="108">
        <v>5860</v>
      </c>
      <c r="Q230" s="108">
        <v>5590</v>
      </c>
      <c r="R230" s="108">
        <v>596016</v>
      </c>
    </row>
    <row r="231" spans="13:18" ht="14.4" x14ac:dyDescent="0.55000000000000004">
      <c r="M231" s="107" t="s">
        <v>740</v>
      </c>
      <c r="N231" s="108">
        <v>5752.5</v>
      </c>
      <c r="O231" s="108">
        <v>5843.5</v>
      </c>
      <c r="P231" s="108">
        <v>5850</v>
      </c>
      <c r="Q231" s="108">
        <v>5746</v>
      </c>
      <c r="R231" s="108">
        <v>133736</v>
      </c>
    </row>
    <row r="232" spans="13:18" ht="14.4" x14ac:dyDescent="0.55000000000000004">
      <c r="M232" s="107" t="s">
        <v>741</v>
      </c>
      <c r="N232" s="108">
        <v>5721.5</v>
      </c>
      <c r="O232" s="108">
        <v>5752.5</v>
      </c>
      <c r="P232" s="108">
        <v>5786</v>
      </c>
      <c r="Q232" s="108">
        <v>5661</v>
      </c>
      <c r="R232" s="108">
        <v>141104</v>
      </c>
    </row>
    <row r="233" spans="13:18" ht="14.4" x14ac:dyDescent="0.55000000000000004">
      <c r="M233" s="107" t="s">
        <v>742</v>
      </c>
      <c r="N233" s="108">
        <v>5685</v>
      </c>
      <c r="O233" s="108">
        <v>5721.5</v>
      </c>
      <c r="P233" s="108">
        <v>5749.5</v>
      </c>
      <c r="Q233" s="108">
        <v>5660</v>
      </c>
      <c r="R233" s="108">
        <v>108324</v>
      </c>
    </row>
    <row r="234" spans="13:18" ht="14.4" x14ac:dyDescent="0.55000000000000004">
      <c r="M234" s="107" t="s">
        <v>743</v>
      </c>
      <c r="N234" s="108">
        <v>5707</v>
      </c>
      <c r="O234" s="108">
        <v>5707</v>
      </c>
      <c r="P234" s="108">
        <v>5722</v>
      </c>
      <c r="Q234" s="108">
        <v>5640</v>
      </c>
      <c r="R234" s="108">
        <v>114558</v>
      </c>
    </row>
    <row r="235" spans="13:18" ht="14.4" x14ac:dyDescent="0.55000000000000004">
      <c r="M235" s="107" t="s">
        <v>744</v>
      </c>
      <c r="N235" s="108">
        <v>5683</v>
      </c>
      <c r="O235" s="108">
        <v>5722</v>
      </c>
      <c r="P235" s="108">
        <v>5768</v>
      </c>
      <c r="Q235" s="108">
        <v>5664</v>
      </c>
      <c r="R235" s="108">
        <v>126105</v>
      </c>
    </row>
    <row r="236" spans="13:18" ht="14.4" x14ac:dyDescent="0.55000000000000004">
      <c r="M236" s="107" t="s">
        <v>745</v>
      </c>
      <c r="N236" s="108">
        <v>5733.5</v>
      </c>
      <c r="O236" s="108">
        <v>5710</v>
      </c>
      <c r="P236" s="108">
        <v>5782</v>
      </c>
      <c r="Q236" s="108">
        <v>5691</v>
      </c>
      <c r="R236" s="108">
        <v>164737</v>
      </c>
    </row>
    <row r="237" spans="13:18" ht="14.4" x14ac:dyDescent="0.55000000000000004">
      <c r="M237" s="107" t="s">
        <v>746</v>
      </c>
      <c r="N237" s="108">
        <v>5722.5</v>
      </c>
      <c r="O237" s="108">
        <v>5735</v>
      </c>
      <c r="P237" s="108">
        <v>5753</v>
      </c>
      <c r="Q237" s="108">
        <v>5690</v>
      </c>
      <c r="R237" s="108">
        <v>155191</v>
      </c>
    </row>
    <row r="238" spans="13:18" ht="14.4" x14ac:dyDescent="0.55000000000000004">
      <c r="M238" s="107" t="s">
        <v>747</v>
      </c>
      <c r="N238" s="108">
        <v>5607</v>
      </c>
      <c r="O238" s="108">
        <v>5699.5</v>
      </c>
      <c r="P238" s="108">
        <v>5699.5</v>
      </c>
      <c r="Q238" s="108">
        <v>5565</v>
      </c>
      <c r="R238" s="108">
        <v>188343</v>
      </c>
    </row>
    <row r="239" spans="13:18" ht="14.4" x14ac:dyDescent="0.55000000000000004">
      <c r="M239" s="107" t="s">
        <v>748</v>
      </c>
      <c r="N239" s="108">
        <v>5555.5</v>
      </c>
      <c r="O239" s="108">
        <v>5595</v>
      </c>
      <c r="P239" s="108">
        <v>5640</v>
      </c>
      <c r="Q239" s="108">
        <v>5501</v>
      </c>
      <c r="R239" s="108">
        <v>136231</v>
      </c>
    </row>
    <row r="240" spans="13:18" ht="14.4" x14ac:dyDescent="0.55000000000000004">
      <c r="M240" s="107" t="s">
        <v>749</v>
      </c>
      <c r="N240" s="108">
        <v>5504.5</v>
      </c>
      <c r="O240" s="108">
        <v>5570</v>
      </c>
      <c r="P240" s="108">
        <v>5581</v>
      </c>
      <c r="Q240" s="108">
        <v>5492</v>
      </c>
      <c r="R240" s="108">
        <v>136459</v>
      </c>
    </row>
    <row r="241" spans="13:18" ht="14.4" x14ac:dyDescent="0.55000000000000004">
      <c r="M241" s="107" t="s">
        <v>750</v>
      </c>
      <c r="N241" s="108">
        <v>5461.5</v>
      </c>
      <c r="O241" s="108">
        <v>5500</v>
      </c>
      <c r="P241" s="108">
        <v>5549.5</v>
      </c>
      <c r="Q241" s="108">
        <v>5430</v>
      </c>
      <c r="R241" s="108">
        <v>135297</v>
      </c>
    </row>
    <row r="242" spans="13:18" ht="14.4" x14ac:dyDescent="0.55000000000000004">
      <c r="M242" s="107" t="s">
        <v>751</v>
      </c>
      <c r="N242" s="108">
        <v>5303</v>
      </c>
      <c r="O242" s="108">
        <v>5451</v>
      </c>
      <c r="P242" s="108">
        <v>5460</v>
      </c>
      <c r="Q242" s="108">
        <v>5295</v>
      </c>
      <c r="R242" s="108">
        <v>155688</v>
      </c>
    </row>
    <row r="243" spans="13:18" ht="14.4" x14ac:dyDescent="0.55000000000000004">
      <c r="M243" s="107" t="s">
        <v>752</v>
      </c>
      <c r="N243" s="108">
        <v>5301</v>
      </c>
      <c r="O243" s="108">
        <v>5303</v>
      </c>
      <c r="P243" s="108">
        <v>5369.5</v>
      </c>
      <c r="Q243" s="108">
        <v>5258.5</v>
      </c>
      <c r="R243" s="108">
        <v>131890</v>
      </c>
    </row>
    <row r="244" spans="13:18" ht="14.4" x14ac:dyDescent="0.55000000000000004">
      <c r="M244" s="107" t="s">
        <v>753</v>
      </c>
      <c r="N244" s="108">
        <v>5227</v>
      </c>
      <c r="O244" s="108">
        <v>5315</v>
      </c>
      <c r="P244" s="108">
        <v>5322</v>
      </c>
      <c r="Q244" s="108">
        <v>5210</v>
      </c>
      <c r="R244" s="108">
        <v>270642</v>
      </c>
    </row>
    <row r="245" spans="13:18" ht="14.4" x14ac:dyDescent="0.55000000000000004">
      <c r="M245" s="107" t="s">
        <v>754</v>
      </c>
      <c r="N245" s="108">
        <v>5226</v>
      </c>
      <c r="O245" s="108">
        <v>5266.5</v>
      </c>
      <c r="P245" s="108">
        <v>5266.5</v>
      </c>
      <c r="Q245" s="108">
        <v>5176</v>
      </c>
      <c r="R245" s="108">
        <v>172390</v>
      </c>
    </row>
    <row r="246" spans="13:18" ht="14.4" x14ac:dyDescent="0.55000000000000004">
      <c r="M246" s="107" t="s">
        <v>755</v>
      </c>
      <c r="N246" s="108">
        <v>5355.5</v>
      </c>
      <c r="O246" s="108">
        <v>5222.5</v>
      </c>
      <c r="P246" s="108">
        <v>5369</v>
      </c>
      <c r="Q246" s="108">
        <v>5190</v>
      </c>
      <c r="R246" s="108">
        <v>170657</v>
      </c>
    </row>
    <row r="247" spans="13:18" ht="14.4" x14ac:dyDescent="0.55000000000000004">
      <c r="M247" s="107" t="s">
        <v>756</v>
      </c>
      <c r="N247" s="108">
        <v>5394</v>
      </c>
      <c r="O247" s="108">
        <v>5389.5</v>
      </c>
      <c r="P247" s="108">
        <v>5435</v>
      </c>
      <c r="Q247" s="108">
        <v>5297.5</v>
      </c>
      <c r="R247" s="108">
        <v>163367</v>
      </c>
    </row>
    <row r="248" spans="13:18" ht="14.4" x14ac:dyDescent="0.55000000000000004">
      <c r="M248" s="107" t="s">
        <v>757</v>
      </c>
      <c r="N248" s="108">
        <v>5389.5</v>
      </c>
      <c r="O248" s="108">
        <v>5420</v>
      </c>
      <c r="P248" s="108">
        <v>5427.5</v>
      </c>
      <c r="Q248" s="108">
        <v>5313.5</v>
      </c>
      <c r="R248" s="108">
        <v>158874</v>
      </c>
    </row>
    <row r="249" spans="13:18" ht="14.4" x14ac:dyDescent="0.55000000000000004">
      <c r="M249" s="107" t="s">
        <v>758</v>
      </c>
      <c r="N249" s="108">
        <v>5460</v>
      </c>
      <c r="O249" s="108">
        <v>5389.5</v>
      </c>
      <c r="P249" s="108">
        <v>5553</v>
      </c>
      <c r="Q249" s="108">
        <v>5346.5</v>
      </c>
      <c r="R249" s="108">
        <v>378764</v>
      </c>
    </row>
    <row r="250" spans="13:18" ht="14.4" x14ac:dyDescent="0.55000000000000004">
      <c r="M250" s="107" t="s">
        <v>759</v>
      </c>
      <c r="N250" s="108">
        <v>5573</v>
      </c>
      <c r="O250" s="108">
        <v>5460</v>
      </c>
      <c r="P250" s="108">
        <v>5604</v>
      </c>
      <c r="Q250" s="108">
        <v>5433</v>
      </c>
      <c r="R250" s="108">
        <v>361874</v>
      </c>
    </row>
    <row r="251" spans="13:18" ht="14.4" x14ac:dyDescent="0.55000000000000004">
      <c r="M251" s="107" t="s">
        <v>760</v>
      </c>
      <c r="N251" s="108">
        <v>5407.5</v>
      </c>
      <c r="O251" s="108">
        <v>5549.5</v>
      </c>
      <c r="P251" s="108">
        <v>5622</v>
      </c>
      <c r="Q251" s="108">
        <v>5400</v>
      </c>
      <c r="R251" s="108">
        <v>791616</v>
      </c>
    </row>
    <row r="252" spans="13:18" ht="14.4" x14ac:dyDescent="0.55000000000000004">
      <c r="M252" s="107" t="s">
        <v>761</v>
      </c>
      <c r="N252" s="108">
        <v>5352</v>
      </c>
      <c r="O252" s="108">
        <v>5369.5</v>
      </c>
      <c r="P252" s="108">
        <v>5390.5</v>
      </c>
      <c r="Q252" s="108">
        <v>5295</v>
      </c>
      <c r="R252" s="108">
        <v>232299</v>
      </c>
    </row>
    <row r="253" spans="13:18" ht="14.4" x14ac:dyDescent="0.55000000000000004">
      <c r="M253" s="107" t="s">
        <v>762</v>
      </c>
      <c r="N253" s="108">
        <v>5335</v>
      </c>
      <c r="O253" s="108">
        <v>5370</v>
      </c>
      <c r="P253" s="108">
        <v>5410</v>
      </c>
      <c r="Q253" s="108">
        <v>5312.5</v>
      </c>
      <c r="R253" s="108">
        <v>174112</v>
      </c>
    </row>
    <row r="254" spans="13:18" ht="14.4" x14ac:dyDescent="0.55000000000000004">
      <c r="M254" s="107" t="s">
        <v>763</v>
      </c>
      <c r="N254" s="108">
        <v>5367.5</v>
      </c>
      <c r="O254" s="108">
        <v>5335</v>
      </c>
      <c r="P254" s="108">
        <v>5382.5</v>
      </c>
      <c r="Q254" s="108">
        <v>5320.5</v>
      </c>
      <c r="R254" s="108">
        <v>141704</v>
      </c>
    </row>
    <row r="255" spans="13:18" ht="14.4" x14ac:dyDescent="0.55000000000000004">
      <c r="M255" s="107" t="s">
        <v>764</v>
      </c>
      <c r="N255" s="108">
        <v>5403.5</v>
      </c>
      <c r="O255" s="108">
        <v>5388</v>
      </c>
      <c r="P255" s="108">
        <v>5430</v>
      </c>
      <c r="Q255" s="108">
        <v>5355</v>
      </c>
      <c r="R255" s="108">
        <v>122314</v>
      </c>
    </row>
    <row r="256" spans="13:18" ht="14.4" x14ac:dyDescent="0.55000000000000004">
      <c r="M256" s="107" t="s">
        <v>765</v>
      </c>
      <c r="N256" s="108">
        <v>5369.5</v>
      </c>
      <c r="O256" s="108">
        <v>5403.5</v>
      </c>
      <c r="P256" s="108">
        <v>5420</v>
      </c>
      <c r="Q256" s="108">
        <v>5335.5</v>
      </c>
      <c r="R256" s="108">
        <v>193891</v>
      </c>
    </row>
    <row r="257" spans="13:18" ht="14.4" x14ac:dyDescent="0.55000000000000004">
      <c r="M257" s="107" t="s">
        <v>766</v>
      </c>
      <c r="N257" s="108">
        <v>5397.5</v>
      </c>
      <c r="O257" s="108">
        <v>5369.5</v>
      </c>
      <c r="P257" s="108">
        <v>5425</v>
      </c>
      <c r="Q257" s="108">
        <v>5351.5</v>
      </c>
      <c r="R257" s="108">
        <v>91698</v>
      </c>
    </row>
    <row r="258" spans="13:18" ht="14.4" x14ac:dyDescent="0.55000000000000004">
      <c r="M258" s="107" t="s">
        <v>767</v>
      </c>
      <c r="N258" s="108">
        <v>5354.5</v>
      </c>
      <c r="O258" s="108">
        <v>5424.5</v>
      </c>
      <c r="P258" s="108">
        <v>5445</v>
      </c>
      <c r="Q258" s="108">
        <v>5270</v>
      </c>
      <c r="R258" s="108">
        <v>46044</v>
      </c>
    </row>
    <row r="259" spans="13:18" ht="14.4" x14ac:dyDescent="0.55000000000000004">
      <c r="M259" s="107" t="s">
        <v>768</v>
      </c>
      <c r="N259" s="108">
        <v>5471</v>
      </c>
      <c r="O259" s="108">
        <v>5401.5</v>
      </c>
      <c r="P259" s="108">
        <v>5490</v>
      </c>
      <c r="Q259" s="108">
        <v>5364.5</v>
      </c>
      <c r="R259" s="108">
        <v>289323</v>
      </c>
    </row>
    <row r="260" spans="13:18" ht="14.4" x14ac:dyDescent="0.55000000000000004">
      <c r="M260" s="107" t="s">
        <v>769</v>
      </c>
      <c r="N260" s="108">
        <v>5544</v>
      </c>
      <c r="O260" s="108">
        <v>5499.5</v>
      </c>
      <c r="P260" s="108">
        <v>5569</v>
      </c>
      <c r="Q260" s="108">
        <v>5462</v>
      </c>
      <c r="R260" s="108">
        <v>216677</v>
      </c>
    </row>
    <row r="261" spans="13:18" ht="14.4" x14ac:dyDescent="0.55000000000000004">
      <c r="M261" s="107" t="s">
        <v>770</v>
      </c>
      <c r="N261" s="108">
        <v>5585.5</v>
      </c>
      <c r="O261" s="108">
        <v>5549</v>
      </c>
      <c r="P261" s="108">
        <v>5625</v>
      </c>
      <c r="Q261" s="108">
        <v>5520</v>
      </c>
      <c r="R261" s="108">
        <v>212923</v>
      </c>
    </row>
    <row r="262" spans="13:18" ht="14.4" x14ac:dyDescent="0.55000000000000004">
      <c r="M262" s="107" t="s">
        <v>771</v>
      </c>
      <c r="N262" s="108">
        <v>5545</v>
      </c>
      <c r="O262" s="108">
        <v>5600</v>
      </c>
      <c r="P262" s="108">
        <v>5600</v>
      </c>
      <c r="Q262" s="108">
        <v>5521.5</v>
      </c>
      <c r="R262" s="108">
        <v>138538</v>
      </c>
    </row>
    <row r="263" spans="13:18" ht="14.4" x14ac:dyDescent="0.55000000000000004">
      <c r="M263" s="107" t="s">
        <v>772</v>
      </c>
      <c r="N263" s="108">
        <v>5538.5</v>
      </c>
      <c r="O263" s="108">
        <v>5556.5</v>
      </c>
      <c r="P263" s="108">
        <v>5574.5</v>
      </c>
      <c r="Q263" s="108">
        <v>5492</v>
      </c>
      <c r="R263" s="108">
        <v>81179</v>
      </c>
    </row>
    <row r="264" spans="13:18" ht="14.4" x14ac:dyDescent="0.55000000000000004">
      <c r="M264" s="107" t="s">
        <v>773</v>
      </c>
      <c r="N264" s="108">
        <v>5539.5</v>
      </c>
      <c r="O264" s="108">
        <v>5555</v>
      </c>
      <c r="P264" s="108">
        <v>5587</v>
      </c>
      <c r="Q264" s="108">
        <v>5502.5</v>
      </c>
      <c r="R264" s="108">
        <v>123485</v>
      </c>
    </row>
    <row r="265" spans="13:18" ht="14.4" x14ac:dyDescent="0.55000000000000004">
      <c r="M265" s="107" t="s">
        <v>774</v>
      </c>
      <c r="N265" s="108">
        <v>5454.5</v>
      </c>
      <c r="O265" s="108">
        <v>5539.5</v>
      </c>
      <c r="P265" s="108">
        <v>5539.5</v>
      </c>
      <c r="Q265" s="108">
        <v>5412.5</v>
      </c>
      <c r="R265" s="108">
        <v>87662</v>
      </c>
    </row>
    <row r="266" spans="13:18" ht="14.4" x14ac:dyDescent="0.55000000000000004">
      <c r="M266" s="107" t="s">
        <v>775</v>
      </c>
      <c r="N266" s="108">
        <v>5434</v>
      </c>
      <c r="O266" s="108">
        <v>5453</v>
      </c>
      <c r="P266" s="108">
        <v>5455</v>
      </c>
      <c r="Q266" s="108">
        <v>5394.5</v>
      </c>
      <c r="R266" s="108">
        <v>67952</v>
      </c>
    </row>
    <row r="267" spans="13:18" ht="14.4" x14ac:dyDescent="0.55000000000000004">
      <c r="M267" s="107" t="s">
        <v>776</v>
      </c>
      <c r="N267" s="108">
        <v>5381</v>
      </c>
      <c r="O267" s="108">
        <v>5440</v>
      </c>
      <c r="P267" s="108">
        <v>5464</v>
      </c>
      <c r="Q267" s="108">
        <v>5360</v>
      </c>
      <c r="R267" s="108">
        <v>89899</v>
      </c>
    </row>
    <row r="268" spans="13:18" ht="14.4" x14ac:dyDescent="0.55000000000000004">
      <c r="M268" s="107" t="s">
        <v>777</v>
      </c>
      <c r="N268" s="108">
        <v>5242.5</v>
      </c>
      <c r="O268" s="108">
        <v>5379.5</v>
      </c>
      <c r="P268" s="108">
        <v>5379.5</v>
      </c>
      <c r="Q268" s="108">
        <v>5221</v>
      </c>
      <c r="R268" s="108">
        <v>222332</v>
      </c>
    </row>
    <row r="269" spans="13:18" ht="14.4" x14ac:dyDescent="0.55000000000000004">
      <c r="M269" s="107" t="s">
        <v>778</v>
      </c>
      <c r="N269" s="108">
        <v>5180</v>
      </c>
      <c r="O269" s="108">
        <v>5213</v>
      </c>
      <c r="P269" s="108">
        <v>5213</v>
      </c>
      <c r="Q269" s="108">
        <v>5126.5</v>
      </c>
      <c r="R269" s="108">
        <v>172150</v>
      </c>
    </row>
    <row r="270" spans="13:18" ht="14.4" x14ac:dyDescent="0.55000000000000004">
      <c r="M270" s="107" t="s">
        <v>779</v>
      </c>
      <c r="N270" s="108">
        <v>5207</v>
      </c>
      <c r="O270" s="108">
        <v>5180</v>
      </c>
      <c r="P270" s="108">
        <v>5249</v>
      </c>
      <c r="Q270" s="108">
        <v>5151</v>
      </c>
      <c r="R270" s="108">
        <v>110874</v>
      </c>
    </row>
    <row r="271" spans="13:18" ht="14.4" x14ac:dyDescent="0.55000000000000004">
      <c r="M271" s="107" t="s">
        <v>780</v>
      </c>
      <c r="N271" s="108">
        <v>5283.5</v>
      </c>
      <c r="O271" s="108">
        <v>5206.5</v>
      </c>
      <c r="P271" s="108">
        <v>5306.5</v>
      </c>
      <c r="Q271" s="108">
        <v>5174</v>
      </c>
      <c r="R271" s="108">
        <v>102792</v>
      </c>
    </row>
    <row r="272" spans="13:18" ht="14.4" x14ac:dyDescent="0.55000000000000004">
      <c r="M272" s="107" t="s">
        <v>781</v>
      </c>
      <c r="N272" s="108">
        <v>5388</v>
      </c>
      <c r="O272" s="108">
        <v>5283.5</v>
      </c>
      <c r="P272" s="108">
        <v>5480</v>
      </c>
      <c r="Q272" s="108">
        <v>5269</v>
      </c>
      <c r="R272" s="108">
        <v>208841</v>
      </c>
    </row>
    <row r="273" spans="13:18" ht="14.4" x14ac:dyDescent="0.55000000000000004">
      <c r="M273" s="107" t="s">
        <v>782</v>
      </c>
      <c r="N273" s="108">
        <v>5307.5</v>
      </c>
      <c r="O273" s="108">
        <v>5408.5</v>
      </c>
      <c r="P273" s="108">
        <v>5422.5</v>
      </c>
      <c r="Q273" s="108">
        <v>5300</v>
      </c>
      <c r="R273" s="108">
        <v>72589</v>
      </c>
    </row>
    <row r="274" spans="13:18" ht="14.4" x14ac:dyDescent="0.55000000000000004">
      <c r="M274" s="107" t="s">
        <v>783</v>
      </c>
      <c r="N274" s="108">
        <v>5266.5</v>
      </c>
      <c r="O274" s="108">
        <v>5300</v>
      </c>
      <c r="P274" s="108">
        <v>5306.5</v>
      </c>
      <c r="Q274" s="108">
        <v>5234.5</v>
      </c>
      <c r="R274" s="108">
        <v>125969</v>
      </c>
    </row>
    <row r="275" spans="13:18" ht="14.4" x14ac:dyDescent="0.55000000000000004">
      <c r="M275" s="107" t="s">
        <v>784</v>
      </c>
      <c r="N275" s="108">
        <v>5303</v>
      </c>
      <c r="O275" s="108">
        <v>5266.5</v>
      </c>
      <c r="P275" s="108">
        <v>5312</v>
      </c>
      <c r="Q275" s="108">
        <v>5200</v>
      </c>
      <c r="R275" s="108">
        <v>135921</v>
      </c>
    </row>
    <row r="276" spans="13:18" ht="14.4" x14ac:dyDescent="0.55000000000000004">
      <c r="M276" s="107" t="s">
        <v>785</v>
      </c>
      <c r="N276" s="108">
        <v>5277</v>
      </c>
      <c r="O276" s="108">
        <v>5302</v>
      </c>
      <c r="P276" s="108">
        <v>5349</v>
      </c>
      <c r="Q276" s="108">
        <v>5260</v>
      </c>
      <c r="R276" s="108">
        <v>134520</v>
      </c>
    </row>
    <row r="277" spans="13:18" ht="14.4" x14ac:dyDescent="0.55000000000000004">
      <c r="M277" s="107" t="s">
        <v>786</v>
      </c>
      <c r="N277" s="108">
        <v>5347.5</v>
      </c>
      <c r="O277" s="108">
        <v>5270</v>
      </c>
      <c r="P277" s="108">
        <v>5385</v>
      </c>
      <c r="Q277" s="108">
        <v>5251.5</v>
      </c>
      <c r="R277" s="108">
        <v>137005</v>
      </c>
    </row>
    <row r="278" spans="13:18" ht="14.4" x14ac:dyDescent="0.55000000000000004">
      <c r="M278" s="107" t="s">
        <v>787</v>
      </c>
      <c r="N278" s="108">
        <v>5320.5</v>
      </c>
      <c r="O278" s="108">
        <v>5324</v>
      </c>
      <c r="P278" s="108">
        <v>5366.5</v>
      </c>
      <c r="Q278" s="108">
        <v>5300</v>
      </c>
      <c r="R278" s="108">
        <v>162673</v>
      </c>
    </row>
    <row r="279" spans="13:18" ht="14.4" x14ac:dyDescent="0.55000000000000004">
      <c r="M279" s="107" t="s">
        <v>788</v>
      </c>
      <c r="N279" s="108">
        <v>5231</v>
      </c>
      <c r="O279" s="108">
        <v>5326</v>
      </c>
      <c r="P279" s="108">
        <v>5405</v>
      </c>
      <c r="Q279" s="108">
        <v>5129</v>
      </c>
      <c r="R279" s="108">
        <v>5075701</v>
      </c>
    </row>
    <row r="280" spans="13:18" ht="14.4" x14ac:dyDescent="0.55000000000000004">
      <c r="M280" s="107" t="s">
        <v>789</v>
      </c>
      <c r="N280" s="108">
        <v>5164</v>
      </c>
      <c r="O280" s="108">
        <v>5165</v>
      </c>
      <c r="P280" s="108">
        <v>5213</v>
      </c>
      <c r="Q280" s="108">
        <v>5150</v>
      </c>
      <c r="R280" s="108">
        <v>188860</v>
      </c>
    </row>
    <row r="281" spans="13:18" ht="14.4" x14ac:dyDescent="0.55000000000000004">
      <c r="M281" s="107" t="s">
        <v>790</v>
      </c>
      <c r="N281" s="108">
        <v>5229.5</v>
      </c>
      <c r="O281" s="108">
        <v>5174.5</v>
      </c>
      <c r="P281" s="108">
        <v>5244</v>
      </c>
      <c r="Q281" s="108">
        <v>5125</v>
      </c>
      <c r="R281" s="108">
        <v>169001</v>
      </c>
    </row>
    <row r="282" spans="13:18" ht="14.4" x14ac:dyDescent="0.55000000000000004">
      <c r="M282" s="107" t="s">
        <v>791</v>
      </c>
      <c r="N282" s="108">
        <v>5197</v>
      </c>
      <c r="O282" s="108">
        <v>5231.5</v>
      </c>
      <c r="P282" s="108">
        <v>5261.5</v>
      </c>
      <c r="Q282" s="108">
        <v>5165</v>
      </c>
      <c r="R282" s="108">
        <v>106818</v>
      </c>
    </row>
    <row r="283" spans="13:18" ht="14.4" x14ac:dyDescent="0.55000000000000004">
      <c r="M283" s="107" t="s">
        <v>792</v>
      </c>
      <c r="N283" s="108">
        <v>5158.5</v>
      </c>
      <c r="O283" s="108">
        <v>5205.5</v>
      </c>
      <c r="P283" s="108">
        <v>5206</v>
      </c>
      <c r="Q283" s="108">
        <v>5150</v>
      </c>
      <c r="R283" s="108">
        <v>136784</v>
      </c>
    </row>
    <row r="284" spans="13:18" ht="14.4" x14ac:dyDescent="0.55000000000000004">
      <c r="R284" s="1">
        <f>AVERAGE(R36:R283)</f>
        <v>233084.18548387097</v>
      </c>
    </row>
  </sheetData>
  <mergeCells count="3">
    <mergeCell ref="A1:C1"/>
    <mergeCell ref="A3:A12"/>
    <mergeCell ref="A13:A22"/>
  </mergeCells>
  <hyperlinks>
    <hyperlink ref="B4" r:id="rId1" xr:uid="{00000000-0004-0000-0500-000000000000}"/>
    <hyperlink ref="B5" r:id="rId2" xr:uid="{00000000-0004-0000-0500-000001000000}"/>
    <hyperlink ref="B6" r:id="rId3" xr:uid="{00000000-0004-0000-0500-000002000000}"/>
    <hyperlink ref="B7" r:id="rId4" xr:uid="{00000000-0004-0000-0500-000003000000}"/>
    <hyperlink ref="B8" r:id="rId5" xr:uid="{00000000-0004-0000-0500-000004000000}"/>
    <hyperlink ref="B9" r:id="rId6" xr:uid="{00000000-0004-0000-0500-000005000000}"/>
    <hyperlink ref="B10" r:id="rId7" xr:uid="{00000000-0004-0000-0500-000006000000}"/>
    <hyperlink ref="B11" r:id="rId8" xr:uid="{00000000-0004-0000-0500-000007000000}"/>
    <hyperlink ref="B12" r:id="rId9" xr:uid="{00000000-0004-0000-0500-000008000000}"/>
    <hyperlink ref="B13" r:id="rId10" xr:uid="{00000000-0004-0000-0500-000009000000}"/>
    <hyperlink ref="B14" r:id="rId11" xr:uid="{00000000-0004-0000-0500-00000A000000}"/>
    <hyperlink ref="B15" r:id="rId12" xr:uid="{00000000-0004-0000-0500-00000B000000}"/>
    <hyperlink ref="B16" r:id="rId13" xr:uid="{00000000-0004-0000-0500-00000C000000}"/>
    <hyperlink ref="B17" r:id="rId14" xr:uid="{00000000-0004-0000-0500-00000D000000}"/>
    <hyperlink ref="B18" r:id="rId15" xr:uid="{00000000-0004-0000-0500-00000E000000}"/>
    <hyperlink ref="B24" r:id="rId16" xr:uid="{00000000-0004-0000-0500-000010000000}"/>
    <hyperlink ref="B25" r:id="rId17" xr:uid="{00000000-0004-0000-0500-000011000000}"/>
    <hyperlink ref="B26" r:id="rId18" xr:uid="{00000000-0004-0000-0500-000012000000}"/>
    <hyperlink ref="B27" r:id="rId19" xr:uid="{00000000-0004-0000-0500-000013000000}"/>
    <hyperlink ref="B28" r:id="rId20" xr:uid="{00000000-0004-0000-0500-000014000000}"/>
    <hyperlink ref="B23" r:id="rId21" xr:uid="{F7A5A729-05DC-4E4D-9C76-D240E2C53F28}"/>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Group Details</vt:lpstr>
      <vt:lpstr>Part 1 Fundamental Financials</vt:lpstr>
      <vt:lpstr>Part 2 Price Movement Analysis</vt:lpstr>
      <vt:lpstr>Part 3 Portfolio Analysis</vt:lpstr>
      <vt:lpstr>Stock Price from 1 April 2022 t</vt:lpstr>
      <vt:lpstr>All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Kabir Jain</cp:lastModifiedBy>
  <dcterms:modified xsi:type="dcterms:W3CDTF">2025-12-03T16:20:27Z</dcterms:modified>
</cp:coreProperties>
</file>